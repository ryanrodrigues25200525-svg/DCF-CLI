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lecom Model" sheetId="1" state="visible" r:id="rId3"/>
    <sheet name="Data Review" sheetId="2" state="visible" r:id="rId4"/>
  </sheets>
  <definedNames>
    <definedName function="false" hidden="true" localSheetId="1" name="_xlnm._FilterDatabase" vbProcedure="false">'Data Review'!$A$5:$I$266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<sst xmlns="http://schemas.openxmlformats.org/spreadsheetml/2006/main" count="1819" uniqueCount="339">
  <si>
    <t xml:space="preserve">AT&amp;T INC. (T) — Subscriber and Segment DCF</t>
  </si>
  <si>
    <t xml:space="preserve">USD actuals display in millions; customer balances display in millions; ARPU is USD per month. Filed history is black, formulas are green, and blue cells are editable analyst assumptions or live market inputs.</t>
  </si>
  <si>
    <t xml:space="preserve">Subscriber schedules — filed history and formula-driven forecast</t>
  </si>
  <si>
    <t xml:space="preserve">Editable assumptions and current market inputs</t>
  </si>
  <si>
    <t xml:space="preserve">Operating schedule / fiscal year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</si>
  <si>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</si>
  <si>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</si>
  <si>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</si>
  <si>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</si>
  <si>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</si>
  <si>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</si>
  <si>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</si>
  <si>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</si>
  <si>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</si>
  <si>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Assumption / sourced input</t>
  </si>
  <si>
    <t xml:space="preserve">Value</t>
  </si>
  <si>
    <t xml:space="preserve">Source / treatment</t>
  </si>
  <si>
    <t xml:space="preserve">Beginning postpaid phone subscribers</t>
  </si>
  <si>
    <t xml:space="preserve">Gross postpaid phone additions / beginning customers</t>
  </si>
  <si>
    <t xml:space="preserve">Source and calculation basis shown in Data Review.</t>
  </si>
  <si>
    <t xml:space="preserve">Gross postpaid phone additions</t>
  </si>
  <si>
    <t xml:space="preserve">Monthly postpaid phone churn</t>
  </si>
  <si>
    <t xml:space="preserve">Postpaid phone monthly churn</t>
  </si>
  <si>
    <t xml:space="preserve">Other wireless subscriber growth</t>
  </si>
  <si>
    <t xml:space="preserve">Postpaid phone disconnections</t>
  </si>
  <si>
    <t xml:space="preserve">Monthly service revenue per average wireless subscriber growth</t>
  </si>
  <si>
    <t xml:space="preserve">Net postpaid phone additions</t>
  </si>
  <si>
    <t xml:space="preserve">Annual equipment revenue per subscriber growth</t>
  </si>
  <si>
    <t xml:space="preserve">Ending postpaid phone subscribers</t>
  </si>
  <si>
    <t xml:space="preserve">Broadband net additions / beginning connections</t>
  </si>
  <si>
    <t xml:space="preserve">Average postpaid phone subscribers</t>
  </si>
  <si>
    <t xml:space="preserve">Monthly broadband revenue per connection growth</t>
  </si>
  <si>
    <t xml:space="preserve">Beginning other wireless subscribers</t>
  </si>
  <si>
    <t xml:space="preserve">Consumer Wireline non-broadband revenue growth</t>
  </si>
  <si>
    <t xml:space="preserve">Business Wireline revenue growth</t>
  </si>
  <si>
    <t xml:space="preserve">Ending other wireless subscribers</t>
  </si>
  <si>
    <t xml:space="preserve">Latin America revenue growth</t>
  </si>
  <si>
    <t xml:space="preserve">Beginning total wireless subscribers</t>
  </si>
  <si>
    <t xml:space="preserve">Other and consolidation revenue growth</t>
  </si>
  <si>
    <t xml:space="preserve">Ending total wireless subscribers</t>
  </si>
  <si>
    <t xml:space="preserve">Mobility operating margin</t>
  </si>
  <si>
    <t xml:space="preserve">Average total wireless subscribers</t>
  </si>
  <si>
    <t xml:space="preserve">Business Wireline operating margin</t>
  </si>
  <si>
    <t xml:space="preserve">Reported total subscriber roll-forward residual</t>
  </si>
  <si>
    <t xml:space="preserve">Consumer Wireline operating margin</t>
  </si>
  <si>
    <t xml:space="preserve">Latin America operating margin</t>
  </si>
  <si>
    <t xml:space="preserve">Mobility service and equipment revenue build</t>
  </si>
  <si>
    <t xml:space="preserve">Unallocated / corporate EBIT margin</t>
  </si>
  <si>
    <t xml:space="preserve">Monthly service revenue per average wireless subscriber</t>
  </si>
  <si>
    <t xml:space="preserve">Cash tax rate</t>
  </si>
  <si>
    <t xml:space="preserve">Mobility service revenue</t>
  </si>
  <si>
    <t xml:space="preserve">Depreciation and amortization / revenue</t>
  </si>
  <si>
    <t xml:space="preserve">Annual equipment revenue per average wireless subscriber</t>
  </si>
  <si>
    <t xml:space="preserve">Capital expenditures / revenue</t>
  </si>
  <si>
    <t xml:space="preserve">Mobility equipment revenue</t>
  </si>
  <si>
    <t xml:space="preserve">Working capital investment / revenue</t>
  </si>
  <si>
    <t xml:space="preserve">Total Mobility segment revenue</t>
  </si>
  <si>
    <t xml:space="preserve">Risk-free rate</t>
  </si>
  <si>
    <t xml:space="preserve">Filed or live source; see Data Review.</t>
  </si>
  <si>
    <t xml:space="preserve">Mobility revenue build check</t>
  </si>
  <si>
    <t xml:space="preserve">Equity risk premium</t>
  </si>
  <si>
    <t xml:space="preserve">Beta</t>
  </si>
  <si>
    <t xml:space="preserve">Broadband and segment revenue build</t>
  </si>
  <si>
    <t xml:space="preserve">Filed weighted-average cost of debt</t>
  </si>
  <si>
    <t xml:space="preserve">Beginning broadband connections</t>
  </si>
  <si>
    <t xml:space="preserve">Equity weight</t>
  </si>
  <si>
    <t xml:space="preserve">Formula from current market inputs and filed debt/capital values.</t>
  </si>
  <si>
    <t xml:space="preserve">Broadband net additions</t>
  </si>
  <si>
    <t xml:space="preserve">Perpetual FCFF growth</t>
  </si>
  <si>
    <t xml:space="preserve">Analyst input; editable. See Data Review.</t>
  </si>
  <si>
    <t xml:space="preserve">Current share price</t>
  </si>
  <si>
    <t xml:space="preserve">Ending broadband connections</t>
  </si>
  <si>
    <t xml:space="preserve">Filed weighted-average diluted shares</t>
  </si>
  <si>
    <t xml:space="preserve">Average broadband connections</t>
  </si>
  <si>
    <t xml:space="preserve">Current market capitalization</t>
  </si>
  <si>
    <t xml:space="preserve">Monthly broadband revenue per average connection</t>
  </si>
  <si>
    <t xml:space="preserve">Filed cash and cash equivalents</t>
  </si>
  <si>
    <t xml:space="preserve">Consumer broadband revenue</t>
  </si>
  <si>
    <t xml:space="preserve">Separately filed marketable securities</t>
  </si>
  <si>
    <t xml:space="preserve">Consumer Wireline non-broadband revenue</t>
  </si>
  <si>
    <t xml:space="preserve">Filed total interest-bearing debt</t>
  </si>
  <si>
    <t xml:space="preserve">Total Consumer Wireline revenue</t>
  </si>
  <si>
    <t xml:space="preserve">Filed noncontrolling interest</t>
  </si>
  <si>
    <t xml:space="preserve">Business Wireline revenue</t>
  </si>
  <si>
    <t xml:space="preserve">Filed preferred equity</t>
  </si>
  <si>
    <t xml:space="preserve">Latin America segment revenue</t>
  </si>
  <si>
    <t xml:space="preserve">Debt weight</t>
  </si>
  <si>
    <t xml:space="preserve">Other and consolidation revenue</t>
  </si>
  <si>
    <t xml:space="preserve">Weighted average cost of capital</t>
  </si>
  <si>
    <t xml:space="preserve">Consolidated revenue</t>
  </si>
  <si>
    <t xml:space="preserve">Consolidated revenue reconciliation check</t>
  </si>
  <si>
    <t xml:space="preserve">Segment operating income and consolidated EBIT</t>
  </si>
  <si>
    <t xml:space="preserve">Mobility operating income</t>
  </si>
  <si>
    <t xml:space="preserve">Business Wireline operating income</t>
  </si>
  <si>
    <t xml:space="preserve">Consumer Wireline operating income</t>
  </si>
  <si>
    <t xml:space="preserve">Latin America operating income</t>
  </si>
  <si>
    <t xml:space="preserve">Unallocated / corporate operating income margin</t>
  </si>
  <si>
    <t xml:space="preserve">Unallocated / corporate operating income</t>
  </si>
  <si>
    <t xml:space="preserve">Consolidated EBIT</t>
  </si>
  <si>
    <t xml:space="preserve">Consolidated EBIT reconciliation check</t>
  </si>
  <si>
    <t xml:space="preserve">Unlevered cash flow forecast</t>
  </si>
  <si>
    <t xml:space="preserve">Cash taxes on EBIT</t>
  </si>
  <si>
    <t xml:space="preserve">NOPAT</t>
  </si>
  <si>
    <t xml:space="preserve">Depreciation and amortization</t>
  </si>
  <si>
    <t xml:space="preserve">Network and other capital expenditures</t>
  </si>
  <si>
    <t xml:space="preserve">Change in operating working capital / investment</t>
  </si>
  <si>
    <t xml:space="preserve">Unlevered free cash flow</t>
  </si>
  <si>
    <t xml:space="preserve">Discount factor</t>
  </si>
  <si>
    <t xml:space="preserve">Present value of free cash flow</t>
  </si>
  <si>
    <t xml:space="preserve">Free cash flow identity check</t>
  </si>
  <si>
    <t xml:space="preserve">Unlevered DCF and common-equity bridge</t>
  </si>
  <si>
    <t xml:space="preserve">Discount rate / WACC</t>
  </si>
  <si>
    <t xml:space="preserve">Terminal free cash flow</t>
  </si>
  <si>
    <t xml:space="preserve">Terminal growth</t>
  </si>
  <si>
    <t xml:space="preserve">Terminal value (Gordon growth)</t>
  </si>
  <si>
    <t xml:space="preserve">Present value of terminal value</t>
  </si>
  <si>
    <t xml:space="preserve">Present value of forecast free cash flow</t>
  </si>
  <si>
    <t xml:space="preserve">Enterprise value</t>
  </si>
  <si>
    <t xml:space="preserve">Add cash and cash equivalents</t>
  </si>
  <si>
    <t xml:space="preserve">Add marketable securities</t>
  </si>
  <si>
    <t xml:space="preserve">Less interest-bearing debt</t>
  </si>
  <si>
    <t xml:space="preserve">Less noncontrolling interest</t>
  </si>
  <si>
    <t xml:space="preserve">Less preferred equity</t>
  </si>
  <si>
    <t xml:space="preserve">Common-equity value</t>
  </si>
  <si>
    <t xml:space="preserve">Diluted shares</t>
  </si>
  <si>
    <t xml:space="preserve">Implied value per diluted share</t>
  </si>
  <si>
    <t xml:space="preserve">Implied upside / (downside)</t>
  </si>
  <si>
    <t xml:space="preserve">Per-share sensitivity — WACC and terminal growth</t>
  </si>
  <si>
    <t xml:space="preserve">WACC / terminal growth</t>
  </si>
  <si>
    <t xml:space="preserve">Sensitivity recomputes explicit cash flows and terminal value for each WACC / terminal-growth pair.</t>
  </si>
  <si>
    <t xml:space="preserve">Data Review — AT&amp;T INC. (T)</t>
  </si>
  <si>
    <t xml:space="preserve">Filed telecom operating facts and derived measures are listed by fiscal year. Analyst assumptions remain separate and editable in blue on Telecom Model.</t>
  </si>
  <si>
    <t xml:space="preserve">Status</t>
  </si>
  <si>
    <t xml:space="preserve">FY</t>
  </si>
  <si>
    <t xml:space="preserve">Model input</t>
  </si>
  <si>
    <t xml:space="preserve">Value (USD mm / customer mm / ratio)</t>
  </si>
  <si>
    <t xml:space="preserve">Source concept / label</t>
  </si>
  <si>
    <t xml:space="preserve">SEC accession</t>
  </si>
  <si>
    <t xml:space="preserve">Filed</t>
  </si>
  <si>
    <t xml:space="preserve">Unit / scale</t>
  </si>
  <si>
    <t xml:space="preserve">Method / source statement</t>
  </si>
  <si>
    <t xml:space="preserve">DERIVED</t>
  </si>
  <si>
    <t xml:space="preserve">telecom.capital_expenditures</t>
  </si>
  <si>
    <t xml:space="preserve">TelecomCapitalExpenditures</t>
  </si>
  <si>
    <t xml:space="preserve">0000732717-25-000013</t>
  </si>
  <si>
    <t xml:space="preserve">2025-02-12</t>
  </si>
  <si>
    <t xml:space="preserve">USD millions</t>
  </si>
  <si>
    <t xml:space="preserve">SEC 10-K Consolidated Statements of Cash Flows, Capital expenditures row</t>
  </si>
  <si>
    <t xml:space="preserve">telecom.capital_expenditures / source component</t>
  </si>
  <si>
    <t xml:space="preserve">ReportedTelecomCapitalExpendituresCashImpact</t>
  </si>
  <si>
    <t xml:space="preserve">MISSING</t>
  </si>
  <si>
    <t xml:space="preserve">telecom.working_capital_change</t>
  </si>
  <si>
    <t xml:space="preserve">TelecomWorkingCapitalChange</t>
  </si>
  <si>
    <t xml:space="preserve">missing_filed_telecom_table_line</t>
  </si>
  <si>
    <t xml:space="preserve">telecom.interest_bearing_debt</t>
  </si>
  <si>
    <t xml:space="preserve">TelecomInterestBearingDebt</t>
  </si>
  <si>
    <t xml:space="preserve">telecom.cost_of_debt</t>
  </si>
  <si>
    <t xml:space="preserve">TelecomCostOfDebt</t>
  </si>
  <si>
    <t xml:space="preserve">SEC_NATIVE</t>
  </si>
  <si>
    <t xml:space="preserve">telecom.wireless_subscribers</t>
  </si>
  <si>
    <t xml:space="preserve">TelecomWirelessSubscribers</t>
  </si>
  <si>
    <t xml:space="preserve">subscribers thousands</t>
  </si>
  <si>
    <t xml:space="preserve">SEC 10-K Mobility subscriber and churn table</t>
  </si>
  <si>
    <t xml:space="preserve">telecom.postpaid_subscribers</t>
  </si>
  <si>
    <t xml:space="preserve">TelecomPostpaidSubscribers</t>
  </si>
  <si>
    <t xml:space="preserve">telecom.postpaid_phone_subscribers</t>
  </si>
  <si>
    <t xml:space="preserve">TelecomPostpaidPhoneSubscribers</t>
  </si>
  <si>
    <t xml:space="preserve">telecom.prepaid_subscribers</t>
  </si>
  <si>
    <t xml:space="preserve">TelecomPrepaidSubscribers</t>
  </si>
  <si>
    <t xml:space="preserve">telecom.reseller_subscribers</t>
  </si>
  <si>
    <t xml:space="preserve">TelecomResellerSubscribers</t>
  </si>
  <si>
    <t xml:space="preserve">telecom.wireless_net_additions</t>
  </si>
  <si>
    <t xml:space="preserve">TelecomWirelessNetAdditions</t>
  </si>
  <si>
    <t xml:space="preserve">telecom.postpaid_phone_net_additions</t>
  </si>
  <si>
    <t xml:space="preserve">TelecomPostpaidPhoneNetAdditions</t>
  </si>
  <si>
    <t xml:space="preserve">telecom.postpaid_churn</t>
  </si>
  <si>
    <t xml:space="preserve">TelecomPostpaidChurn</t>
  </si>
  <si>
    <t xml:space="preserve">telecom.postpaid_phone_churn</t>
  </si>
  <si>
    <t xml:space="preserve">TelecomPostpaidPhoneChurn</t>
  </si>
  <si>
    <t xml:space="preserve">telecom.mobility_revenue</t>
  </si>
  <si>
    <t xml:space="preserve">TelecomMobilityRevenue</t>
  </si>
  <si>
    <t xml:space="preserve">SEC 10-K Communications segment revenue table</t>
  </si>
  <si>
    <t xml:space="preserve">telecom.mobility_service_revenue</t>
  </si>
  <si>
    <t xml:space="preserve">TelecomMobilityServiceRevenue</t>
  </si>
  <si>
    <t xml:space="preserve">SEC 10-K Mobility results table</t>
  </si>
  <si>
    <t xml:space="preserve">telecom.mobility_equipment_revenue</t>
  </si>
  <si>
    <t xml:space="preserve">TelecomMobilityEquipmentRevenue</t>
  </si>
  <si>
    <t xml:space="preserve">telecom.mobility_operating_income</t>
  </si>
  <si>
    <t xml:space="preserve">TelecomMobilityOperatingIncome</t>
  </si>
  <si>
    <t xml:space="preserve">SEC 10-K Communications segment operating income table</t>
  </si>
  <si>
    <t xml:space="preserve">telecom.mobility_depreciation</t>
  </si>
  <si>
    <t xml:space="preserve">TelecomMobilityDepreciation</t>
  </si>
  <si>
    <t xml:space="preserve">telecom.business_wireline_revenue</t>
  </si>
  <si>
    <t xml:space="preserve">TelecomBusinessWirelineRevenue</t>
  </si>
  <si>
    <t xml:space="preserve">telecom.business_wireline_operating_income</t>
  </si>
  <si>
    <t xml:space="preserve">TelecomBusinessWirelineOperatingIncome</t>
  </si>
  <si>
    <t xml:space="preserve">telecom.business_wireline_depreciation</t>
  </si>
  <si>
    <t xml:space="preserve">TelecomBusinessWirelineDepreciation</t>
  </si>
  <si>
    <t xml:space="preserve">SEC 10-K Business Wireline results table</t>
  </si>
  <si>
    <t xml:space="preserve">telecom.consumer_wireline_revenue</t>
  </si>
  <si>
    <t xml:space="preserve">TelecomConsumerWirelineRevenue</t>
  </si>
  <si>
    <t xml:space="preserve">telecom.consumer_broadband_revenue</t>
  </si>
  <si>
    <t xml:space="preserve">TelecomConsumerWirelineBroadbandRevenue</t>
  </si>
  <si>
    <t xml:space="preserve">SEC 10-K Consumer Wireline results table</t>
  </si>
  <si>
    <t xml:space="preserve">telecom.consumer_wireline_operating_income</t>
  </si>
  <si>
    <t xml:space="preserve">TelecomConsumerWirelineOperatingIncome</t>
  </si>
  <si>
    <t xml:space="preserve">telecom.consumer_wireline_depreciation</t>
  </si>
  <si>
    <t xml:space="preserve">TelecomConsumerWirelineDepreciation</t>
  </si>
  <si>
    <t xml:space="preserve">telecom.broadband_connections</t>
  </si>
  <si>
    <t xml:space="preserve">TelecomBroadbandConnections</t>
  </si>
  <si>
    <t xml:space="preserve">telecom.fiber_broadband_connections</t>
  </si>
  <si>
    <t xml:space="preserve">TelecomFiberBroadbandConnections</t>
  </si>
  <si>
    <t xml:space="preserve">telecom.broadband_net_additions</t>
  </si>
  <si>
    <t xml:space="preserve">TelecomBroadbandNetAdditions</t>
  </si>
  <si>
    <t xml:space="preserve">telecom.fiber_broadband_net_additions</t>
  </si>
  <si>
    <t xml:space="preserve">TelecomFiberBroadbandNetAdditions</t>
  </si>
  <si>
    <t xml:space="preserve">SEC 10-K Consumer Wireline broadband table</t>
  </si>
  <si>
    <t xml:space="preserve">telecom.latin_america_revenue</t>
  </si>
  <si>
    <t xml:space="preserve">TelecomLatinAmericaRevenue</t>
  </si>
  <si>
    <t xml:space="preserve">SEC 10-K Latin America segment results table</t>
  </si>
  <si>
    <t xml:space="preserve">telecom.latin_america_operating_income</t>
  </si>
  <si>
    <t xml:space="preserve">TelecomLatinAmericaOperatingIncome</t>
  </si>
  <si>
    <t xml:space="preserve">telecom.communications_revenue</t>
  </si>
  <si>
    <t xml:space="preserve">TelecomCommunicationsRevenue</t>
  </si>
  <si>
    <t xml:space="preserve">telecom.communications_operating_income</t>
  </si>
  <si>
    <t xml:space="preserve">TelecomCommunicationsOperatingIncome</t>
  </si>
  <si>
    <t xml:space="preserve">consolidated.revenue</t>
  </si>
  <si>
    <t xml:space="preserve">Revenues</t>
  </si>
  <si>
    <t xml:space="preserve">USD actual</t>
  </si>
  <si>
    <t xml:space="preserve">IncomeStatement</t>
  </si>
  <si>
    <t xml:space="preserve">consolidated.EBIT</t>
  </si>
  <si>
    <t xml:space="preserve">OperatingIncomeLoss</t>
  </si>
  <si>
    <t xml:space="preserve">consolidated.tax_rate</t>
  </si>
  <si>
    <t xml:space="preserve">IncomeTaxExpenseBenefit</t>
  </si>
  <si>
    <t xml:space="preserve">IncomeLossFromContinuingOperationsBeforeIncomeTaxesExtraordinaryItemsNoncontrollingInterest</t>
  </si>
  <si>
    <t xml:space="preserve">consolidated.D&amp;A</t>
  </si>
  <si>
    <t xml:space="preserve">DepreciationAndAmortization</t>
  </si>
  <si>
    <t xml:space="preserve">0000732717-23-000011</t>
  </si>
  <si>
    <t xml:space="preserve">2023-02-13</t>
  </si>
  <si>
    <t xml:space="preserve">CashFlowStatement</t>
  </si>
  <si>
    <t xml:space="preserve">consolidated.CapEx</t>
  </si>
  <si>
    <t xml:space="preserve">consolidated.CapEx / source component</t>
  </si>
  <si>
    <t xml:space="preserve">consolidated.working_capital_change</t>
  </si>
  <si>
    <t xml:space="preserve">consolidated.cash</t>
  </si>
  <si>
    <t xml:space="preserve">CashAndCashEquivalentsAtCarryingValue</t>
  </si>
  <si>
    <t xml:space="preserve">0000732717-26-000120</t>
  </si>
  <si>
    <t xml:space="preserve">2026-02-09</t>
  </si>
  <si>
    <t xml:space="preserve">BalanceSheet</t>
  </si>
  <si>
    <t xml:space="preserve">NOT_APPLICABLE</t>
  </si>
  <si>
    <t xml:space="preserve">consolidated.marketable_securities</t>
  </si>
  <si>
    <t xml:space="preserve">No separate marketable securities current balance was reported in annual XBRL facts or statement rows</t>
  </si>
  <si>
    <t xml:space="preserve">CompanyFacts</t>
  </si>
  <si>
    <t xml:space="preserve">No separate marketable securities noncurrent balance was reported in annual XBRL facts or statement rows</t>
  </si>
  <si>
    <t xml:space="preserve">consolidated.interest_bearing_debt</t>
  </si>
  <si>
    <t xml:space="preserve">consolidated.noncontrolling_interest</t>
  </si>
  <si>
    <t xml:space="preserve">MinorityInterest</t>
  </si>
  <si>
    <t xml:space="preserve">0000732717-24-000009</t>
  </si>
  <si>
    <t xml:space="preserve">2024-02-23</t>
  </si>
  <si>
    <t xml:space="preserve">consolidated.preferred_equity</t>
  </si>
  <si>
    <t xml:space="preserve">Preferred equity not reported as outstanding in annual XBRL facts</t>
  </si>
  <si>
    <t xml:space="preserve">consolidated.diluted_shares</t>
  </si>
  <si>
    <t xml:space="preserve">us-gaap:WeightedAverageNumberOfDilutedSharesOutstanding</t>
  </si>
  <si>
    <t xml:space="preserve">shares actual</t>
  </si>
  <si>
    <t xml:space="preserve">SEC 10-K cash-flow changes in receivables, equipment installment receivables, contract assets, current assets, and accounts payable; derived as negative total cash impact</t>
  </si>
  <si>
    <t xml:space="preserve">telecom.working_capital_change / source component</t>
  </si>
  <si>
    <t xml:space="preserve">TelecomReceivablesCashImpact</t>
  </si>
  <si>
    <t xml:space="preserve">SEC 10-K Consolidated Statements of Cash Flows, Changes in operating assets and liabilities, Receivables row</t>
  </si>
  <si>
    <t xml:space="preserve">TelecomEquipmentInstallmentReceivablesCashImpact</t>
  </si>
  <si>
    <t xml:space="preserve">SEC 10-K Consolidated Statements of Cash Flows, Changes in operating assets and liabilities, Equipment installment receivables and related sales row</t>
  </si>
  <si>
    <t xml:space="preserve">TelecomContractAssetCashImpact</t>
  </si>
  <si>
    <t xml:space="preserve">SEC 10-K Consolidated Statements of Cash Flows, Changes in operating assets and liabilities, Contract asset and cost deferral row</t>
  </si>
  <si>
    <t xml:space="preserve">TelecomInventoryPrepaidsOtherCurrentAssetsCashImpact</t>
  </si>
  <si>
    <t xml:space="preserve">SEC 10-K Consolidated Statements of Cash Flows, Changes in operating assets and liabilities, Inventories, prepaid and other current assets row</t>
  </si>
  <si>
    <t xml:space="preserve">TelecomAccountsPayableAccruedLiabilitiesCashImpact</t>
  </si>
  <si>
    <t xml:space="preserve">SEC 10-K Consolidated Statements of Cash Flows, Changes in operating assets and liabilities, Accounts payable and other accrued liabilities row</t>
  </si>
  <si>
    <t xml:space="preserve">SEC 10-K debt note, total long-term debt including current maturities; filing separately states whether short-term borrowings are outstanding</t>
  </si>
  <si>
    <t xml:space="preserve">percent annual</t>
  </si>
  <si>
    <t xml:space="preserve">SEC 10-K debt note, weighted-average interest rate of long-term debt portfolio</t>
  </si>
  <si>
    <t xml:space="preserve">percent monthly</t>
  </si>
  <si>
    <t xml:space="preserve">consolidated.working_capital_change / source component</t>
  </si>
  <si>
    <t xml:space="preserve">Analyst and live-market assumptions</t>
  </si>
  <si>
    <t xml:space="preserve">ASSUMPTION</t>
  </si>
  <si>
    <t xml:space="preserve">postpaidGrossAddRate</t>
  </si>
  <si>
    <t xml:space="preserve">Median of FY2023–FY2025 derived gross postpaid phone additions divided by beginning subscribers; gross additions equal filed net additions plus average subscribers multiplied by monthly churn and twelve months. See the live subscriber and churn lines in Data Review.</t>
  </si>
  <si>
    <t xml:space="preserve">postpaidPhoneMonthlyChurn</t>
  </si>
  <si>
    <t xml:space="preserve">Median of FY2023–FY2025 filed monthly postpaid phone churn. See source register in Data Review.</t>
  </si>
  <si>
    <t xml:space="preserve">otherWirelessSubscriberGrowth</t>
  </si>
  <si>
    <t xml:space="preserve">Median growth in filed total wireless subscribers less filed postpaid phone subscribers. See source register in Data Review.</t>
  </si>
  <si>
    <t xml:space="preserve">serviceRevenuePerSubscriberGrowth</t>
  </si>
  <si>
    <t xml:space="preserve">Median growth in filed Mobility service revenue per average total wireless subscriber per month; this derived measure is not issuer-reported ARPU. FY2023–FY2025 observed monthly rates: 47.0626, 47.0325, 47.1964.</t>
  </si>
  <si>
    <t xml:space="preserve">equipmentRevenuePerSubscriberGrowth</t>
  </si>
  <si>
    <t xml:space="preserve">Median growth in filed Mobility equipment revenue per average total wireless subscriber. FY2023–FY2025 observed annual revenue per subscriber: 186.0035, 171.6488, 185.7318.</t>
  </si>
  <si>
    <t xml:space="preserve">broadbandNetAdditionsRate</t>
  </si>
  <si>
    <t xml:space="preserve">Median of FY2024 and FY2025 filed broadband net additions divided by beginning connections. FY2023 is excluded because the filing does not present a comparable FY2022 connection population.</t>
  </si>
  <si>
    <t xml:space="preserve">broadbandRevenuePerConnectionGrowth</t>
  </si>
  <si>
    <t xml:space="preserve">Growth in derived monthly broadband revenue per average connection from FY2024–FY2025; FY2023 is excluded because the filing does not present a comparable FY2022 connection population. FY2023–FY2025 observed monthly rates: 67.4219, 70.7946.</t>
  </si>
  <si>
    <t xml:space="preserve">consumerNonBroadbandRevenueGrowth</t>
  </si>
  <si>
    <t xml:space="preserve">Median growth in filed Consumer Wireline revenue less separately filed broadband revenue.</t>
  </si>
  <si>
    <t xml:space="preserve">businessWirelineRevenueGrowth</t>
  </si>
  <si>
    <t xml:space="preserve">Median change in filed Business Wireline segment revenue. See source register in Data Review.</t>
  </si>
  <si>
    <t xml:space="preserve">latinAmericaRevenueGrowth</t>
  </si>
  <si>
    <t xml:space="preserve">Median change in filed Latin America segment revenue. See source register in Data Review.</t>
  </si>
  <si>
    <t xml:space="preserve">otherRevenueGrowth</t>
  </si>
  <si>
    <t xml:space="preserve">Median year-over-year change in consolidated revenue less filed segment revenues; the residual remains visible as a separate line. Derived FY2023–FY2025 reconciliation revenue: 458000000.0, 452000000.0, 373000000.0 USD actual.</t>
  </si>
  <si>
    <t xml:space="preserve">mobilityOperatingMargin</t>
  </si>
  <si>
    <t xml:space="preserve">Median filed Mobility segment operating income divided by Mobility segment revenue. See source register in Data Review.</t>
  </si>
  <si>
    <t xml:space="preserve">businessWirelineOperatingMargin</t>
  </si>
  <si>
    <t xml:space="preserve">Median filed Business Wireline segment operating income divided by segment revenue. See source register in Data Review.</t>
  </si>
  <si>
    <t xml:space="preserve">consumerWirelineOperatingMargin</t>
  </si>
  <si>
    <t xml:space="preserve">Median filed Consumer Wireline segment operating income divided by segment revenue. See source register in Data Review.</t>
  </si>
  <si>
    <t xml:space="preserve">latinAmericaOperatingMargin</t>
  </si>
  <si>
    <t xml:space="preserve">Median filed Latin America segment operating income divided by segment revenue. See source register in Data Review.</t>
  </si>
  <si>
    <t xml:space="preserve">unallocatedOperatingIncomeMargin</t>
  </si>
  <si>
    <t xml:space="preserve">Median consolidated EBIT less reported segment operating income divided by consolidated revenue; this explicit residual preserves corporate and reconciliation items. Source-based FY2023–FY2025 margins: -0.0343, -0.0661, -0.0311.</t>
  </si>
  <si>
    <t xml:space="preserve">taxRate</t>
  </si>
  <si>
    <t xml:space="preserve">Median FY2023–FY2025 filed effective tax rates. See source register in Data Review.</t>
  </si>
  <si>
    <t xml:space="preserve">depreciationPctRevenue</t>
  </si>
  <si>
    <t xml:space="preserve">Median FY2023–FY2025 filed depreciation and amortization divided by consolidated revenue. See source register in Data Review.</t>
  </si>
  <si>
    <t xml:space="preserve">capexPctRevenue</t>
  </si>
  <si>
    <t xml:space="preserve">Median FY2023–FY2025 filed capital expenditures divided by consolidated revenue. See source register in Data Review.</t>
  </si>
  <si>
    <t xml:space="preserve">workingCapitalChangePctRevenue</t>
  </si>
  <si>
    <t xml:space="preserve">Median FY2023–FY2025 operating working-capital investment divided by consolidated revenue; based on filed cash impacts for operating assets and liabilities.</t>
  </si>
  <si>
    <t xml:space="preserve">costOfDebt</t>
  </si>
  <si>
    <t xml:space="preserve">FY2025 filed weighted-average debt interest rate including derivatives. FY2025 filed_10k_telecom_table_value_normalized; TelecomCostOfDebt (accession 0000732717-26-000120, filed 2026-02-09, FY 2025).</t>
  </si>
  <si>
    <t xml:space="preserve">wacc</t>
  </si>
  <si>
    <t xml:space="preserve">CAPM cost of equity uses risk-free rate 0.0528 from live, beta 0.431 from openbb_yfinance, and ERP 0.0838 from live; weights use current market capitalization and FY2025 filed debt as of 2026-10-03.</t>
  </si>
  <si>
    <t xml:space="preserve">terminalGrowthRate</t>
  </si>
  <si>
    <t xml:space="preserve">Analyst input: 2.5% perpetual FCFF growth; editable and required to remain below WACC.</t>
  </si>
  <si>
    <t xml:space="preserve">Model conventions and limits</t>
  </si>
  <si>
    <t xml:space="preserve">INFO</t>
  </si>
  <si>
    <t xml:space="preserve">The model uses FY2025 filed annual segment results as its forecast base and includes an opening-year customer observation for average-customer calculations.</t>
  </si>
  <si>
    <t xml:space="preserve">Reported Mobility service revenue is divided by average total wireless subscribers and twelve months to derive a service-revenue-per-subscriber measure; it is not presented as AT&amp;T-reported ARPU.</t>
  </si>
  <si>
    <t xml:space="preserve">Postpaid phone churn is from the issuer's filed monthly measure. Gross additions are derived from filed net additions and average postpaid phone connections times twelve monthly churn periods.</t>
  </si>
  <si>
    <t xml:space="preserve">The historical customer roll-forward residual is shown because reported subscriber definitions exclude promotional lines and can include timing adjustments.</t>
  </si>
  <si>
    <t xml:space="preserve">Working-capital investment is derived from filed cash impacts for receivables, equipment installment receivables, contract assets, other current assets, and accounts payable/accrued liabilities.</t>
  </si>
  <si>
    <t xml:space="preserve">The model does not include FY2026 quarterly results or post-year-end acquired operations and spectrum transactions; update the driver schedule for a pro forma transaction case.</t>
  </si>
  <si>
    <t xml:space="preserve">The latest telecom segment and subscriber actuals are FY2025; 2026 quarterly changes and subsequent acquisitions/spectrum transactions are not included.</t>
  </si>
  <si>
    <t xml:space="preserve">valuation_context: data status is cached</t>
  </si>
  <si>
    <t xml:space="preserve">insider_trades: Insider trades are intentionally lazy-loaded and do not block the primary valuation load.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</si>
</sst>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,,;[RED]\(#,##0.0,,\);\-"/>
    <numFmt numFmtId="169" formatCode="0.0%;[RED]\(0.0%\);0.0%"/>
    <numFmt numFmtId="170" formatCode="\$0.00;[RED]&quot;($&quot;0.00\);\-"/>
    <numFmt numFmtId="171" formatCode="0.000\x"/>
    <numFmt numFmtId="172" formatCode="\$#,##0.00;[RED]&quot;($&quot;#,##0.00\);\-"/>
    <numFmt numFmtId="173" formatCode="#,##0.0;[RED]\(#,##0.0\);\-"/>
  </numFmts>
  <fonts count="2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2F0D9"/>
      </patternFill>
    </fill>
    <fill>
      <patternFill patternType="solid">
        <fgColor rgb="FF365F91"/>
        <bgColor rgb="FF33339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7">
    <dxf>
      <fill>
        <patternFill patternType="solid">
          <fgColor rgb="FF365F91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10" min="2" style="0" width="15"/>
    <col collapsed="false" customWidth="true" hidden="false" outlineLevel="0" max="11" min="11" style="0" width="42"/>
    <col collapsed="false" customWidth="true" hidden="false" outlineLevel="0" max="12" min="12" style="0" width="17"/>
    <col collapsed="false" customWidth="true" hidden="false" outlineLevel="0" max="13" min="13" style="0" width="7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 t="s">
        <v>3</v>
      </c>
      <c r="L3" s="3"/>
      <c r="M3" s="3"/>
    </row>
    <row r="4" customFormat="false" ht="15" hidden="false" customHeight="fals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5" t="s">
        <v>14</v>
      </c>
      <c r="L4" s="5" t="s">
        <v>15</v>
      </c>
      <c r="M4" s="5" t="s">
        <v>16</v>
      </c>
    </row>
    <row r="5" customFormat="false" ht="15" hidden="false" customHeight="false" outlineLevel="0" collapsed="false">
      <c r="A5" s="6" t="s">
        <v>17</v>
      </c>
      <c r="C5" s="7" t="n">
        <f aca="false">B10</f>
        <v>69596000</v>
      </c>
      <c r="D5" s="7" t="n">
        <f aca="false">C10</f>
        <v>71255000</v>
      </c>
      <c r="E5" s="7" t="n">
        <f aca="false">D10</f>
        <v>72749000</v>
      </c>
      <c r="F5" s="7" t="n">
        <f aca="false">E10</f>
        <v>74214000</v>
      </c>
      <c r="G5" s="7" t="n">
        <f aca="false">F10</f>
        <v>76069521.108897</v>
      </c>
      <c r="H5" s="7" t="n">
        <f aca="false">G10</f>
        <v>77971434.5236333</v>
      </c>
      <c r="I5" s="7" t="n">
        <f aca="false">H10</f>
        <v>79920900.1588177</v>
      </c>
      <c r="J5" s="7" t="n">
        <f aca="false">I10</f>
        <v>81919106.9295986</v>
      </c>
      <c r="K5" s="8" t="s">
        <v>18</v>
      </c>
      <c r="L5" s="9" t="n">
        <v>0.123417417667682</v>
      </c>
      <c r="M5" s="10" t="s">
        <v>19</v>
      </c>
    </row>
    <row r="6" customFormat="false" ht="15" hidden="false" customHeight="false" outlineLevel="0" collapsed="false">
      <c r="A6" s="6" t="s">
        <v>20</v>
      </c>
      <c r="C6" s="7" t="n">
        <f aca="false">C8+C9</f>
        <v>8589358.6</v>
      </c>
      <c r="D6" s="7" t="n">
        <f aca="false">D8+D9</f>
        <v>8219582.4</v>
      </c>
      <c r="E6" s="7" t="n">
        <f aca="false">E8+E9</f>
        <v>9487002</v>
      </c>
      <c r="F6" s="7" t="n">
        <f aca="false">F5*$L$5</f>
        <v>9159300.23478936</v>
      </c>
      <c r="G6" s="7" t="n">
        <f aca="false">G5*$L$5</f>
        <v>9388303.8584773</v>
      </c>
      <c r="H6" s="7" t="n">
        <f aca="false">H5*$L$5</f>
        <v>9623033.10075158</v>
      </c>
      <c r="I6" s="7" t="n">
        <f aca="false">I5*$L$5</f>
        <v>9863631.11527793</v>
      </c>
      <c r="J6" s="7" t="n">
        <f aca="false">J5*$L$5</f>
        <v>10110244.6348938</v>
      </c>
      <c r="K6" s="8" t="s">
        <v>21</v>
      </c>
      <c r="L6" s="9" t="n">
        <v>0.0081</v>
      </c>
      <c r="M6" s="10" t="s">
        <v>19</v>
      </c>
    </row>
    <row r="7" customFormat="false" ht="15" hidden="false" customHeight="false" outlineLevel="0" collapsed="false">
      <c r="A7" s="6" t="s">
        <v>22</v>
      </c>
      <c r="C7" s="11" t="n">
        <v>0.0081</v>
      </c>
      <c r="D7" s="11" t="n">
        <v>0.0076</v>
      </c>
      <c r="E7" s="11" t="n">
        <v>0.009</v>
      </c>
      <c r="F7" s="12" t="n">
        <f aca="false">$L$6</f>
        <v>0.0081</v>
      </c>
      <c r="G7" s="12" t="n">
        <f aca="false">$L$6</f>
        <v>0.0081</v>
      </c>
      <c r="H7" s="12" t="n">
        <f aca="false">$L$6</f>
        <v>0.0081</v>
      </c>
      <c r="I7" s="12" t="n">
        <f aca="false">$L$6</f>
        <v>0.0081</v>
      </c>
      <c r="J7" s="12" t="n">
        <f aca="false">$L$6</f>
        <v>0.0081</v>
      </c>
      <c r="K7" s="8" t="s">
        <v>23</v>
      </c>
      <c r="L7" s="9" t="n">
        <v>0.0553034248443816</v>
      </c>
      <c r="M7" s="10" t="s">
        <v>19</v>
      </c>
    </row>
    <row r="8" customFormat="false" ht="15" hidden="false" customHeight="false" outlineLevel="0" collapsed="false">
      <c r="A8" s="6" t="s">
        <v>24</v>
      </c>
      <c r="C8" s="7" t="n">
        <f aca="false">C11*C7*12</f>
        <v>6845358.6</v>
      </c>
      <c r="D8" s="7" t="n">
        <f aca="false">D11*D7*12</f>
        <v>6566582.4</v>
      </c>
      <c r="E8" s="7" t="n">
        <f aca="false">E11*E7*12</f>
        <v>7936002</v>
      </c>
      <c r="F8" s="7" t="n">
        <f aca="false">F11*F7*12</f>
        <v>7303779.12589239</v>
      </c>
      <c r="G8" s="7" t="n">
        <f aca="false">G11*G7*12</f>
        <v>7486390.44374097</v>
      </c>
      <c r="H8" s="7" t="n">
        <f aca="false">H11*H7*12</f>
        <v>7673567.46556712</v>
      </c>
      <c r="I8" s="7" t="n">
        <f aca="false">I11*I7*12</f>
        <v>7865424.34449704</v>
      </c>
      <c r="J8" s="7" t="n">
        <f aca="false">J11*J7*12</f>
        <v>8062078.08774826</v>
      </c>
      <c r="K8" s="8" t="s">
        <v>25</v>
      </c>
      <c r="L8" s="9" t="n">
        <v>0.00142299326189194</v>
      </c>
      <c r="M8" s="10" t="s">
        <v>19</v>
      </c>
    </row>
    <row r="9" customFormat="false" ht="15" hidden="false" customHeight="false" outlineLevel="0" collapsed="false">
      <c r="A9" s="6" t="s">
        <v>26</v>
      </c>
      <c r="C9" s="13" t="n">
        <v>1744000</v>
      </c>
      <c r="D9" s="13" t="n">
        <v>1653000</v>
      </c>
      <c r="E9" s="13" t="n">
        <v>1551000</v>
      </c>
      <c r="F9" s="7" t="n">
        <f aca="false">F6-F8</f>
        <v>1855521.10889697</v>
      </c>
      <c r="G9" s="7" t="n">
        <f aca="false">G6-G8</f>
        <v>1901913.41473633</v>
      </c>
      <c r="H9" s="7" t="n">
        <f aca="false">H6-H8</f>
        <v>1949465.63518446</v>
      </c>
      <c r="I9" s="7" t="n">
        <f aca="false">I6-I8</f>
        <v>1998206.77078089</v>
      </c>
      <c r="J9" s="7" t="n">
        <f aca="false">J6-J8</f>
        <v>2048166.54714553</v>
      </c>
      <c r="K9" s="8" t="s">
        <v>27</v>
      </c>
      <c r="L9" s="9" t="n">
        <v>0.00243562016487431</v>
      </c>
      <c r="M9" s="10" t="s">
        <v>19</v>
      </c>
    </row>
    <row r="10" customFormat="false" ht="15" hidden="false" customHeight="false" outlineLevel="0" collapsed="false">
      <c r="A10" s="14" t="s">
        <v>28</v>
      </c>
      <c r="B10" s="13" t="n">
        <v>69596000</v>
      </c>
      <c r="C10" s="13" t="n">
        <v>71255000</v>
      </c>
      <c r="D10" s="13" t="n">
        <v>72749000</v>
      </c>
      <c r="E10" s="13" t="n">
        <v>74214000</v>
      </c>
      <c r="F10" s="7" t="n">
        <f aca="false">(F5+F6-6*F7*F5)/(1+6*F7)</f>
        <v>76069521.108897</v>
      </c>
      <c r="G10" s="7" t="n">
        <f aca="false">(G5+G6-6*G7*G5)/(1+6*G7)</f>
        <v>77971434.5236333</v>
      </c>
      <c r="H10" s="7" t="n">
        <f aca="false">(H5+H6-6*H7*H5)/(1+6*H7)</f>
        <v>79920900.1588177</v>
      </c>
      <c r="I10" s="7" t="n">
        <f aca="false">(I5+I6-6*I7*I5)/(1+6*I7)</f>
        <v>81919106.9295986</v>
      </c>
      <c r="J10" s="7" t="n">
        <f aca="false">(J5+J6-6*J7*J5)/(1+6*J7)</f>
        <v>83967273.4767442</v>
      </c>
      <c r="K10" s="8" t="s">
        <v>29</v>
      </c>
      <c r="L10" s="9" t="n">
        <v>0.0354560814701547</v>
      </c>
      <c r="M10" s="10" t="s">
        <v>19</v>
      </c>
    </row>
    <row r="11" customFormat="false" ht="15" hidden="false" customHeight="false" outlineLevel="0" collapsed="false">
      <c r="A11" s="6" t="s">
        <v>30</v>
      </c>
      <c r="C11" s="7" t="n">
        <f aca="false">AVERAGE(C5,C10)</f>
        <v>70425500</v>
      </c>
      <c r="D11" s="7" t="n">
        <f aca="false">AVERAGE(D5,D10)</f>
        <v>72002000</v>
      </c>
      <c r="E11" s="7" t="n">
        <f aca="false">AVERAGE(E5,E10)</f>
        <v>73481500</v>
      </c>
      <c r="F11" s="7" t="n">
        <f aca="false">AVERAGE(F5,F10)</f>
        <v>75141760.5544485</v>
      </c>
      <c r="G11" s="7" t="n">
        <f aca="false">AVERAGE(G5,G10)</f>
        <v>77020477.8162651</v>
      </c>
      <c r="H11" s="7" t="n">
        <f aca="false">AVERAGE(H5,H10)</f>
        <v>78946167.3412255</v>
      </c>
      <c r="I11" s="7" t="n">
        <f aca="false">AVERAGE(I5,I10)</f>
        <v>80920003.5442082</v>
      </c>
      <c r="J11" s="7" t="n">
        <f aca="false">AVERAGE(J5,J10)</f>
        <v>82943190.2031714</v>
      </c>
      <c r="K11" s="8" t="s">
        <v>31</v>
      </c>
      <c r="L11" s="9" t="n">
        <v>0.0500224612085471</v>
      </c>
      <c r="M11" s="10" t="s">
        <v>19</v>
      </c>
    </row>
    <row r="12" customFormat="false" ht="15" hidden="false" customHeight="false" outlineLevel="0" collapsed="false">
      <c r="A12" s="6" t="s">
        <v>32</v>
      </c>
      <c r="C12" s="7" t="n">
        <f aca="false">B16-B10</f>
        <v>40323000</v>
      </c>
      <c r="D12" s="7" t="n">
        <f aca="false">C16-C10</f>
        <v>42553000</v>
      </c>
      <c r="E12" s="7" t="n">
        <f aca="false">D16-D10</f>
        <v>45102000</v>
      </c>
      <c r="F12" s="7" t="n">
        <f aca="false">E14</f>
        <v>45891000</v>
      </c>
      <c r="G12" s="7" t="n">
        <f aca="false">F14</f>
        <v>48428929.4695335</v>
      </c>
      <c r="H12" s="7" t="n">
        <f aca="false">G14</f>
        <v>51107215.1307457</v>
      </c>
      <c r="I12" s="7" t="n">
        <f aca="false">H14</f>
        <v>53933619.1617345</v>
      </c>
      <c r="J12" s="7" t="n">
        <f aca="false">I14</f>
        <v>56916333.015631</v>
      </c>
      <c r="K12" s="8" t="s">
        <v>33</v>
      </c>
      <c r="L12" s="9" t="n">
        <v>-0.142944534946573</v>
      </c>
      <c r="M12" s="10" t="s">
        <v>19</v>
      </c>
    </row>
    <row r="13" customFormat="false" ht="15" hidden="false" customHeight="false" outlineLevel="0" collapsed="false">
      <c r="A13" s="6" t="s">
        <v>23</v>
      </c>
      <c r="C13" s="12" t="n">
        <f aca="false">IFERROR((C16-C10)/C12-1,0)</f>
        <v>0.0553034248443816</v>
      </c>
      <c r="D13" s="12" t="n">
        <f aca="false">IFERROR((D16-D10)/D12-1,0)</f>
        <v>0.0599017695579631</v>
      </c>
      <c r="E13" s="12" t="n">
        <f aca="false">IFERROR((E16-E10)/E12-1,0)</f>
        <v>0.0174936809897566</v>
      </c>
      <c r="F13" s="12" t="n">
        <f aca="false">$L$7</f>
        <v>0.0553034248443816</v>
      </c>
      <c r="G13" s="12" t="n">
        <f aca="false">$L$7</f>
        <v>0.0553034248443816</v>
      </c>
      <c r="H13" s="12" t="n">
        <f aca="false">$L$7</f>
        <v>0.0553034248443816</v>
      </c>
      <c r="I13" s="12" t="n">
        <f aca="false">$L$7</f>
        <v>0.0553034248443816</v>
      </c>
      <c r="J13" s="12" t="n">
        <f aca="false">$L$7</f>
        <v>0.0553034248443816</v>
      </c>
      <c r="K13" s="8" t="s">
        <v>34</v>
      </c>
      <c r="L13" s="9" t="n">
        <v>-0.0916095893482716</v>
      </c>
      <c r="M13" s="10" t="s">
        <v>19</v>
      </c>
    </row>
    <row r="14" customFormat="false" ht="15" hidden="false" customHeight="false" outlineLevel="0" collapsed="false">
      <c r="A14" s="6" t="s">
        <v>35</v>
      </c>
      <c r="B14" s="7" t="n">
        <f aca="false">B16-B10</f>
        <v>40323000</v>
      </c>
      <c r="C14" s="7" t="n">
        <f aca="false">C16-C10</f>
        <v>42553000</v>
      </c>
      <c r="D14" s="7" t="n">
        <f aca="false">D16-D10</f>
        <v>45102000</v>
      </c>
      <c r="E14" s="7" t="n">
        <f aca="false">E16-E10</f>
        <v>45891000</v>
      </c>
      <c r="F14" s="7" t="n">
        <f aca="false">F12*(1+F13)</f>
        <v>48428929.4695335</v>
      </c>
      <c r="G14" s="7" t="n">
        <f aca="false">G12*(1+G13)</f>
        <v>51107215.1307457</v>
      </c>
      <c r="H14" s="7" t="n">
        <f aca="false">H12*(1+H13)</f>
        <v>53933619.1617345</v>
      </c>
      <c r="I14" s="7" t="n">
        <f aca="false">I12*(1+I13)</f>
        <v>56916333.015631</v>
      </c>
      <c r="J14" s="7" t="n">
        <f aca="false">J12*(1+J13)</f>
        <v>60064001.1609788</v>
      </c>
      <c r="K14" s="8" t="s">
        <v>36</v>
      </c>
      <c r="L14" s="9" t="n">
        <v>0.055516199781926</v>
      </c>
      <c r="M14" s="10" t="s">
        <v>19</v>
      </c>
    </row>
    <row r="15" customFormat="false" ht="15" hidden="false" customHeight="false" outlineLevel="0" collapsed="false">
      <c r="A15" s="6" t="s">
        <v>37</v>
      </c>
      <c r="C15" s="7" t="n">
        <f aca="false">B16</f>
        <v>109919000</v>
      </c>
      <c r="D15" s="7" t="n">
        <f aca="false">C16</f>
        <v>113808000</v>
      </c>
      <c r="E15" s="7" t="n">
        <f aca="false">D16</f>
        <v>117851000</v>
      </c>
      <c r="F15" s="7" t="n">
        <f aca="false">E16</f>
        <v>120105000</v>
      </c>
      <c r="G15" s="7" t="n">
        <f aca="false">F16</f>
        <v>124498450.57843</v>
      </c>
      <c r="H15" s="7" t="n">
        <f aca="false">G16</f>
        <v>129078649.654379</v>
      </c>
      <c r="I15" s="7" t="n">
        <f aca="false">H16</f>
        <v>133854519.320552</v>
      </c>
      <c r="J15" s="7" t="n">
        <f aca="false">I16</f>
        <v>138835439.94523</v>
      </c>
      <c r="K15" s="8" t="s">
        <v>38</v>
      </c>
      <c r="L15" s="9" t="n">
        <v>-0.0939395988715848</v>
      </c>
      <c r="M15" s="10" t="s">
        <v>19</v>
      </c>
    </row>
    <row r="16" customFormat="false" ht="15" hidden="false" customHeight="false" outlineLevel="0" collapsed="false">
      <c r="A16" s="14" t="s">
        <v>39</v>
      </c>
      <c r="B16" s="13" t="n">
        <v>109919000</v>
      </c>
      <c r="C16" s="13" t="n">
        <v>113808000</v>
      </c>
      <c r="D16" s="13" t="n">
        <v>117851000</v>
      </c>
      <c r="E16" s="13" t="n">
        <v>120105000</v>
      </c>
      <c r="F16" s="7" t="n">
        <f aca="false">F10+F14</f>
        <v>124498450.57843</v>
      </c>
      <c r="G16" s="7" t="n">
        <f aca="false">G10+G14</f>
        <v>129078649.654379</v>
      </c>
      <c r="H16" s="7" t="n">
        <f aca="false">H10+H14</f>
        <v>133854519.320552</v>
      </c>
      <c r="I16" s="7" t="n">
        <f aca="false">I10+I14</f>
        <v>138835439.94523</v>
      </c>
      <c r="J16" s="7" t="n">
        <f aca="false">J10+J14</f>
        <v>144031274.637723</v>
      </c>
      <c r="K16" s="8" t="s">
        <v>40</v>
      </c>
      <c r="L16" s="9" t="n">
        <v>0.307935033697697</v>
      </c>
      <c r="M16" s="10" t="s">
        <v>19</v>
      </c>
    </row>
    <row r="17" customFormat="false" ht="15" hidden="false" customHeight="false" outlineLevel="0" collapsed="false">
      <c r="A17" s="6" t="s">
        <v>41</v>
      </c>
      <c r="C17" s="7" t="n">
        <f aca="false">AVERAGE(C15,C16)</f>
        <v>111863500</v>
      </c>
      <c r="D17" s="7" t="n">
        <f aca="false">AVERAGE(D15,D16)</f>
        <v>115829500</v>
      </c>
      <c r="E17" s="7" t="n">
        <f aca="false">AVERAGE(E15,E16)</f>
        <v>118978000</v>
      </c>
      <c r="F17" s="7" t="n">
        <f aca="false">AVERAGE(F15,F16)</f>
        <v>122301725.289215</v>
      </c>
      <c r="G17" s="7" t="n">
        <f aca="false">AVERAGE(G15,G16)</f>
        <v>126788550.116405</v>
      </c>
      <c r="H17" s="7" t="n">
        <f aca="false">AVERAGE(H15,H16)</f>
        <v>131466584.487466</v>
      </c>
      <c r="I17" s="7" t="n">
        <f aca="false">AVERAGE(I15,I16)</f>
        <v>136344979.632891</v>
      </c>
      <c r="J17" s="7" t="n">
        <f aca="false">AVERAGE(J15,J16)</f>
        <v>141433357.291476</v>
      </c>
      <c r="K17" s="8" t="s">
        <v>42</v>
      </c>
      <c r="L17" s="9" t="n">
        <v>-0.00467612519262448</v>
      </c>
      <c r="M17" s="10" t="s">
        <v>19</v>
      </c>
    </row>
    <row r="18" customFormat="false" ht="15" hidden="false" customHeight="false" outlineLevel="0" collapsed="false">
      <c r="A18" s="6" t="s">
        <v>43</v>
      </c>
      <c r="C18" s="7" t="n">
        <f aca="false">C16-(C15+3722000)</f>
        <v>167000</v>
      </c>
      <c r="D18" s="7" t="n">
        <f aca="false">D16-(D15+4168000)</f>
        <v>-125000</v>
      </c>
      <c r="E18" s="7" t="n">
        <f aca="false">E16-(E15+2314000)</f>
        <v>-60000</v>
      </c>
      <c r="F18" s="7" t="n">
        <f aca="false">F16-(F10+F14)</f>
        <v>0</v>
      </c>
      <c r="G18" s="7" t="n">
        <f aca="false">G16-(G10+G14)</f>
        <v>0</v>
      </c>
      <c r="H18" s="7" t="n">
        <f aca="false">H16-(H10+H14)</f>
        <v>0</v>
      </c>
      <c r="I18" s="7" t="n">
        <f aca="false">I16-(I10+I14)</f>
        <v>0</v>
      </c>
      <c r="J18" s="7" t="n">
        <f aca="false">J16-(J10+J14)</f>
        <v>0</v>
      </c>
      <c r="K18" s="8" t="s">
        <v>44</v>
      </c>
      <c r="L18" s="9" t="n">
        <v>0.064000589188393</v>
      </c>
      <c r="M18" s="10" t="s">
        <v>19</v>
      </c>
    </row>
    <row r="19" customFormat="false" ht="15" hidden="false" customHeight="false" outlineLevel="0" collapsed="false">
      <c r="K19" s="8" t="s">
        <v>45</v>
      </c>
      <c r="L19" s="9" t="n">
        <v>0.00945179584120983</v>
      </c>
      <c r="M19" s="10" t="s">
        <v>19</v>
      </c>
    </row>
    <row r="20" customFormat="false" ht="15" hidden="false" customHeight="false" outlineLevel="0" collapsed="false">
      <c r="A20" s="3" t="s">
        <v>46</v>
      </c>
      <c r="B20" s="3"/>
      <c r="C20" s="3"/>
      <c r="D20" s="3"/>
      <c r="E20" s="3"/>
      <c r="F20" s="3"/>
      <c r="G20" s="3"/>
      <c r="H20" s="3"/>
      <c r="I20" s="3"/>
      <c r="J20" s="3"/>
      <c r="K20" s="8" t="s">
        <v>47</v>
      </c>
      <c r="L20" s="9" t="n">
        <v>-0.0342977096742575</v>
      </c>
      <c r="M20" s="10" t="s">
        <v>19</v>
      </c>
    </row>
    <row r="21" customFormat="false" ht="15" hidden="false" customHeight="false" outlineLevel="0" collapsed="false">
      <c r="A21" s="6" t="s">
        <v>48</v>
      </c>
      <c r="C21" s="15" t="n">
        <f aca="false">IFERROR(C22/(C17*12),0)</f>
        <v>47.0625658354453</v>
      </c>
      <c r="D21" s="15" t="n">
        <f aca="false">IFERROR(D22/(D17*12),0)</f>
        <v>47.0324917227477</v>
      </c>
      <c r="E21" s="15" t="n">
        <f aca="false">IFERROR(E22/(E17*12),0)</f>
        <v>47.1964004549861</v>
      </c>
      <c r="F21" s="15" t="n">
        <f aca="false">E21*(1+$L$8)</f>
        <v>47.2635606148191</v>
      </c>
      <c r="G21" s="15" t="n">
        <f aca="false">F21*(1+$L$8)</f>
        <v>47.330816343107</v>
      </c>
      <c r="H21" s="15" t="n">
        <f aca="false">G21*(1+$L$8)</f>
        <v>47.3981677758431</v>
      </c>
      <c r="I21" s="15" t="n">
        <f aca="false">H21*(1+$L$8)</f>
        <v>47.4656150492141</v>
      </c>
      <c r="J21" s="15" t="n">
        <f aca="false">I21*(1+$L$8)</f>
        <v>47.5331582996007</v>
      </c>
      <c r="K21" s="8" t="s">
        <v>49</v>
      </c>
      <c r="L21" s="9" t="n">
        <v>0.212867795243853</v>
      </c>
      <c r="M21" s="10" t="s">
        <v>19</v>
      </c>
    </row>
    <row r="22" customFormat="false" ht="15" hidden="false" customHeight="false" outlineLevel="0" collapsed="false">
      <c r="A22" s="6" t="s">
        <v>50</v>
      </c>
      <c r="B22" s="13" t="n">
        <v>60499000000</v>
      </c>
      <c r="C22" s="13" t="n">
        <v>63175000000</v>
      </c>
      <c r="D22" s="13" t="n">
        <v>65373000000</v>
      </c>
      <c r="E22" s="13" t="n">
        <v>67384000000</v>
      </c>
      <c r="F22" s="7" t="n">
        <f aca="false">F17*F21*12</f>
        <v>69364980078.0453</v>
      </c>
      <c r="G22" s="7" t="n">
        <f aca="false">G17*G21*12</f>
        <v>72012066959.6204</v>
      </c>
      <c r="H22" s="7" t="n">
        <f aca="false">H17*H21*12</f>
        <v>74775302741.4473</v>
      </c>
      <c r="I22" s="7" t="n">
        <f aca="false">I17*I21*12</f>
        <v>77660379805.7729</v>
      </c>
      <c r="J22" s="7" t="n">
        <f aca="false">J17*J21*12</f>
        <v>80673289931.7567</v>
      </c>
      <c r="K22" s="8" t="s">
        <v>51</v>
      </c>
      <c r="L22" s="9" t="n">
        <v>0.166226282949191</v>
      </c>
      <c r="M22" s="10" t="s">
        <v>19</v>
      </c>
    </row>
    <row r="23" customFormat="false" ht="15" hidden="false" customHeight="false" outlineLevel="0" collapsed="false">
      <c r="A23" s="6" t="s">
        <v>52</v>
      </c>
      <c r="C23" s="15" t="n">
        <f aca="false">IFERROR(C24/C17,0)</f>
        <v>186.003477452431</v>
      </c>
      <c r="D23" s="15" t="n">
        <f aca="false">IFERROR(D24/D17,0)</f>
        <v>171.648845933031</v>
      </c>
      <c r="E23" s="15" t="n">
        <f aca="false">IFERROR(E24/E17,0)</f>
        <v>185.731815965977</v>
      </c>
      <c r="F23" s="15" t="n">
        <f aca="false">E23*(1+$L$9)</f>
        <v>186.184188122202</v>
      </c>
      <c r="G23" s="15" t="n">
        <f aca="false">F23*(1+$L$9)</f>
        <v>186.637662085174</v>
      </c>
      <c r="H23" s="15" t="n">
        <f aca="false">G23*(1+$L$9)</f>
        <v>187.092240538473</v>
      </c>
      <c r="I23" s="15" t="n">
        <f aca="false">H23*(1+$L$9)</f>
        <v>187.54792617222</v>
      </c>
      <c r="J23" s="15" t="n">
        <f aca="false">I23*(1+$L$9)</f>
        <v>188.004721683086</v>
      </c>
      <c r="K23" s="8" t="s">
        <v>53</v>
      </c>
      <c r="L23" s="9" t="n">
        <v>0.16563399162961</v>
      </c>
      <c r="M23" s="10" t="s">
        <v>19</v>
      </c>
    </row>
    <row r="24" customFormat="false" ht="15" hidden="false" customHeight="false" outlineLevel="0" collapsed="false">
      <c r="A24" s="6" t="s">
        <v>54</v>
      </c>
      <c r="B24" s="13" t="n">
        <v>21281000000</v>
      </c>
      <c r="C24" s="13" t="n">
        <v>20807000000</v>
      </c>
      <c r="D24" s="13" t="n">
        <v>19882000000</v>
      </c>
      <c r="E24" s="13" t="n">
        <v>22098000000</v>
      </c>
      <c r="F24" s="7" t="n">
        <f aca="false">F17*F23</f>
        <v>22770647428.9172</v>
      </c>
      <c r="G24" s="7" t="n">
        <f aca="false">G17*G23</f>
        <v>23663518572.8946</v>
      </c>
      <c r="H24" s="7" t="n">
        <f aca="false">H17*H23</f>
        <v>24596377847.7004</v>
      </c>
      <c r="I24" s="7" t="n">
        <f aca="false">I17*I23</f>
        <v>25571218174.1423</v>
      </c>
      <c r="J24" s="7" t="n">
        <f aca="false">J17*J23</f>
        <v>26590138974.2884</v>
      </c>
      <c r="K24" s="8" t="s">
        <v>55</v>
      </c>
      <c r="L24" s="9" t="n">
        <v>0.0158060613778174</v>
      </c>
      <c r="M24" s="10" t="s">
        <v>19</v>
      </c>
    </row>
    <row r="25" customFormat="false" ht="15" hidden="false" customHeight="false" outlineLevel="0" collapsed="false">
      <c r="A25" s="14" t="s">
        <v>56</v>
      </c>
      <c r="B25" s="13" t="n">
        <v>81780000000</v>
      </c>
      <c r="C25" s="13" t="n">
        <v>83982000000</v>
      </c>
      <c r="D25" s="13" t="n">
        <v>85255000000</v>
      </c>
      <c r="E25" s="13" t="n">
        <v>89482000000</v>
      </c>
      <c r="F25" s="7" t="n">
        <f aca="false">SUM(F22,F24)</f>
        <v>92135627506.9625</v>
      </c>
      <c r="G25" s="7" t="n">
        <f aca="false">SUM(G22,G24)</f>
        <v>95675585532.5151</v>
      </c>
      <c r="H25" s="7" t="n">
        <f aca="false">SUM(H22,H24)</f>
        <v>99371680589.1478</v>
      </c>
      <c r="I25" s="7" t="n">
        <f aca="false">SUM(I22,I24)</f>
        <v>103231597979.915</v>
      </c>
      <c r="J25" s="7" t="n">
        <f aca="false">SUM(J22,J24)</f>
        <v>107263428906.045</v>
      </c>
      <c r="K25" s="8" t="s">
        <v>57</v>
      </c>
      <c r="L25" s="11" t="n">
        <v>0.0527699995040894</v>
      </c>
      <c r="M25" s="10" t="s">
        <v>58</v>
      </c>
    </row>
    <row r="26" customFormat="false" ht="15" hidden="false" customHeight="false" outlineLevel="0" collapsed="false">
      <c r="A26" s="6" t="s">
        <v>59</v>
      </c>
      <c r="B26" s="7" t="n">
        <f aca="false">B25-SUM(B22,B24)</f>
        <v>0</v>
      </c>
      <c r="C26" s="7" t="n">
        <f aca="false">C25-SUM(C22,C24)</f>
        <v>0</v>
      </c>
      <c r="D26" s="7" t="n">
        <f aca="false">D25-SUM(D22,D24)</f>
        <v>0</v>
      </c>
      <c r="E26" s="7" t="n">
        <f aca="false">E25-SUM(E22,E24)</f>
        <v>0</v>
      </c>
      <c r="F26" s="7" t="n">
        <f aca="false">F25-SUM(F22,F24)</f>
        <v>0</v>
      </c>
      <c r="G26" s="7" t="n">
        <f aca="false">G25-SUM(G22,G24)</f>
        <v>0</v>
      </c>
      <c r="H26" s="7" t="n">
        <f aca="false">H25-SUM(H22,H24)</f>
        <v>0</v>
      </c>
      <c r="I26" s="7" t="n">
        <f aca="false">I25-SUM(I22,I24)</f>
        <v>0</v>
      </c>
      <c r="J26" s="7" t="n">
        <f aca="false">J25-SUM(J22,J24)</f>
        <v>0</v>
      </c>
      <c r="K26" s="8" t="s">
        <v>60</v>
      </c>
      <c r="L26" s="11" t="n">
        <v>0.0838371068129586</v>
      </c>
      <c r="M26" s="10" t="s">
        <v>58</v>
      </c>
    </row>
    <row r="27" customFormat="false" ht="15" hidden="false" customHeight="false" outlineLevel="0" collapsed="false">
      <c r="K27" s="8" t="s">
        <v>61</v>
      </c>
      <c r="L27" s="16" t="n">
        <v>0.431</v>
      </c>
      <c r="M27" s="10" t="s">
        <v>58</v>
      </c>
    </row>
    <row r="28" customFormat="false" ht="15" hidden="false" customHeight="false" outlineLevel="0" collapsed="false">
      <c r="A28" s="3" t="s">
        <v>62</v>
      </c>
      <c r="B28" s="3"/>
      <c r="C28" s="3"/>
      <c r="D28" s="3"/>
      <c r="E28" s="3"/>
      <c r="F28" s="3"/>
      <c r="G28" s="3"/>
      <c r="H28" s="3"/>
      <c r="I28" s="3"/>
      <c r="J28" s="3"/>
      <c r="K28" s="8" t="s">
        <v>63</v>
      </c>
      <c r="L28" s="11" t="n">
        <v>0.042</v>
      </c>
      <c r="M28" s="10" t="s">
        <v>19</v>
      </c>
    </row>
    <row r="29" customFormat="false" ht="15" hidden="false" customHeight="false" outlineLevel="0" collapsed="false">
      <c r="A29" s="6" t="s">
        <v>64</v>
      </c>
      <c r="D29" s="7" t="n">
        <f aca="false">C32</f>
        <v>13729000</v>
      </c>
      <c r="E29" s="7" t="n">
        <f aca="false">D32</f>
        <v>13987000</v>
      </c>
      <c r="F29" s="7" t="n">
        <f aca="false">E32</f>
        <v>14704000</v>
      </c>
      <c r="G29" s="7" t="n">
        <f aca="false">F32</f>
        <v>15225346.2219372</v>
      </c>
      <c r="H29" s="7" t="n">
        <f aca="false">G32</f>
        <v>15765177.3379935</v>
      </c>
      <c r="I29" s="7" t="n">
        <f aca="false">H32</f>
        <v>16324148.7500808</v>
      </c>
      <c r="J29" s="7" t="n">
        <f aca="false">I32</f>
        <v>16902939.0980946</v>
      </c>
      <c r="K29" s="6" t="s">
        <v>65</v>
      </c>
      <c r="L29" s="12" t="n">
        <f aca="false">IFERROR(L33/(L33+L36),1)</f>
        <v>0.550250602135729</v>
      </c>
      <c r="M29" s="10" t="s">
        <v>66</v>
      </c>
    </row>
    <row r="30" customFormat="false" ht="15" hidden="false" customHeight="false" outlineLevel="0" collapsed="false">
      <c r="A30" s="6" t="s">
        <v>67</v>
      </c>
      <c r="C30" s="13" t="n">
        <v>-24000</v>
      </c>
      <c r="D30" s="13" t="n">
        <v>258000</v>
      </c>
      <c r="E30" s="13" t="n">
        <v>729000</v>
      </c>
      <c r="F30" s="7" t="n">
        <f aca="false">F29*$L$10</f>
        <v>521346.221937154</v>
      </c>
      <c r="G30" s="7" t="n">
        <f aca="false">G29*$L$10</f>
        <v>539831.116056315</v>
      </c>
      <c r="H30" s="7" t="n">
        <f aca="false">H29*$L$10</f>
        <v>558971.412087333</v>
      </c>
      <c r="I30" s="7" t="n">
        <f aca="false">I29*$L$10</f>
        <v>578790.348013789</v>
      </c>
      <c r="J30" s="7" t="n">
        <f aca="false">J29*$L$10</f>
        <v>599311.985747105</v>
      </c>
      <c r="K30" s="8" t="s">
        <v>68</v>
      </c>
      <c r="L30" s="9" t="n">
        <v>0.025</v>
      </c>
      <c r="M30" s="10" t="s">
        <v>69</v>
      </c>
    </row>
    <row r="31" customFormat="false" ht="15" hidden="false" customHeight="false" outlineLevel="0" collapsed="false">
      <c r="A31" s="6" t="s">
        <v>29</v>
      </c>
      <c r="D31" s="12" t="n">
        <f aca="false">IFERROR(D30/D29,0)</f>
        <v>0.0187923373880108</v>
      </c>
      <c r="E31" s="12" t="n">
        <f aca="false">IFERROR(E30/E29,0)</f>
        <v>0.0521198255522986</v>
      </c>
      <c r="F31" s="12" t="n">
        <f aca="false">$L$10</f>
        <v>0.0354560814701547</v>
      </c>
      <c r="G31" s="12" t="n">
        <f aca="false">$L$10</f>
        <v>0.0354560814701547</v>
      </c>
      <c r="H31" s="12" t="n">
        <f aca="false">$L$10</f>
        <v>0.0354560814701547</v>
      </c>
      <c r="I31" s="12" t="n">
        <f aca="false">$L$10</f>
        <v>0.0354560814701547</v>
      </c>
      <c r="J31" s="12" t="n">
        <f aca="false">$L$10</f>
        <v>0.0354560814701547</v>
      </c>
      <c r="K31" s="8" t="s">
        <v>70</v>
      </c>
      <c r="L31" s="17" t="n">
        <v>24.3</v>
      </c>
      <c r="M31" s="10" t="s">
        <v>58</v>
      </c>
    </row>
    <row r="32" customFormat="false" ht="15" hidden="false" customHeight="false" outlineLevel="0" collapsed="false">
      <c r="A32" s="6" t="s">
        <v>71</v>
      </c>
      <c r="C32" s="13" t="n">
        <v>13729000</v>
      </c>
      <c r="D32" s="13" t="n">
        <v>13987000</v>
      </c>
      <c r="E32" s="13" t="n">
        <v>14704000</v>
      </c>
      <c r="F32" s="7" t="n">
        <f aca="false">F29+F30</f>
        <v>15225346.2219372</v>
      </c>
      <c r="G32" s="7" t="n">
        <f aca="false">G29+G30</f>
        <v>15765177.3379935</v>
      </c>
      <c r="H32" s="7" t="n">
        <f aca="false">H29+H30</f>
        <v>16324148.7500808</v>
      </c>
      <c r="I32" s="7" t="n">
        <f aca="false">I29+I30</f>
        <v>16902939.0980946</v>
      </c>
      <c r="J32" s="7" t="n">
        <f aca="false">J29+J30</f>
        <v>17502251.0838417</v>
      </c>
      <c r="K32" s="8" t="s">
        <v>72</v>
      </c>
      <c r="L32" s="13" t="n">
        <v>7179000000</v>
      </c>
      <c r="M32" s="10" t="s">
        <v>58</v>
      </c>
    </row>
    <row r="33" customFormat="false" ht="15" hidden="false" customHeight="false" outlineLevel="0" collapsed="false">
      <c r="A33" s="6" t="s">
        <v>73</v>
      </c>
      <c r="D33" s="7" t="n">
        <f aca="false">AVERAGE(D29,D32)</f>
        <v>13858000</v>
      </c>
      <c r="E33" s="7" t="n">
        <f aca="false">AVERAGE(E29,E32)</f>
        <v>14345500</v>
      </c>
      <c r="F33" s="7" t="n">
        <f aca="false">AVERAGE(F29,F32)</f>
        <v>14964673.1109686</v>
      </c>
      <c r="G33" s="7" t="n">
        <f aca="false">AVERAGE(G29,G32)</f>
        <v>15495261.7799653</v>
      </c>
      <c r="H33" s="7" t="n">
        <f aca="false">AVERAGE(H29,H32)</f>
        <v>16044663.0440371</v>
      </c>
      <c r="I33" s="7" t="n">
        <f aca="false">AVERAGE(I29,I32)</f>
        <v>16613543.9240877</v>
      </c>
      <c r="J33" s="7" t="n">
        <f aca="false">AVERAGE(J29,J32)</f>
        <v>17202595.0909681</v>
      </c>
      <c r="K33" s="8" t="s">
        <v>74</v>
      </c>
      <c r="L33" s="13" t="n">
        <v>166512967680</v>
      </c>
      <c r="M33" s="10" t="s">
        <v>58</v>
      </c>
    </row>
    <row r="34" customFormat="false" ht="15" hidden="false" customHeight="false" outlineLevel="0" collapsed="false">
      <c r="A34" s="6" t="s">
        <v>75</v>
      </c>
      <c r="D34" s="15" t="n">
        <f aca="false">IFERROR(D35/(D33*12),"")</f>
        <v>67.4219464088132</v>
      </c>
      <c r="E34" s="15" t="n">
        <f aca="false">IFERROR(E35/(E33*12),"")</f>
        <v>70.7945581076528</v>
      </c>
      <c r="F34" s="15" t="n">
        <f aca="false">E34*(1+$L$11)</f>
        <v>74.3358761443691</v>
      </c>
      <c r="G34" s="15" t="n">
        <f aca="false">F34*(1+$L$11)</f>
        <v>78.0543396252042</v>
      </c>
      <c r="H34" s="15" t="n">
        <f aca="false">G34*(1+$L$11)</f>
        <v>81.9588098012647</v>
      </c>
      <c r="I34" s="15" t="n">
        <f aca="false">H34*(1+$L$11)</f>
        <v>86.0585911852472</v>
      </c>
      <c r="J34" s="15" t="n">
        <f aca="false">I34*(1+$L$11)</f>
        <v>90.3634537244734</v>
      </c>
      <c r="K34" s="8" t="s">
        <v>76</v>
      </c>
      <c r="L34" s="13" t="n">
        <v>18234000000</v>
      </c>
      <c r="M34" s="10" t="s">
        <v>58</v>
      </c>
    </row>
    <row r="35" customFormat="false" ht="15" hidden="false" customHeight="false" outlineLevel="0" collapsed="false">
      <c r="A35" s="6" t="s">
        <v>77</v>
      </c>
      <c r="B35" s="13" t="n">
        <v>9669000000</v>
      </c>
      <c r="C35" s="13" t="n">
        <v>10455000000</v>
      </c>
      <c r="D35" s="13" t="n">
        <v>11212000000</v>
      </c>
      <c r="E35" s="13" t="n">
        <v>12187000000</v>
      </c>
      <c r="F35" s="7" t="n">
        <f aca="false">F33*F34*12</f>
        <v>13348945043.0152</v>
      </c>
      <c r="G35" s="7" t="n">
        <f aca="false">G33*G34*12</f>
        <v>14513669106.6583</v>
      </c>
      <c r="H35" s="7" t="n">
        <f aca="false">H33*H34*12</f>
        <v>15780017841.0194</v>
      </c>
      <c r="I35" s="7" t="n">
        <f aca="false">I33*I34*12</f>
        <v>17156858216.4145</v>
      </c>
      <c r="J35" s="7" t="n">
        <f aca="false">J33*J34*12</f>
        <v>18653830865.3226</v>
      </c>
      <c r="K35" s="8" t="s">
        <v>78</v>
      </c>
      <c r="L35" s="13" t="n">
        <v>0</v>
      </c>
      <c r="M35" s="10" t="s">
        <v>58</v>
      </c>
    </row>
    <row r="36" customFormat="false" ht="15" hidden="false" customHeight="false" outlineLevel="0" collapsed="false">
      <c r="A36" s="6" t="s">
        <v>79</v>
      </c>
      <c r="B36" s="7" t="n">
        <f aca="false">B37-B35</f>
        <v>3080000000</v>
      </c>
      <c r="C36" s="7" t="n">
        <f aca="false">C37-C35</f>
        <v>2718000000</v>
      </c>
      <c r="D36" s="7" t="n">
        <f aca="false">D37-D35</f>
        <v>2366000000</v>
      </c>
      <c r="E36" s="7" t="n">
        <f aca="false">E37-E35</f>
        <v>1996000000</v>
      </c>
      <c r="F36" s="7" t="n">
        <f aca="false">E36*(1+$L$12)</f>
        <v>1710682708.24664</v>
      </c>
      <c r="G36" s="7" t="n">
        <f aca="false">F36*(1+$L$12)</f>
        <v>1466149964.07518</v>
      </c>
      <c r="H36" s="7" t="n">
        <f aca="false">G36*(1+$L$12)</f>
        <v>1256571839.29852</v>
      </c>
      <c r="I36" s="7" t="n">
        <f aca="false">H36*(1+$L$12)</f>
        <v>1076951762.10303</v>
      </c>
      <c r="J36" s="7" t="n">
        <f aca="false">I36*(1+$L$12)</f>
        <v>923007393.309324</v>
      </c>
      <c r="K36" s="8" t="s">
        <v>80</v>
      </c>
      <c r="L36" s="13" t="n">
        <v>136100000000</v>
      </c>
      <c r="M36" s="10" t="s">
        <v>58</v>
      </c>
    </row>
    <row r="37" customFormat="false" ht="15" hidden="false" customHeight="false" outlineLevel="0" collapsed="false">
      <c r="A37" s="14" t="s">
        <v>81</v>
      </c>
      <c r="B37" s="13" t="n">
        <v>12749000000</v>
      </c>
      <c r="C37" s="13" t="n">
        <v>13173000000</v>
      </c>
      <c r="D37" s="13" t="n">
        <v>13578000000</v>
      </c>
      <c r="E37" s="13" t="n">
        <v>14183000000</v>
      </c>
      <c r="F37" s="7" t="n">
        <f aca="false">SUM(F35:F36)</f>
        <v>15059627751.2618</v>
      </c>
      <c r="G37" s="7" t="n">
        <f aca="false">SUM(G35:G36)</f>
        <v>15979819070.7335</v>
      </c>
      <c r="H37" s="7" t="n">
        <f aca="false">SUM(H35:H36)</f>
        <v>17036589680.318</v>
      </c>
      <c r="I37" s="7" t="n">
        <f aca="false">SUM(I35:I36)</f>
        <v>18233809978.5176</v>
      </c>
      <c r="J37" s="7" t="n">
        <f aca="false">SUM(J35:J36)</f>
        <v>19576838258.632</v>
      </c>
      <c r="K37" s="8" t="s">
        <v>82</v>
      </c>
      <c r="L37" s="13" t="n">
        <v>15958000000</v>
      </c>
      <c r="M37" s="10" t="s">
        <v>58</v>
      </c>
    </row>
    <row r="38" customFormat="false" ht="15" hidden="false" customHeight="false" outlineLevel="0" collapsed="false">
      <c r="A38" s="6" t="s">
        <v>83</v>
      </c>
      <c r="B38" s="13" t="n">
        <v>22538000000</v>
      </c>
      <c r="C38" s="13" t="n">
        <v>20883000000</v>
      </c>
      <c r="D38" s="13" t="n">
        <v>18819000000</v>
      </c>
      <c r="E38" s="13" t="n">
        <v>17231000000</v>
      </c>
      <c r="F38" s="7" t="n">
        <f aca="false">E38*(1+$L$13)</f>
        <v>15652475165.9399</v>
      </c>
      <c r="G38" s="7" t="n">
        <f aca="false">F38*(1+$L$13)</f>
        <v>14218558343.7042</v>
      </c>
      <c r="H38" s="7" t="n">
        <f aca="false">G38*(1+$L$13)</f>
        <v>12916002052.713</v>
      </c>
      <c r="I38" s="7" t="n">
        <f aca="false">H38*(1+$L$13)</f>
        <v>11732772408.6425</v>
      </c>
      <c r="J38" s="7" t="n">
        <f aca="false">I38*(1+$L$13)</f>
        <v>10657937946.37</v>
      </c>
      <c r="K38" s="8" t="s">
        <v>84</v>
      </c>
      <c r="L38" s="13" t="n">
        <v>0</v>
      </c>
      <c r="M38" s="10" t="s">
        <v>58</v>
      </c>
    </row>
    <row r="39" customFormat="false" ht="15" hidden="false" customHeight="false" outlineLevel="0" collapsed="false">
      <c r="A39" s="6" t="s">
        <v>85</v>
      </c>
      <c r="B39" s="13" t="n">
        <v>3144000000</v>
      </c>
      <c r="C39" s="13" t="n">
        <v>3932000000</v>
      </c>
      <c r="D39" s="13" t="n">
        <v>4232000000</v>
      </c>
      <c r="E39" s="13" t="n">
        <v>4379000000</v>
      </c>
      <c r="F39" s="7" t="n">
        <f aca="false">E39*(1+$L$14)</f>
        <v>4622105438.84505</v>
      </c>
      <c r="G39" s="7" t="n">
        <f aca="false">F39*(1+$L$14)</f>
        <v>4878707167.8011</v>
      </c>
      <c r="H39" s="7" t="n">
        <f aca="false">G39*(1+$L$14)</f>
        <v>5149554449.60626</v>
      </c>
      <c r="I39" s="7" t="n">
        <f aca="false">H39*(1+$L$14)</f>
        <v>5435438143.21851</v>
      </c>
      <c r="J39" s="7" t="n">
        <f aca="false">I39*(1+$L$14)</f>
        <v>5737193013.07973</v>
      </c>
      <c r="K39" s="6" t="s">
        <v>86</v>
      </c>
      <c r="L39" s="12" t="n">
        <f aca="false">IFERROR(L36/(L33+L36),0)</f>
        <v>0.449749397864271</v>
      </c>
      <c r="M39" s="10" t="s">
        <v>66</v>
      </c>
    </row>
    <row r="40" customFormat="false" ht="15" hidden="false" customHeight="false" outlineLevel="0" collapsed="false">
      <c r="A40" s="6" t="s">
        <v>87</v>
      </c>
      <c r="B40" s="7" t="n">
        <f aca="false">B41-SUM(B25,B37:B39)</f>
        <v>530000000</v>
      </c>
      <c r="C40" s="7" t="n">
        <f aca="false">C41-SUM(C25,C37:C39)</f>
        <v>458000000</v>
      </c>
      <c r="D40" s="7" t="n">
        <f aca="false">D41-SUM(D25,D37:D39)</f>
        <v>452000000</v>
      </c>
      <c r="E40" s="7" t="n">
        <f aca="false">E41-SUM(E25,E37:E39)</f>
        <v>373000000</v>
      </c>
      <c r="F40" s="7" t="n">
        <f aca="false">E40*(1+$L$15)</f>
        <v>337960529.620899</v>
      </c>
      <c r="G40" s="7" t="n">
        <f aca="false">F40*(1+$L$15)</f>
        <v>306212653.033883</v>
      </c>
      <c r="H40" s="7" t="n">
        <f aca="false">G40*(1+$L$15)</f>
        <v>277447159.238477</v>
      </c>
      <c r="I40" s="7" t="n">
        <f aca="false">H40*(1+$L$15)</f>
        <v>251383884.391553</v>
      </c>
      <c r="J40" s="7" t="n">
        <f aca="false">I40*(1+$L$15)</f>
        <v>227768983.12903</v>
      </c>
      <c r="K40" s="14" t="s">
        <v>88</v>
      </c>
      <c r="L40" s="12" t="n">
        <f aca="false">(L25+L27*L26)*L29+L28*(1-L21)*L39</f>
        <v>0.0637878792529495</v>
      </c>
      <c r="M40" s="10" t="s">
        <v>66</v>
      </c>
    </row>
    <row r="41" customFormat="false" ht="15" hidden="false" customHeight="false" outlineLevel="0" collapsed="false">
      <c r="A41" s="14" t="s">
        <v>89</v>
      </c>
      <c r="B41" s="13" t="n">
        <v>120741000000</v>
      </c>
      <c r="C41" s="13" t="n">
        <v>122428000000</v>
      </c>
      <c r="D41" s="13" t="n">
        <v>122336000000</v>
      </c>
      <c r="E41" s="13" t="n">
        <v>125648000000</v>
      </c>
      <c r="F41" s="7" t="n">
        <f aca="false">SUM(F25,F37:F40)</f>
        <v>127807796392.63</v>
      </c>
      <c r="G41" s="7" t="n">
        <f aca="false">SUM(G25,G37:G40)</f>
        <v>131058882767.788</v>
      </c>
      <c r="H41" s="7" t="n">
        <f aca="false">SUM(H25,H37:H40)</f>
        <v>134751273931.023</v>
      </c>
      <c r="I41" s="7" t="n">
        <f aca="false">SUM(I25,I37:I40)</f>
        <v>138885002394.685</v>
      </c>
      <c r="J41" s="7" t="n">
        <f aca="false">SUM(J25,J37:J40)</f>
        <v>143463167107.256</v>
      </c>
    </row>
    <row r="42" customFormat="false" ht="15" hidden="false" customHeight="false" outlineLevel="0" collapsed="false">
      <c r="A42" s="6" t="s">
        <v>90</v>
      </c>
      <c r="B42" s="7" t="n">
        <f aca="false">B41-SUM(B25,B37:B40)</f>
        <v>0</v>
      </c>
      <c r="C42" s="7" t="n">
        <f aca="false">C41-SUM(C25,C37:C40)</f>
        <v>0</v>
      </c>
      <c r="D42" s="7" t="n">
        <f aca="false">D41-SUM(D25,D37:D40)</f>
        <v>0</v>
      </c>
      <c r="E42" s="7" t="n">
        <f aca="false">E41-SUM(E25,E37:E40)</f>
        <v>0</v>
      </c>
      <c r="F42" s="7" t="n">
        <f aca="false">F41-SUM(F25,F37:F40)</f>
        <v>0</v>
      </c>
      <c r="G42" s="7" t="n">
        <f aca="false">G41-SUM(G25,G37:G40)</f>
        <v>0</v>
      </c>
      <c r="H42" s="7" t="n">
        <f aca="false">H41-SUM(H25,H37:H40)</f>
        <v>0</v>
      </c>
      <c r="I42" s="7" t="n">
        <f aca="false">I41-SUM(I25,I37:I40)</f>
        <v>0</v>
      </c>
      <c r="J42" s="7" t="n">
        <f aca="false">J41-SUM(J25,J37:J40)</f>
        <v>0</v>
      </c>
    </row>
    <row r="44" customFormat="false" ht="15" hidden="false" customHeight="false" outlineLevel="0" collapsed="false">
      <c r="A44" s="3" t="s">
        <v>91</v>
      </c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false" outlineLevel="0" collapsed="false">
      <c r="A45" s="6" t="s">
        <v>40</v>
      </c>
      <c r="B45" s="12" t="n">
        <f aca="false">IFERROR(B46/B25,0)</f>
        <v>0.291171435558816</v>
      </c>
      <c r="C45" s="12" t="n">
        <f aca="false">IFERROR(C46/C25,0)</f>
        <v>0.307935033697697</v>
      </c>
      <c r="D45" s="12" t="n">
        <f aca="false">IFERROR(D46/D25,0)</f>
        <v>0.308650519031142</v>
      </c>
      <c r="E45" s="12" t="n">
        <f aca="false">IFERROR(E46/E25,0)</f>
        <v>0.303927046780358</v>
      </c>
      <c r="F45" s="12" t="n">
        <f aca="false">$L$16</f>
        <v>0.307935033697697</v>
      </c>
      <c r="G45" s="12" t="n">
        <f aca="false">$L$16</f>
        <v>0.307935033697697</v>
      </c>
      <c r="H45" s="12" t="n">
        <f aca="false">$L$16</f>
        <v>0.307935033697697</v>
      </c>
      <c r="I45" s="12" t="n">
        <f aca="false">$L$16</f>
        <v>0.307935033697697</v>
      </c>
      <c r="J45" s="12" t="n">
        <f aca="false">$L$16</f>
        <v>0.307935033697697</v>
      </c>
    </row>
    <row r="46" customFormat="false" ht="15" hidden="false" customHeight="false" outlineLevel="0" collapsed="false">
      <c r="A46" s="6" t="s">
        <v>92</v>
      </c>
      <c r="B46" s="13" t="n">
        <v>23812000000</v>
      </c>
      <c r="C46" s="13" t="n">
        <v>25861000000</v>
      </c>
      <c r="D46" s="13" t="n">
        <v>26314000000</v>
      </c>
      <c r="E46" s="13" t="n">
        <v>27196000000</v>
      </c>
      <c r="F46" s="7" t="n">
        <f aca="false">F25*F45</f>
        <v>28371787561.115</v>
      </c>
      <c r="G46" s="7" t="n">
        <f aca="false">G25*G45</f>
        <v>29461864655.0019</v>
      </c>
      <c r="H46" s="7" t="n">
        <f aca="false">H25*H45</f>
        <v>30600021810.816</v>
      </c>
      <c r="I46" s="7" t="n">
        <f aca="false">I25*I45</f>
        <v>31788625602.6123</v>
      </c>
      <c r="J46" s="7" t="n">
        <f aca="false">J25*J45</f>
        <v>33030167594.7135</v>
      </c>
    </row>
    <row r="47" customFormat="false" ht="15" hidden="false" customHeight="false" outlineLevel="0" collapsed="false">
      <c r="A47" s="6" t="s">
        <v>42</v>
      </c>
      <c r="B47" s="12" t="n">
        <f aca="false">IFERROR(B48/B38,0)</f>
        <v>0.101606176235691</v>
      </c>
      <c r="C47" s="12" t="n">
        <f aca="false">IFERROR(C48/C38,0)</f>
        <v>0.0617248479624575</v>
      </c>
      <c r="D47" s="12" t="n">
        <f aca="false">IFERROR(D48/D38,0)</f>
        <v>-0.00467612519262448</v>
      </c>
      <c r="E47" s="12" t="n">
        <f aca="false">IFERROR(E48/E38,0)</f>
        <v>-0.0473565086181882</v>
      </c>
      <c r="F47" s="12" t="n">
        <f aca="false">$L$17</f>
        <v>-0.00467612519262448</v>
      </c>
      <c r="G47" s="12" t="n">
        <f aca="false">$L$17</f>
        <v>-0.00467612519262448</v>
      </c>
      <c r="H47" s="12" t="n">
        <f aca="false">$L$17</f>
        <v>-0.00467612519262448</v>
      </c>
      <c r="I47" s="12" t="n">
        <f aca="false">$L$17</f>
        <v>-0.00467612519262448</v>
      </c>
      <c r="J47" s="12" t="n">
        <f aca="false">$L$17</f>
        <v>-0.00467612519262448</v>
      </c>
    </row>
    <row r="48" customFormat="false" ht="15" hidden="false" customHeight="false" outlineLevel="0" collapsed="false">
      <c r="A48" s="6" t="s">
        <v>93</v>
      </c>
      <c r="B48" s="13" t="n">
        <v>2290000000</v>
      </c>
      <c r="C48" s="13" t="n">
        <v>1289000000</v>
      </c>
      <c r="D48" s="13" t="n">
        <v>-88000000</v>
      </c>
      <c r="E48" s="13" t="n">
        <v>-816000000</v>
      </c>
      <c r="F48" s="7" t="n">
        <f aca="false">F38*F47</f>
        <v>-73192933.4503807</v>
      </c>
      <c r="G48" s="7" t="n">
        <f aca="false">G38*G47</f>
        <v>-66487758.8737959</v>
      </c>
      <c r="H48" s="7" t="n">
        <f aca="false">H38*H47</f>
        <v>-60396842.5866806</v>
      </c>
      <c r="I48" s="7" t="n">
        <f aca="false">I38*I47</f>
        <v>-54863912.6393826</v>
      </c>
      <c r="J48" s="7" t="n">
        <f aca="false">J38*J47</f>
        <v>-49837852.1324493</v>
      </c>
    </row>
    <row r="49" customFormat="false" ht="15" hidden="false" customHeight="false" outlineLevel="0" collapsed="false">
      <c r="A49" s="6" t="s">
        <v>44</v>
      </c>
      <c r="B49" s="12" t="n">
        <f aca="false">IFERROR(B50/B37,0)</f>
        <v>0.0497293905404345</v>
      </c>
      <c r="C49" s="12" t="n">
        <f aca="false">IFERROR(C50/C37,0)</f>
        <v>0.0494192666818492</v>
      </c>
      <c r="D49" s="12" t="n">
        <f aca="false">IFERROR(D50/D37,0)</f>
        <v>0.064000589188393</v>
      </c>
      <c r="E49" s="12" t="n">
        <f aca="false">IFERROR(E50/E37,0)</f>
        <v>0.109074243813016</v>
      </c>
      <c r="F49" s="12" t="n">
        <f aca="false">$L$18</f>
        <v>0.064000589188393</v>
      </c>
      <c r="G49" s="12" t="n">
        <f aca="false">$L$18</f>
        <v>0.064000589188393</v>
      </c>
      <c r="H49" s="12" t="n">
        <f aca="false">$L$18</f>
        <v>0.064000589188393</v>
      </c>
      <c r="I49" s="12" t="n">
        <f aca="false">$L$18</f>
        <v>0.064000589188393</v>
      </c>
      <c r="J49" s="12" t="n">
        <f aca="false">$L$18</f>
        <v>0.064000589188393</v>
      </c>
    </row>
    <row r="50" customFormat="false" ht="15" hidden="false" customHeight="false" outlineLevel="0" collapsed="false">
      <c r="A50" s="6" t="s">
        <v>94</v>
      </c>
      <c r="B50" s="13" t="n">
        <v>634000000</v>
      </c>
      <c r="C50" s="13" t="n">
        <v>651000000</v>
      </c>
      <c r="D50" s="13" t="n">
        <v>869000000</v>
      </c>
      <c r="E50" s="13" t="n">
        <v>1547000000</v>
      </c>
      <c r="F50" s="7" t="n">
        <f aca="false">F37*F49</f>
        <v>963825049.03863</v>
      </c>
      <c r="G50" s="7" t="n">
        <f aca="false">G37*G49</f>
        <v>1022717835.65086</v>
      </c>
      <c r="H50" s="7" t="n">
        <f aca="false">H37*H49</f>
        <v>1090351777.30125</v>
      </c>
      <c r="I50" s="7" t="n">
        <f aca="false">I37*I49</f>
        <v>1166974581.77432</v>
      </c>
      <c r="J50" s="7" t="n">
        <f aca="false">J37*J49</f>
        <v>1252929182.99832</v>
      </c>
    </row>
    <row r="51" customFormat="false" ht="15" hidden="false" customHeight="false" outlineLevel="0" collapsed="false">
      <c r="A51" s="6" t="s">
        <v>45</v>
      </c>
      <c r="B51" s="12" t="n">
        <f aca="false">IFERROR(B52/B39,0)</f>
        <v>-0.103689567430025</v>
      </c>
      <c r="C51" s="12" t="n">
        <f aca="false">IFERROR(C52/C39,0)</f>
        <v>-0.0358596134282808</v>
      </c>
      <c r="D51" s="12" t="n">
        <f aca="false">IFERROR(D52/D39,0)</f>
        <v>0.00945179584120983</v>
      </c>
      <c r="E51" s="12" t="n">
        <f aca="false">IFERROR(E52/E39,0)</f>
        <v>0.033112582781457</v>
      </c>
      <c r="F51" s="12" t="n">
        <f aca="false">$L$19</f>
        <v>0.00945179584120983</v>
      </c>
      <c r="G51" s="12" t="n">
        <f aca="false">$L$19</f>
        <v>0.00945179584120983</v>
      </c>
      <c r="H51" s="12" t="n">
        <f aca="false">$L$19</f>
        <v>0.00945179584120983</v>
      </c>
      <c r="I51" s="12" t="n">
        <f aca="false">$L$19</f>
        <v>0.00945179584120983</v>
      </c>
      <c r="J51" s="12" t="n">
        <f aca="false">$L$19</f>
        <v>0.00945179584120983</v>
      </c>
    </row>
    <row r="52" customFormat="false" ht="15" hidden="false" customHeight="false" outlineLevel="0" collapsed="false">
      <c r="A52" s="6" t="s">
        <v>95</v>
      </c>
      <c r="B52" s="13" t="n">
        <v>-326000000</v>
      </c>
      <c r="C52" s="13" t="n">
        <v>-141000000</v>
      </c>
      <c r="D52" s="13" t="n">
        <v>40000000</v>
      </c>
      <c r="E52" s="13" t="n">
        <v>145000000</v>
      </c>
      <c r="F52" s="7" t="n">
        <f aca="false">F39*F51</f>
        <v>43687196.964509</v>
      </c>
      <c r="G52" s="7" t="n">
        <f aca="false">G39*G51</f>
        <v>46112544.1191031</v>
      </c>
      <c r="H52" s="7" t="n">
        <f aca="false">H39*H51</f>
        <v>48672537.3308721</v>
      </c>
      <c r="I52" s="7" t="n">
        <f aca="false">I39*I51</f>
        <v>51374651.637226</v>
      </c>
      <c r="J52" s="7" t="n">
        <f aca="false">J39*J51</f>
        <v>54226777.0612451</v>
      </c>
    </row>
    <row r="53" customFormat="false" ht="15" hidden="false" customHeight="false" outlineLevel="0" collapsed="false">
      <c r="A53" s="6" t="s">
        <v>96</v>
      </c>
      <c r="B53" s="12" t="n">
        <f aca="false">IFERROR(B54/B41,0)</f>
        <v>-0.256723068386049</v>
      </c>
      <c r="C53" s="12" t="n">
        <f aca="false">IFERROR(C54/C41,0)</f>
        <v>-0.0342977096742575</v>
      </c>
      <c r="D53" s="12" t="n">
        <f aca="false">IFERROR(D54/D41,0)</f>
        <v>-0.0660966518441015</v>
      </c>
      <c r="E53" s="12" t="n">
        <f aca="false">IFERROR(E54/E41,0)</f>
        <v>-0.0311186807589456</v>
      </c>
      <c r="F53" s="12" t="n">
        <f aca="false">$L$20</f>
        <v>-0.0342977096742575</v>
      </c>
      <c r="G53" s="12" t="n">
        <f aca="false">$L$20</f>
        <v>-0.0342977096742575</v>
      </c>
      <c r="H53" s="12" t="n">
        <f aca="false">$L$20</f>
        <v>-0.0342977096742575</v>
      </c>
      <c r="I53" s="12" t="n">
        <f aca="false">$L$20</f>
        <v>-0.0342977096742575</v>
      </c>
      <c r="J53" s="12" t="n">
        <f aca="false">$L$20</f>
        <v>-0.0342977096742575</v>
      </c>
    </row>
    <row r="54" customFormat="false" ht="15" hidden="false" customHeight="false" outlineLevel="0" collapsed="false">
      <c r="A54" s="6" t="s">
        <v>97</v>
      </c>
      <c r="B54" s="7" t="n">
        <f aca="false">B55-SUM(B46,B48,B50,B52)</f>
        <v>-30997000000</v>
      </c>
      <c r="C54" s="7" t="n">
        <f aca="false">C55-SUM(C46,C48,C50,C52)</f>
        <v>-4199000000</v>
      </c>
      <c r="D54" s="7" t="n">
        <f aca="false">D55-SUM(D46,D48,D50,D52)</f>
        <v>-8086000000</v>
      </c>
      <c r="E54" s="7" t="n">
        <f aca="false">E55-SUM(E46,E48,E50,E52)</f>
        <v>-3910000000</v>
      </c>
      <c r="F54" s="7" t="n">
        <f aca="false">F41*F53</f>
        <v>-4383514694.78105</v>
      </c>
      <c r="G54" s="7" t="n">
        <f aca="false">G41*G53</f>
        <v>-4495019511.40213</v>
      </c>
      <c r="H54" s="7" t="n">
        <f aca="false">H41*H53</f>
        <v>-4621660071.52259</v>
      </c>
      <c r="I54" s="7" t="n">
        <f aca="false">I41*I53</f>
        <v>-4763437490.24148</v>
      </c>
      <c r="J54" s="7" t="n">
        <f aca="false">J41*J53</f>
        <v>-4920458054.39415</v>
      </c>
    </row>
    <row r="55" customFormat="false" ht="15" hidden="false" customHeight="false" outlineLevel="0" collapsed="false">
      <c r="A55" s="14" t="s">
        <v>98</v>
      </c>
      <c r="B55" s="13" t="n">
        <v>-4587000000</v>
      </c>
      <c r="C55" s="13" t="n">
        <v>23461000000</v>
      </c>
      <c r="D55" s="13" t="n">
        <v>19049000000</v>
      </c>
      <c r="E55" s="13" t="n">
        <v>24162000000</v>
      </c>
      <c r="F55" s="7" t="n">
        <f aca="false">SUM(F46,F48,F50,F52,F54)</f>
        <v>24922592178.8867</v>
      </c>
      <c r="G55" s="7" t="n">
        <f aca="false">SUM(G46,G48,G50,G52,G54)</f>
        <v>25969187764.496</v>
      </c>
      <c r="H55" s="7" t="n">
        <f aca="false">SUM(H46,H48,H50,H52,H54)</f>
        <v>27056989211.3389</v>
      </c>
      <c r="I55" s="7" t="n">
        <f aca="false">SUM(I46,I48,I50,I52,I54)</f>
        <v>28188673433.143</v>
      </c>
      <c r="J55" s="7" t="n">
        <f aca="false">SUM(J46,J48,J50,J52,J54)</f>
        <v>29367027648.2465</v>
      </c>
    </row>
    <row r="56" customFormat="false" ht="15" hidden="false" customHeight="false" outlineLevel="0" collapsed="false">
      <c r="A56" s="6" t="s">
        <v>99</v>
      </c>
      <c r="B56" s="7" t="n">
        <f aca="false">B55-SUM(B46,B48,B50,B52,B54)</f>
        <v>0</v>
      </c>
      <c r="C56" s="7" t="n">
        <f aca="false">C55-SUM(C46,C48,C50,C52,C54)</f>
        <v>0</v>
      </c>
      <c r="D56" s="7" t="n">
        <f aca="false">D55-SUM(D46,D48,D50,D52,D54)</f>
        <v>0</v>
      </c>
      <c r="E56" s="7" t="n">
        <f aca="false">E55-SUM(E46,E48,E50,E52,E54)</f>
        <v>0</v>
      </c>
      <c r="F56" s="7" t="n">
        <f aca="false">F55-SUM(F46,F48,F50,F52,F54)</f>
        <v>0</v>
      </c>
      <c r="G56" s="7" t="n">
        <f aca="false">G55-SUM(G46,G48,G50,G52,G54)</f>
        <v>0</v>
      </c>
      <c r="H56" s="7" t="n">
        <f aca="false">H55-SUM(H46,H48,H50,H52,H54)</f>
        <v>0</v>
      </c>
      <c r="I56" s="7" t="n">
        <f aca="false">I55-SUM(I46,I48,I50,I52,I54)</f>
        <v>0</v>
      </c>
      <c r="J56" s="7" t="n">
        <f aca="false">J55-SUM(J46,J48,J50,J52,J54)</f>
        <v>0</v>
      </c>
    </row>
    <row r="58" customFormat="false" ht="15" hidden="false" customHeight="false" outlineLevel="0" collapsed="false">
      <c r="A58" s="3" t="s">
        <v>100</v>
      </c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false" outlineLevel="0" collapsed="false">
      <c r="A59" s="6" t="s">
        <v>49</v>
      </c>
      <c r="B59" s="11" t="n">
        <v>1.22171945701358</v>
      </c>
      <c r="C59" s="11" t="n">
        <v>0.212867795243853</v>
      </c>
      <c r="D59" s="11" t="n">
        <v>0.266199544855671</v>
      </c>
      <c r="E59" s="11" t="n">
        <v>0.134076350575777</v>
      </c>
      <c r="F59" s="12" t="n">
        <f aca="false">$L$21</f>
        <v>0.212867795243853</v>
      </c>
      <c r="G59" s="12" t="n">
        <f aca="false">$L$21</f>
        <v>0.212867795243853</v>
      </c>
      <c r="H59" s="12" t="n">
        <f aca="false">$L$21</f>
        <v>0.212867795243853</v>
      </c>
      <c r="I59" s="12" t="n">
        <f aca="false">$L$21</f>
        <v>0.212867795243853</v>
      </c>
      <c r="J59" s="12" t="n">
        <f aca="false">$L$21</f>
        <v>0.212867795243853</v>
      </c>
    </row>
    <row r="60" customFormat="false" ht="15" hidden="false" customHeight="false" outlineLevel="0" collapsed="false">
      <c r="A60" s="6" t="s">
        <v>101</v>
      </c>
      <c r="B60" s="7" t="n">
        <f aca="false">B55*B59</f>
        <v>-5604027149.32127</v>
      </c>
      <c r="C60" s="7" t="n">
        <f aca="false">C55*C59</f>
        <v>4994091344.21604</v>
      </c>
      <c r="D60" s="7" t="n">
        <f aca="false">D55*D59</f>
        <v>5070835129.95568</v>
      </c>
      <c r="E60" s="7" t="n">
        <f aca="false">E55*E59</f>
        <v>3239552782.61192</v>
      </c>
      <c r="F60" s="7" t="n">
        <f aca="false">F55*F59</f>
        <v>5305217248.88131</v>
      </c>
      <c r="G60" s="7" t="n">
        <f aca="false">G55*G59</f>
        <v>5528003743.70191</v>
      </c>
      <c r="H60" s="7" t="n">
        <f aca="false">H55*H59</f>
        <v>5759561639.35443</v>
      </c>
      <c r="I60" s="7" t="n">
        <f aca="false">I55*I59</f>
        <v>6000460764.56213</v>
      </c>
      <c r="J60" s="7" t="n">
        <f aca="false">J55*J59</f>
        <v>6251294428.34752</v>
      </c>
    </row>
    <row r="61" customFormat="false" ht="15" hidden="false" customHeight="false" outlineLevel="0" collapsed="false">
      <c r="A61" s="14" t="s">
        <v>102</v>
      </c>
      <c r="B61" s="7" t="n">
        <f aca="false">B55-B60</f>
        <v>1017027149.32127</v>
      </c>
      <c r="C61" s="7" t="n">
        <f aca="false">C55-C60</f>
        <v>18466908655.784</v>
      </c>
      <c r="D61" s="7" t="n">
        <f aca="false">D55-D60</f>
        <v>13978164870.0443</v>
      </c>
      <c r="E61" s="7" t="n">
        <f aca="false">E55-E60</f>
        <v>20922447217.3881</v>
      </c>
      <c r="F61" s="7" t="n">
        <f aca="false">F55-F60</f>
        <v>19617374930.0054</v>
      </c>
      <c r="G61" s="7" t="n">
        <f aca="false">G55-G60</f>
        <v>20441184020.7941</v>
      </c>
      <c r="H61" s="7" t="n">
        <f aca="false">H55-H60</f>
        <v>21297427571.9844</v>
      </c>
      <c r="I61" s="7" t="n">
        <f aca="false">I55-I60</f>
        <v>22188212668.5809</v>
      </c>
      <c r="J61" s="7" t="n">
        <f aca="false">J55-J60</f>
        <v>23115733219.899</v>
      </c>
    </row>
    <row r="62" customFormat="false" ht="15" hidden="false" customHeight="false" outlineLevel="0" collapsed="false">
      <c r="A62" s="6" t="s">
        <v>103</v>
      </c>
      <c r="B62" s="13" t="n">
        <v>18021000000</v>
      </c>
      <c r="C62" s="13" t="n">
        <v>18777000000</v>
      </c>
      <c r="D62" s="13" t="n">
        <v>20580000000</v>
      </c>
      <c r="E62" s="13" t="n">
        <v>20886000000</v>
      </c>
      <c r="F62" s="7" t="n">
        <f aca="false">F41*$L$22</f>
        <v>21245014926.274</v>
      </c>
      <c r="G62" s="7" t="n">
        <f aca="false">G41*$L$22</f>
        <v>21785430929.9632</v>
      </c>
      <c r="H62" s="7" t="n">
        <f aca="false">H41*$L$22</f>
        <v>22399203388.2223</v>
      </c>
      <c r="I62" s="7" t="n">
        <f aca="false">I41*$L$22</f>
        <v>23086337705.4581</v>
      </c>
      <c r="J62" s="7" t="n">
        <f aca="false">J41*$L$22</f>
        <v>23847349008.3578</v>
      </c>
    </row>
    <row r="63" customFormat="false" ht="15" hidden="false" customHeight="false" outlineLevel="0" collapsed="false">
      <c r="A63" s="6" t="s">
        <v>104</v>
      </c>
      <c r="B63" s="13" t="n">
        <v>19626000000</v>
      </c>
      <c r="C63" s="13" t="n">
        <v>17853000000</v>
      </c>
      <c r="D63" s="13" t="n">
        <v>20263000000</v>
      </c>
      <c r="E63" s="13" t="n">
        <v>20842000000</v>
      </c>
      <c r="F63" s="7" t="n">
        <f aca="false">F41*$L$23</f>
        <v>21169315477.8958</v>
      </c>
      <c r="G63" s="7" t="n">
        <f aca="false">G41*$L$23</f>
        <v>21707805891.3458</v>
      </c>
      <c r="H63" s="7" t="n">
        <f aca="false">H41*$L$23</f>
        <v>22319391378.3705</v>
      </c>
      <c r="I63" s="7" t="n">
        <f aca="false">I41*$L$23</f>
        <v>23004077324.1197</v>
      </c>
      <c r="J63" s="7" t="n">
        <f aca="false">J41*$L$23</f>
        <v>23762377019.8006</v>
      </c>
    </row>
    <row r="64" customFormat="false" ht="15" hidden="false" customHeight="false" outlineLevel="0" collapsed="false">
      <c r="A64" s="6" t="s">
        <v>105</v>
      </c>
      <c r="C64" s="13" t="n">
        <v>1884000000</v>
      </c>
      <c r="D64" s="13" t="n">
        <v>2597000000</v>
      </c>
      <c r="E64" s="13" t="n">
        <v>1986000000</v>
      </c>
      <c r="F64" s="7" t="n">
        <f aca="false">F41*$L$24</f>
        <v>2020137874.3455</v>
      </c>
      <c r="G64" s="7" t="n">
        <f aca="false">G41*$L$24</f>
        <v>2071524745.13583</v>
      </c>
      <c r="H64" s="7" t="n">
        <f aca="false">H41*$L$24</f>
        <v>2129886906.49284</v>
      </c>
      <c r="I64" s="7" t="n">
        <f aca="false">I41*$L$24</f>
        <v>2195224872.30871</v>
      </c>
      <c r="J64" s="7" t="n">
        <f aca="false">J41*$L$24</f>
        <v>2267587624.75336</v>
      </c>
    </row>
    <row r="65" customFormat="false" ht="15" hidden="false" customHeight="false" outlineLevel="0" collapsed="false">
      <c r="A65" s="14" t="s">
        <v>106</v>
      </c>
      <c r="C65" s="7" t="n">
        <f aca="false">C61+C62-C63-C64</f>
        <v>17506908655.784</v>
      </c>
      <c r="D65" s="7" t="n">
        <f aca="false">D61+D62-D63-D64</f>
        <v>11698164870.0443</v>
      </c>
      <c r="E65" s="7" t="n">
        <f aca="false">E61+E62-E63-E64</f>
        <v>18980447217.3881</v>
      </c>
      <c r="F65" s="7" t="n">
        <f aca="false">F61+F62-F63-F64</f>
        <v>17672936504.038</v>
      </c>
      <c r="G65" s="7" t="n">
        <f aca="false">G61+G62-G63-G64</f>
        <v>18447284314.2756</v>
      </c>
      <c r="H65" s="7" t="n">
        <f aca="false">H61+H62-H63-H64</f>
        <v>19247352675.3434</v>
      </c>
      <c r="I65" s="7" t="n">
        <f aca="false">I61+I62-I63-I64</f>
        <v>20075248177.6105</v>
      </c>
      <c r="J65" s="7" t="n">
        <f aca="false">J61+J62-J63-J64</f>
        <v>20933117583.7029</v>
      </c>
    </row>
    <row r="66" customFormat="false" ht="15" hidden="false" customHeight="false" outlineLevel="0" collapsed="false">
      <c r="A66" s="6" t="s">
        <v>107</v>
      </c>
      <c r="F66" s="18" t="n">
        <f aca="false">1/(1+$L$40)^1</f>
        <v>0.940037031350889</v>
      </c>
      <c r="G66" s="18" t="n">
        <f aca="false">1/(1+$L$40)^2</f>
        <v>0.883669620310991</v>
      </c>
      <c r="H66" s="18" t="n">
        <f aca="false">1/(1+$L$40)^3</f>
        <v>0.830682166572111</v>
      </c>
      <c r="I66" s="18" t="n">
        <f aca="false">1/(1+$L$40)^4</f>
        <v>0.780871997860572</v>
      </c>
      <c r="J66" s="18" t="n">
        <f aca="false">1/(1+$L$40)^5</f>
        <v>0.734048594733889</v>
      </c>
    </row>
    <row r="67" customFormat="false" ht="15" hidden="false" customHeight="false" outlineLevel="0" collapsed="false">
      <c r="A67" s="14" t="s">
        <v>108</v>
      </c>
      <c r="F67" s="7" t="n">
        <f aca="false">F65*F66</f>
        <v>16613214766.5086</v>
      </c>
      <c r="G67" s="7" t="n">
        <f aca="false">G65*G66</f>
        <v>16301304725.7648</v>
      </c>
      <c r="H67" s="7" t="n">
        <f aca="false">H65*H66</f>
        <v>15988432621.1318</v>
      </c>
      <c r="I67" s="7" t="n">
        <f aca="false">I65*I66</f>
        <v>15676199151.9975</v>
      </c>
      <c r="J67" s="7" t="n">
        <f aca="false">J65*J66</f>
        <v>15365925545.7164</v>
      </c>
    </row>
    <row r="68" customFormat="false" ht="15" hidden="false" customHeight="false" outlineLevel="0" collapsed="false">
      <c r="A68" s="14" t="s">
        <v>109</v>
      </c>
      <c r="C68" s="7" t="n">
        <f aca="false">C65-(C61+C62-C63-C64)</f>
        <v>0</v>
      </c>
      <c r="D68" s="7" t="n">
        <f aca="false">D65-(D61+D62-D63-D64)</f>
        <v>0</v>
      </c>
      <c r="E68" s="7" t="n">
        <f aca="false">E65-(E61+E62-E63-E64)</f>
        <v>0</v>
      </c>
      <c r="F68" s="7" t="n">
        <f aca="false">F65-(F61+F62-F63-F64)</f>
        <v>0</v>
      </c>
      <c r="G68" s="7" t="n">
        <f aca="false">G65-(G61+G62-G63-G64)</f>
        <v>0</v>
      </c>
      <c r="H68" s="7" t="n">
        <f aca="false">H65-(H61+H62-H63-H64)</f>
        <v>0</v>
      </c>
      <c r="I68" s="7" t="n">
        <f aca="false">I65-(I61+I62-I63-I64)</f>
        <v>0</v>
      </c>
      <c r="J68" s="7" t="n">
        <f aca="false">J65-(J61+J62-J63-J64)</f>
        <v>0</v>
      </c>
    </row>
    <row r="70" customFormat="false" ht="15" hidden="false" customHeight="false" outlineLevel="0" collapsed="false">
      <c r="A70" s="3" t="s">
        <v>110</v>
      </c>
      <c r="B70" s="3"/>
      <c r="C70" s="3"/>
    </row>
    <row r="71" customFormat="false" ht="15" hidden="false" customHeight="false" outlineLevel="0" collapsed="false">
      <c r="A71" s="6" t="s">
        <v>111</v>
      </c>
      <c r="B71" s="12" t="n">
        <f aca="false">$L$40</f>
        <v>0.0637878792529495</v>
      </c>
    </row>
    <row r="72" customFormat="false" ht="15" hidden="false" customHeight="false" outlineLevel="0" collapsed="false">
      <c r="A72" s="6" t="s">
        <v>112</v>
      </c>
      <c r="B72" s="7" t="n">
        <f aca="false">J65</f>
        <v>20933117583.7029</v>
      </c>
    </row>
    <row r="73" customFormat="false" ht="15" hidden="false" customHeight="false" outlineLevel="0" collapsed="false">
      <c r="A73" s="6" t="s">
        <v>113</v>
      </c>
      <c r="B73" s="12" t="n">
        <f aca="false">$L$30</f>
        <v>0.025</v>
      </c>
    </row>
    <row r="74" customFormat="false" ht="15" hidden="false" customHeight="false" outlineLevel="0" collapsed="false">
      <c r="A74" s="6" t="s">
        <v>114</v>
      </c>
      <c r="B74" s="7" t="n">
        <f aca="false">B72*(1+B73)/(B71-B73)</f>
        <v>553173979514.847</v>
      </c>
    </row>
    <row r="75" customFormat="false" ht="15" hidden="false" customHeight="false" outlineLevel="0" collapsed="false">
      <c r="A75" s="6" t="s">
        <v>115</v>
      </c>
      <c r="B75" s="7" t="n">
        <f aca="false">B74*J66</f>
        <v>406056582306.227</v>
      </c>
    </row>
    <row r="76" customFormat="false" ht="15" hidden="false" customHeight="false" outlineLevel="0" collapsed="false">
      <c r="A76" s="6" t="s">
        <v>116</v>
      </c>
      <c r="B76" s="7" t="n">
        <f aca="false">SUM(F67:J67)</f>
        <v>79945076811.1191</v>
      </c>
    </row>
    <row r="77" customFormat="false" ht="15" hidden="false" customHeight="false" outlineLevel="0" collapsed="false">
      <c r="A77" s="14" t="s">
        <v>117</v>
      </c>
      <c r="B77" s="7" t="n">
        <f aca="false">SUM(B75:B76)</f>
        <v>486001659117.346</v>
      </c>
    </row>
    <row r="78" customFormat="false" ht="15" hidden="false" customHeight="false" outlineLevel="0" collapsed="false">
      <c r="A78" s="6" t="s">
        <v>118</v>
      </c>
      <c r="B78" s="7" t="n">
        <f aca="false">$L$34</f>
        <v>18234000000</v>
      </c>
    </row>
    <row r="79" customFormat="false" ht="15" hidden="false" customHeight="false" outlineLevel="0" collapsed="false">
      <c r="A79" s="6" t="s">
        <v>119</v>
      </c>
      <c r="B79" s="7" t="n">
        <f aca="false">$L$35</f>
        <v>0</v>
      </c>
    </row>
    <row r="80" customFormat="false" ht="15" hidden="false" customHeight="false" outlineLevel="0" collapsed="false">
      <c r="A80" s="6" t="s">
        <v>120</v>
      </c>
      <c r="B80" s="7" t="n">
        <f aca="false">-$L$36</f>
        <v>-136100000000</v>
      </c>
    </row>
    <row r="81" customFormat="false" ht="15" hidden="false" customHeight="false" outlineLevel="0" collapsed="false">
      <c r="A81" s="6" t="s">
        <v>121</v>
      </c>
      <c r="B81" s="7" t="n">
        <f aca="false">-$L$37</f>
        <v>-15958000000</v>
      </c>
    </row>
    <row r="82" customFormat="false" ht="15" hidden="false" customHeight="false" outlineLevel="0" collapsed="false">
      <c r="A82" s="6" t="s">
        <v>122</v>
      </c>
      <c r="B82" s="7" t="n">
        <f aca="false">-$L$38</f>
        <v>-0</v>
      </c>
    </row>
    <row r="83" customFormat="false" ht="15" hidden="false" customHeight="false" outlineLevel="0" collapsed="false">
      <c r="A83" s="14" t="s">
        <v>123</v>
      </c>
      <c r="B83" s="7" t="n">
        <f aca="false">SUM(B77:B82)</f>
        <v>352177659117.346</v>
      </c>
    </row>
    <row r="84" customFormat="false" ht="15" hidden="false" customHeight="false" outlineLevel="0" collapsed="false">
      <c r="A84" s="6" t="s">
        <v>124</v>
      </c>
      <c r="B84" s="7" t="n">
        <f aca="false">$L$32</f>
        <v>7179000000</v>
      </c>
    </row>
    <row r="85" customFormat="false" ht="15" hidden="false" customHeight="false" outlineLevel="0" collapsed="false">
      <c r="A85" s="14" t="s">
        <v>125</v>
      </c>
      <c r="B85" s="19" t="n">
        <f aca="false">IFERROR(B83/B84,0)</f>
        <v>49.0566456494423</v>
      </c>
    </row>
    <row r="86" customFormat="false" ht="15" hidden="false" customHeight="false" outlineLevel="0" collapsed="false">
      <c r="A86" s="6" t="s">
        <v>70</v>
      </c>
      <c r="B86" s="19" t="n">
        <f aca="false">$L$31</f>
        <v>24.3</v>
      </c>
    </row>
    <row r="87" customFormat="false" ht="15" hidden="false" customHeight="false" outlineLevel="0" collapsed="false">
      <c r="A87" s="14" t="s">
        <v>126</v>
      </c>
      <c r="B87" s="12" t="n">
        <f aca="false">IFERROR(B85/B86-1,0)</f>
        <v>1.01879200203466</v>
      </c>
    </row>
    <row r="89" customFormat="false" ht="15" hidden="false" customHeight="false" outlineLevel="0" collapsed="false">
      <c r="A89" s="3" t="s">
        <v>127</v>
      </c>
      <c r="B89" s="3"/>
      <c r="C89" s="3"/>
      <c r="D89" s="3"/>
      <c r="E89" s="3"/>
      <c r="F89" s="3"/>
      <c r="G89" s="3"/>
    </row>
    <row r="90" customFormat="false" ht="15" hidden="false" customHeight="false" outlineLevel="0" collapsed="false">
      <c r="B90" s="0" t="s">
        <v>128</v>
      </c>
      <c r="C90" s="20" t="n">
        <f aca="false">$L$30-2%</f>
        <v>0.005</v>
      </c>
      <c r="D90" s="20" t="n">
        <f aca="false">$L$30-1%</f>
        <v>0.015</v>
      </c>
      <c r="E90" s="20" t="n">
        <f aca="false">$L$30+0%</f>
        <v>0.025</v>
      </c>
      <c r="F90" s="20" t="n">
        <f aca="false">$L$30+1%</f>
        <v>0.035</v>
      </c>
      <c r="G90" s="20" t="n">
        <f aca="false">$L$30+2%</f>
        <v>0.045</v>
      </c>
    </row>
    <row r="91" customFormat="false" ht="15" hidden="false" customHeight="false" outlineLevel="0" collapsed="false">
      <c r="B91" s="12" t="n">
        <f aca="false">$L$40-1%</f>
        <v>0.0537878792529495</v>
      </c>
      <c r="C91" s="19" t="n">
        <f aca="false">IF(OR($B91&lt;=C$90,$B91&lt;=0),"",(F65/(1+$B91)^1+G65/(1+$B91)^2+H65/(1+$B91)^3+I65/(1+$B91)^4+J65/(1+$B91)^5+($J$65*(1+C$90)/($B91-C$90))/(1+$B91)^5+$L$34+$L$35-$L$36-$L$37-$L$38)/$L$32)</f>
        <v>39.0347660214454</v>
      </c>
      <c r="D91" s="19" t="n">
        <f aca="false">IF(OR($B91&lt;=D$90,$B91&lt;=0),"",(F65/(1+$B91)^1+G65/(1+$B91)^2+H65/(1+$B91)^3+I65/(1+$B91)^4+J65/(1+$B91)^5+($J$65*(1+D$90)/($B91-D$90))/(1+$B91)^5+$L$34+$L$35-$L$36-$L$37-$L$38)/$L$32)</f>
        <v>51.5301379746127</v>
      </c>
      <c r="E91" s="19" t="n">
        <f aca="false">IF(OR($B91&lt;=E$90,$B91&lt;=0),"",(F65/(1+$B91)^1+G65/(1+$B91)^2+H65/(1+$B91)^3+I65/(1+$B91)^4+J65/(1+$B91)^5+($J$65*(1+E$90)/($B91-E$90))/(1+$B91)^5+$L$34+$L$35-$L$36-$L$37-$L$38)/$L$32)</f>
        <v>72.706505039212</v>
      </c>
      <c r="F91" s="19" t="n">
        <f aca="false">IF(OR($B91&lt;=F$90,$B91&lt;=0),"",(F65/(1+$B91)^1+G65/(1+$B91)^2+H65/(1+$B91)^3+I65/(1+$B91)^4+J65/(1+$B91)^5+($J$65*(1+F$90)/($B91-F$90))/(1+$B91)^5+$L$34+$L$35-$L$36-$L$37-$L$38)/$L$32)</f>
        <v>116.425455840371</v>
      </c>
      <c r="G91" s="19" t="n">
        <f aca="false">IF(OR($B91&lt;=G$90,$B91&lt;=0),"",(F65/(1+$B91)^1+G65/(1+$B91)^2+H65/(1+$B91)^3+I65/(1+$B91)^4+J65/(1+$B91)^5+($J$65*(1+G$90)/($B91-G$90))/(1+$B91)^5+$L$34+$L$35-$L$36-$L$37-$L$38)/$L$32)</f>
        <v>259.642703199224</v>
      </c>
    </row>
    <row r="92" customFormat="false" ht="15" hidden="false" customHeight="false" outlineLevel="0" collapsed="false">
      <c r="B92" s="12" t="n">
        <f aca="false">$L$40+0%</f>
        <v>0.0637878792529495</v>
      </c>
      <c r="C92" s="19" t="n">
        <f aca="false">IF(OR($B92&lt;=C$90,$B92&lt;=0),"",(F65/(1+$B92)^1+G65/(1+$B92)^2+H65/(1+$B92)^3+I65/(1+$B92)^4+J65/(1+$B92)^5+($J$65*(1+C$90)/($B92-C$90))/(1+$B92)^5+$L$34+$L$35-$L$36-$L$37-$L$38)/$L$32)</f>
        <v>29.0858220285773</v>
      </c>
      <c r="D92" s="19" t="n">
        <f aca="false">IF(OR($B92&lt;=D$90,$B92&lt;=0),"",(F65/(1+$B92)^1+G65/(1+$B92)^2+H65/(1+$B92)^3+I65/(1+$B92)^4+J65/(1+$B92)^5+($J$65*(1+D$90)/($B92-D$90))/(1+$B92)^5+$L$34+$L$35-$L$36-$L$37-$L$38)/$L$32)</f>
        <v>37.0245345433382</v>
      </c>
      <c r="E92" s="19" t="n">
        <f aca="false">IF(OR($B92&lt;=E$90,$B92&lt;=0),"",(F65/(1+$B92)^1+G65/(1+$B92)^2+H65/(1+$B92)^3+I65/(1+$B92)^4+J65/(1+$B92)^5+($J$65*(1+E$90)/($B92-E$90))/(1+$B92)^5+$L$34+$L$35-$L$36-$L$37-$L$38)/$L$32)</f>
        <v>49.0566456494423</v>
      </c>
      <c r="F92" s="19" t="n">
        <f aca="false">IF(OR($B92&lt;=F$90,$B92&lt;=0),"",(F65/(1+$B92)^1+G65/(1+$B92)^2+H65/(1+$B92)^3+I65/(1+$B92)^4+J65/(1+$B92)^5+($J$65*(1+F$90)/($B92-F$90))/(1+$B92)^5+$L$34+$L$35-$L$36-$L$37-$L$38)/$L$32)</f>
        <v>69.447907494218</v>
      </c>
      <c r="G92" s="19" t="n">
        <f aca="false">IF(OR($B92&lt;=G$90,$B92&lt;=0),"",(F65/(1+$B92)^1+G65/(1+$B92)^2+H65/(1+$B92)^3+I65/(1+$B92)^4+J65/(1+$B92)^5+($J$65*(1+G$90)/($B92-G$90))/(1+$B92)^5+$L$34+$L$35-$L$36-$L$37-$L$38)/$L$32)</f>
        <v>111.545995926752</v>
      </c>
    </row>
    <row r="93" customFormat="false" ht="15" hidden="false" customHeight="false" outlineLevel="0" collapsed="false">
      <c r="B93" s="12" t="n">
        <f aca="false">$L$40+1%</f>
        <v>0.0737878792529495</v>
      </c>
      <c r="C93" s="19" t="n">
        <f aca="false">IF(OR($B93&lt;=C$90,$B93&lt;=0),"",(F65/(1+$B93)^1+G65/(1+$B93)^2+H65/(1+$B93)^3+I65/(1+$B93)^4+J65/(1+$B93)^5+($J$65*(1+C$90)/($B93-C$90))/(1+$B93)^5+$L$34+$L$35-$L$36-$L$37-$L$38)/$L$32)</f>
        <v>22.0338479266973</v>
      </c>
      <c r="D93" s="19" t="n">
        <f aca="false">IF(OR($B93&lt;=D$90,$B93&lt;=0),"",(F65/(1+$B93)^1+G65/(1+$B93)^2+H65/(1+$B93)^3+I65/(1+$B93)^4+J65/(1+$B93)^5+($J$65*(1+D$90)/($B93-D$90))/(1+$B93)^5+$L$34+$L$35-$L$36-$L$37-$L$38)/$L$32)</f>
        <v>27.4575553792058</v>
      </c>
      <c r="E93" s="19" t="n">
        <f aca="false">IF(OR($B93&lt;=E$90,$B93&lt;=0),"",(F65/(1+$B93)^1+G65/(1+$B93)^2+H65/(1+$B93)^3+I65/(1+$B93)^4+J65/(1+$B93)^5+($J$65*(1+E$90)/($B93-E$90))/(1+$B93)^5+$L$34+$L$35-$L$36-$L$37-$L$38)/$L$32)</f>
        <v>35.1046459898091</v>
      </c>
      <c r="F93" s="19" t="n">
        <f aca="false">IF(OR($B93&lt;=F$90,$B93&lt;=0),"",(F65/(1+$B93)^1+G65/(1+$B93)^2+H65/(1+$B93)^3+I65/(1+$B93)^4+J65/(1+$B93)^5+($J$65*(1+F$90)/($B93-F$90))/(1+$B93)^5+$L$34+$L$35-$L$36-$L$37-$L$38)/$L$32)</f>
        <v>46.6947676492275</v>
      </c>
      <c r="G93" s="19" t="n">
        <f aca="false">IF(OR($B93&lt;=G$90,$B93&lt;=0),"",(F65/(1+$B93)^1+G65/(1+$B93)^2+H65/(1+$B93)^3+I65/(1+$B93)^4+J65/(1+$B93)^5+($J$65*(1+G$90)/($B93-G$90))/(1+$B93)^5+$L$34+$L$35-$L$36-$L$37-$L$38)/$L$32)</f>
        <v>66.3369736998437</v>
      </c>
    </row>
    <row r="94" customFormat="false" ht="15" hidden="false" customHeight="false" outlineLevel="0" collapsed="false">
      <c r="B94" s="12" t="n">
        <f aca="false">$L$40+2%</f>
        <v>0.0837878792529495</v>
      </c>
      <c r="C94" s="19" t="n">
        <f aca="false">IF(OR($B94&lt;=C$90,$B94&lt;=0),"",(F65/(1+$B94)^1+G65/(1+$B94)^2+H65/(1+$B94)^3+I65/(1+$B94)^4+J65/(1+$B94)^5+($J$65*(1+C$90)/($B94-C$90))/(1+$B94)^5+$L$34+$L$35-$L$36-$L$37-$L$38)/$L$32)</f>
        <v>16.7755865709889</v>
      </c>
      <c r="D94" s="19" t="n">
        <f aca="false">IF(OR($B94&lt;=D$90,$B94&lt;=0),"",(F65/(1+$B94)^1+G65/(1+$B94)^2+H65/(1+$B94)^3+I65/(1+$B94)^4+J65/(1+$B94)^5+($J$65*(1+D$90)/($B94-D$90))/(1+$B94)^5+$L$34+$L$35-$L$36-$L$37-$L$38)/$L$32)</f>
        <v>20.6751992156302</v>
      </c>
      <c r="E94" s="19" t="n">
        <f aca="false">IF(OR($B94&lt;=E$90,$B94&lt;=0),"",(F65/(1+$B94)^1+G65/(1+$B94)^2+H65/(1+$B94)^3+I65/(1+$B94)^4+J65/(1+$B94)^5+($J$65*(1+E$90)/($B94-E$90))/(1+$B94)^5+$L$34+$L$35-$L$36-$L$37-$L$38)/$L$32)</f>
        <v>25.9014841927985</v>
      </c>
      <c r="F94" s="19" t="n">
        <f aca="false">IF(OR($B94&lt;=F$90,$B94&lt;=0),"",(F65/(1+$B94)^1+G65/(1+$B94)^2+H65/(1+$B94)^3+I65/(1+$B94)^4+J65/(1+$B94)^5+($J$65*(1+F$90)/($B94-F$90))/(1+$B94)^5+$L$34+$L$35-$L$36-$L$37-$L$38)/$L$32)</f>
        <v>33.2702213762091</v>
      </c>
      <c r="G94" s="19" t="n">
        <f aca="false">IF(OR($B94&lt;=G$90,$B94&lt;=0),"",(F65/(1+$B94)^1+G65/(1+$B94)^2+H65/(1+$B94)^3+I65/(1+$B94)^4+J65/(1+$B94)^5+($J$65*(1+G$90)/($B94-G$90))/(1+$B94)^5+$L$34+$L$35-$L$36-$L$37-$L$38)/$L$32)</f>
        <v>44.4384636242593</v>
      </c>
    </row>
    <row r="95" customFormat="false" ht="15" hidden="false" customHeight="false" outlineLevel="0" collapsed="false">
      <c r="B95" s="12" t="n">
        <f aca="false">$L$40+3%</f>
        <v>0.0937878792529495</v>
      </c>
      <c r="C95" s="19" t="n">
        <f aca="false">IF(OR($B95&lt;=C$90,$B95&lt;=0),"",(F65/(1+$B95)^1+G65/(1+$B95)^2+H65/(1+$B95)^3+I65/(1+$B95)^4+J65/(1+$B95)^5+($J$65*(1+C$90)/($B95-C$90))/(1+$B95)^5+$L$34+$L$35-$L$36-$L$37-$L$38)/$L$32)</f>
        <v>12.7048205538835</v>
      </c>
      <c r="D95" s="19" t="n">
        <f aca="false">IF(OR($B95&lt;=D$90,$B95&lt;=0),"",(F65/(1+$B95)^1+G65/(1+$B95)^2+H65/(1+$B95)^3+I65/(1+$B95)^4+J65/(1+$B95)^5+($J$65*(1+D$90)/($B95-D$90))/(1+$B95)^5+$L$34+$L$35-$L$36-$L$37-$L$38)/$L$32)</f>
        <v>15.6170422990744</v>
      </c>
      <c r="E95" s="19" t="n">
        <f aca="false">IF(OR($B95&lt;=E$90,$B95&lt;=0),"",(F65/(1+$B95)^1+G65/(1+$B95)^2+H65/(1+$B95)^3+I65/(1+$B95)^4+J65/(1+$B95)^5+($J$65*(1+E$90)/($B95-E$90))/(1+$B95)^5+$L$34+$L$35-$L$36-$L$37-$L$38)/$L$32)</f>
        <v>19.3759893036622</v>
      </c>
      <c r="F95" s="19" t="n">
        <f aca="false">IF(OR($B95&lt;=F$90,$B95&lt;=0),"",(F65/(1+$B95)^1+G65/(1+$B95)^2+H65/(1+$B95)^3+I65/(1+$B95)^4+J65/(1+$B95)^5+($J$65*(1+F$90)/($B95-F$90))/(1+$B95)^5+$L$34+$L$35-$L$36-$L$37-$L$38)/$L$32)</f>
        <v>24.4137533203126</v>
      </c>
      <c r="G95" s="19" t="n">
        <f aca="false">IF(OR($B95&lt;=G$90,$B95&lt;=0),"",(F65/(1+$B95)^1+G65/(1+$B95)^2+H65/(1+$B95)^3+I65/(1+$B95)^4+J65/(1+$B95)^5+($J$65*(1+G$90)/($B95-G$90))/(1+$B95)^5+$L$34+$L$35-$L$36-$L$37-$L$38)/$L$32)</f>
        <v>31.5166876595061</v>
      </c>
    </row>
    <row r="97" customFormat="false" ht="15" hidden="false" customHeight="true" outlineLevel="0" collapsed="false">
      <c r="A97" s="2" t="s">
        <v>129</v>
      </c>
      <c r="B97" s="2"/>
      <c r="C97" s="2"/>
      <c r="D97" s="2"/>
      <c r="E97" s="2"/>
      <c r="F97" s="2"/>
      <c r="G97" s="2"/>
    </row>
  </sheetData>
  <mergeCells count="3">
    <mergeCell ref="A1:N1"/>
    <mergeCell ref="A2:N2"/>
    <mergeCell ref="A97:G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39"/>
    <col collapsed="false" customWidth="true" hidden="false" outlineLevel="0" max="4" min="4" style="0" width="23"/>
    <col collapsed="false" customWidth="true" hidden="false" outlineLevel="0" max="5" min="5" style="0" width="43"/>
    <col collapsed="false" customWidth="true" hidden="false" outlineLevel="0" max="6" min="6" style="0" width="25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82"/>
  </cols>
  <sheetData>
    <row r="1" customFormat="false" ht="19.7" hidden="false" customHeight="false" outlineLevel="0" collapsed="false">
      <c r="A1" s="21" t="s">
        <v>130</v>
      </c>
      <c r="B1" s="21"/>
      <c r="C1" s="21"/>
      <c r="D1" s="21"/>
      <c r="E1" s="21"/>
      <c r="F1" s="21"/>
      <c r="G1" s="21"/>
      <c r="H1" s="21"/>
      <c r="I1" s="21"/>
    </row>
    <row r="2" customFormat="false" ht="30" hidden="false" customHeight="true" outlineLevel="0" collapsed="false">
      <c r="A2" s="2" t="s">
        <v>131</v>
      </c>
      <c r="B2" s="2"/>
      <c r="C2" s="2"/>
      <c r="D2" s="2"/>
      <c r="E2" s="2"/>
      <c r="F2" s="2"/>
      <c r="G2" s="2"/>
      <c r="H2" s="2"/>
      <c r="I2" s="2"/>
    </row>
    <row r="5" customFormat="false" ht="22.35" hidden="false" customHeight="false" outlineLevel="0" collapsed="false">
      <c r="A5" s="5" t="s">
        <v>132</v>
      </c>
      <c r="B5" s="5" t="s">
        <v>133</v>
      </c>
      <c r="C5" s="5" t="s">
        <v>134</v>
      </c>
      <c r="D5" s="5" t="s">
        <v>135</v>
      </c>
      <c r="E5" s="5" t="s">
        <v>136</v>
      </c>
      <c r="F5" s="5" t="s">
        <v>137</v>
      </c>
      <c r="G5" s="5" t="s">
        <v>138</v>
      </c>
      <c r="H5" s="5" t="s">
        <v>139</v>
      </c>
      <c r="I5" s="5" t="s">
        <v>140</v>
      </c>
    </row>
    <row r="6" customFormat="false" ht="30" hidden="false" customHeight="true" outlineLevel="0" collapsed="false">
      <c r="A6" s="22" t="s">
        <v>141</v>
      </c>
      <c r="B6" s="22" t="n">
        <v>2022</v>
      </c>
      <c r="C6" s="22" t="s">
        <v>142</v>
      </c>
      <c r="D6" s="23" t="n">
        <v>19626000000</v>
      </c>
      <c r="E6" s="22" t="s">
        <v>143</v>
      </c>
      <c r="F6" s="22" t="s">
        <v>144</v>
      </c>
      <c r="G6" s="22" t="s">
        <v>145</v>
      </c>
      <c r="H6" s="22" t="s">
        <v>146</v>
      </c>
      <c r="I6" s="22" t="s">
        <v>147</v>
      </c>
    </row>
    <row r="7" customFormat="false" ht="30" hidden="false" customHeight="true" outlineLevel="0" collapsed="false">
      <c r="A7" s="22" t="s">
        <v>141</v>
      </c>
      <c r="B7" s="22" t="n">
        <v>2022</v>
      </c>
      <c r="C7" s="22" t="s">
        <v>148</v>
      </c>
      <c r="D7" s="24" t="n">
        <v>-19626</v>
      </c>
      <c r="E7" s="22" t="s">
        <v>149</v>
      </c>
      <c r="F7" s="22" t="s">
        <v>144</v>
      </c>
      <c r="G7" s="22" t="s">
        <v>145</v>
      </c>
      <c r="H7" s="22" t="s">
        <v>146</v>
      </c>
      <c r="I7" s="22" t="s">
        <v>147</v>
      </c>
    </row>
    <row r="8" customFormat="false" ht="18" hidden="false" customHeight="true" outlineLevel="0" collapsed="false">
      <c r="A8" s="22" t="s">
        <v>150</v>
      </c>
      <c r="B8" s="22" t="n">
        <v>2022</v>
      </c>
      <c r="C8" s="22" t="s">
        <v>151</v>
      </c>
      <c r="D8" s="22"/>
      <c r="E8" s="22" t="s">
        <v>152</v>
      </c>
      <c r="F8" s="22"/>
      <c r="G8" s="22"/>
      <c r="H8" s="22"/>
      <c r="I8" s="22" t="s">
        <v>153</v>
      </c>
    </row>
    <row r="9" customFormat="false" ht="18" hidden="false" customHeight="true" outlineLevel="0" collapsed="false">
      <c r="A9" s="22" t="s">
        <v>150</v>
      </c>
      <c r="B9" s="22" t="n">
        <v>2022</v>
      </c>
      <c r="C9" s="22" t="s">
        <v>154</v>
      </c>
      <c r="D9" s="22"/>
      <c r="E9" s="22" t="s">
        <v>155</v>
      </c>
      <c r="F9" s="22"/>
      <c r="G9" s="22"/>
      <c r="H9" s="22"/>
      <c r="I9" s="22" t="s">
        <v>153</v>
      </c>
    </row>
    <row r="10" customFormat="false" ht="18" hidden="false" customHeight="true" outlineLevel="0" collapsed="false">
      <c r="A10" s="22" t="s">
        <v>150</v>
      </c>
      <c r="B10" s="22" t="n">
        <v>2022</v>
      </c>
      <c r="C10" s="22" t="s">
        <v>156</v>
      </c>
      <c r="D10" s="22"/>
      <c r="E10" s="22" t="s">
        <v>157</v>
      </c>
      <c r="F10" s="22"/>
      <c r="G10" s="22"/>
      <c r="H10" s="22"/>
      <c r="I10" s="22" t="s">
        <v>153</v>
      </c>
    </row>
    <row r="11" customFormat="false" ht="30" hidden="false" customHeight="true" outlineLevel="0" collapsed="false">
      <c r="A11" s="22" t="s">
        <v>158</v>
      </c>
      <c r="B11" s="22" t="n">
        <v>2022</v>
      </c>
      <c r="C11" s="22" t="s">
        <v>159</v>
      </c>
      <c r="D11" s="23" t="n">
        <v>109919000</v>
      </c>
      <c r="E11" s="22" t="s">
        <v>160</v>
      </c>
      <c r="F11" s="22" t="s">
        <v>144</v>
      </c>
      <c r="G11" s="22" t="s">
        <v>145</v>
      </c>
      <c r="H11" s="22" t="s">
        <v>161</v>
      </c>
      <c r="I11" s="22" t="s">
        <v>162</v>
      </c>
    </row>
    <row r="12" customFormat="false" ht="30" hidden="false" customHeight="true" outlineLevel="0" collapsed="false">
      <c r="A12" s="22" t="s">
        <v>158</v>
      </c>
      <c r="B12" s="22" t="n">
        <v>2022</v>
      </c>
      <c r="C12" s="22" t="s">
        <v>163</v>
      </c>
      <c r="D12" s="23" t="n">
        <v>84700000</v>
      </c>
      <c r="E12" s="22" t="s">
        <v>164</v>
      </c>
      <c r="F12" s="22" t="s">
        <v>144</v>
      </c>
      <c r="G12" s="22" t="s">
        <v>145</v>
      </c>
      <c r="H12" s="22" t="s">
        <v>161</v>
      </c>
      <c r="I12" s="22" t="s">
        <v>162</v>
      </c>
    </row>
    <row r="13" customFormat="false" ht="30" hidden="false" customHeight="true" outlineLevel="0" collapsed="false">
      <c r="A13" s="22" t="s">
        <v>158</v>
      </c>
      <c r="B13" s="22" t="n">
        <v>2022</v>
      </c>
      <c r="C13" s="22" t="s">
        <v>165</v>
      </c>
      <c r="D13" s="23" t="n">
        <v>69596000</v>
      </c>
      <c r="E13" s="22" t="s">
        <v>166</v>
      </c>
      <c r="F13" s="22" t="s">
        <v>144</v>
      </c>
      <c r="G13" s="22" t="s">
        <v>145</v>
      </c>
      <c r="H13" s="22" t="s">
        <v>161</v>
      </c>
      <c r="I13" s="22" t="s">
        <v>162</v>
      </c>
    </row>
    <row r="14" customFormat="false" ht="30" hidden="false" customHeight="true" outlineLevel="0" collapsed="false">
      <c r="A14" s="22" t="s">
        <v>158</v>
      </c>
      <c r="B14" s="22" t="n">
        <v>2022</v>
      </c>
      <c r="C14" s="22" t="s">
        <v>167</v>
      </c>
      <c r="D14" s="23" t="n">
        <v>19176000</v>
      </c>
      <c r="E14" s="22" t="s">
        <v>168</v>
      </c>
      <c r="F14" s="22" t="s">
        <v>144</v>
      </c>
      <c r="G14" s="22" t="s">
        <v>145</v>
      </c>
      <c r="H14" s="22" t="s">
        <v>161</v>
      </c>
      <c r="I14" s="22" t="s">
        <v>162</v>
      </c>
    </row>
    <row r="15" customFormat="false" ht="30" hidden="false" customHeight="true" outlineLevel="0" collapsed="false">
      <c r="A15" s="22" t="s">
        <v>158</v>
      </c>
      <c r="B15" s="22" t="n">
        <v>2022</v>
      </c>
      <c r="C15" s="22" t="s">
        <v>169</v>
      </c>
      <c r="D15" s="23" t="n">
        <v>6043000</v>
      </c>
      <c r="E15" s="22" t="s">
        <v>170</v>
      </c>
      <c r="F15" s="22" t="s">
        <v>144</v>
      </c>
      <c r="G15" s="22" t="s">
        <v>145</v>
      </c>
      <c r="H15" s="22" t="s">
        <v>161</v>
      </c>
      <c r="I15" s="22" t="s">
        <v>162</v>
      </c>
    </row>
    <row r="16" customFormat="false" ht="18" hidden="false" customHeight="true" outlineLevel="0" collapsed="false">
      <c r="A16" s="22" t="s">
        <v>150</v>
      </c>
      <c r="B16" s="22" t="n">
        <v>2022</v>
      </c>
      <c r="C16" s="22" t="s">
        <v>171</v>
      </c>
      <c r="D16" s="22"/>
      <c r="E16" s="22" t="s">
        <v>172</v>
      </c>
      <c r="F16" s="22"/>
      <c r="G16" s="22"/>
      <c r="H16" s="22"/>
      <c r="I16" s="22" t="s">
        <v>153</v>
      </c>
    </row>
    <row r="17" customFormat="false" ht="30" hidden="false" customHeight="true" outlineLevel="0" collapsed="false">
      <c r="A17" s="22" t="s">
        <v>158</v>
      </c>
      <c r="B17" s="22" t="n">
        <v>2022</v>
      </c>
      <c r="C17" s="22" t="s">
        <v>173</v>
      </c>
      <c r="D17" s="23" t="n">
        <v>2868000</v>
      </c>
      <c r="E17" s="22" t="s">
        <v>174</v>
      </c>
      <c r="F17" s="22" t="s">
        <v>144</v>
      </c>
      <c r="G17" s="22" t="s">
        <v>145</v>
      </c>
      <c r="H17" s="22" t="s">
        <v>161</v>
      </c>
      <c r="I17" s="22" t="s">
        <v>162</v>
      </c>
    </row>
    <row r="18" customFormat="false" ht="18" hidden="false" customHeight="true" outlineLevel="0" collapsed="false">
      <c r="A18" s="22" t="s">
        <v>150</v>
      </c>
      <c r="B18" s="22" t="n">
        <v>2022</v>
      </c>
      <c r="C18" s="22" t="s">
        <v>175</v>
      </c>
      <c r="D18" s="22"/>
      <c r="E18" s="22" t="s">
        <v>176</v>
      </c>
      <c r="F18" s="22"/>
      <c r="G18" s="22"/>
      <c r="H18" s="22"/>
      <c r="I18" s="22" t="s">
        <v>153</v>
      </c>
    </row>
    <row r="19" customFormat="false" ht="18" hidden="false" customHeight="true" outlineLevel="0" collapsed="false">
      <c r="A19" s="22" t="s">
        <v>150</v>
      </c>
      <c r="B19" s="22" t="n">
        <v>2022</v>
      </c>
      <c r="C19" s="22" t="s">
        <v>177</v>
      </c>
      <c r="D19" s="22"/>
      <c r="E19" s="22" t="s">
        <v>178</v>
      </c>
      <c r="F19" s="22"/>
      <c r="G19" s="22"/>
      <c r="H19" s="22"/>
      <c r="I19" s="22" t="s">
        <v>153</v>
      </c>
    </row>
    <row r="20" customFormat="false" ht="30" hidden="false" customHeight="true" outlineLevel="0" collapsed="false">
      <c r="A20" s="22" t="s">
        <v>158</v>
      </c>
      <c r="B20" s="22" t="n">
        <v>2022</v>
      </c>
      <c r="C20" s="22" t="s">
        <v>179</v>
      </c>
      <c r="D20" s="23" t="n">
        <v>81780000000</v>
      </c>
      <c r="E20" s="22" t="s">
        <v>180</v>
      </c>
      <c r="F20" s="22" t="s">
        <v>144</v>
      </c>
      <c r="G20" s="22" t="s">
        <v>145</v>
      </c>
      <c r="H20" s="22" t="s">
        <v>146</v>
      </c>
      <c r="I20" s="22" t="s">
        <v>181</v>
      </c>
    </row>
    <row r="21" customFormat="false" ht="30" hidden="false" customHeight="true" outlineLevel="0" collapsed="false">
      <c r="A21" s="22" t="s">
        <v>158</v>
      </c>
      <c r="B21" s="22" t="n">
        <v>2022</v>
      </c>
      <c r="C21" s="22" t="s">
        <v>182</v>
      </c>
      <c r="D21" s="23" t="n">
        <v>60499000000</v>
      </c>
      <c r="E21" s="22" t="s">
        <v>183</v>
      </c>
      <c r="F21" s="22" t="s">
        <v>144</v>
      </c>
      <c r="G21" s="22" t="s">
        <v>145</v>
      </c>
      <c r="H21" s="22" t="s">
        <v>146</v>
      </c>
      <c r="I21" s="22" t="s">
        <v>184</v>
      </c>
    </row>
    <row r="22" customFormat="false" ht="30" hidden="false" customHeight="true" outlineLevel="0" collapsed="false">
      <c r="A22" s="22" t="s">
        <v>158</v>
      </c>
      <c r="B22" s="22" t="n">
        <v>2022</v>
      </c>
      <c r="C22" s="22" t="s">
        <v>185</v>
      </c>
      <c r="D22" s="23" t="n">
        <v>21281000000</v>
      </c>
      <c r="E22" s="22" t="s">
        <v>186</v>
      </c>
      <c r="F22" s="22" t="s">
        <v>144</v>
      </c>
      <c r="G22" s="22" t="s">
        <v>145</v>
      </c>
      <c r="H22" s="22" t="s">
        <v>146</v>
      </c>
      <c r="I22" s="22" t="s">
        <v>184</v>
      </c>
    </row>
    <row r="23" customFormat="false" ht="30" hidden="false" customHeight="true" outlineLevel="0" collapsed="false">
      <c r="A23" s="22" t="s">
        <v>158</v>
      </c>
      <c r="B23" s="22" t="n">
        <v>2022</v>
      </c>
      <c r="C23" s="22" t="s">
        <v>187</v>
      </c>
      <c r="D23" s="23" t="n">
        <v>23812000000</v>
      </c>
      <c r="E23" s="22" t="s">
        <v>188</v>
      </c>
      <c r="F23" s="22" t="s">
        <v>144</v>
      </c>
      <c r="G23" s="22" t="s">
        <v>145</v>
      </c>
      <c r="H23" s="22" t="s">
        <v>146</v>
      </c>
      <c r="I23" s="22" t="s">
        <v>189</v>
      </c>
    </row>
    <row r="24" customFormat="false" ht="30" hidden="false" customHeight="true" outlineLevel="0" collapsed="false">
      <c r="A24" s="22" t="s">
        <v>158</v>
      </c>
      <c r="B24" s="22" t="n">
        <v>2022</v>
      </c>
      <c r="C24" s="22" t="s">
        <v>190</v>
      </c>
      <c r="D24" s="23" t="n">
        <v>8198000000</v>
      </c>
      <c r="E24" s="22" t="s">
        <v>191</v>
      </c>
      <c r="F24" s="22" t="s">
        <v>144</v>
      </c>
      <c r="G24" s="22" t="s">
        <v>145</v>
      </c>
      <c r="H24" s="22" t="s">
        <v>146</v>
      </c>
      <c r="I24" s="22" t="s">
        <v>184</v>
      </c>
    </row>
    <row r="25" customFormat="false" ht="30" hidden="false" customHeight="true" outlineLevel="0" collapsed="false">
      <c r="A25" s="22" t="s">
        <v>158</v>
      </c>
      <c r="B25" s="22" t="n">
        <v>2022</v>
      </c>
      <c r="C25" s="22" t="s">
        <v>192</v>
      </c>
      <c r="D25" s="23" t="n">
        <v>22538000000</v>
      </c>
      <c r="E25" s="22" t="s">
        <v>193</v>
      </c>
      <c r="F25" s="22" t="s">
        <v>144</v>
      </c>
      <c r="G25" s="22" t="s">
        <v>145</v>
      </c>
      <c r="H25" s="22" t="s">
        <v>146</v>
      </c>
      <c r="I25" s="22" t="s">
        <v>181</v>
      </c>
    </row>
    <row r="26" customFormat="false" ht="30" hidden="false" customHeight="true" outlineLevel="0" collapsed="false">
      <c r="A26" s="22" t="s">
        <v>158</v>
      </c>
      <c r="B26" s="22" t="n">
        <v>2022</v>
      </c>
      <c r="C26" s="22" t="s">
        <v>194</v>
      </c>
      <c r="D26" s="23" t="n">
        <v>2290000000</v>
      </c>
      <c r="E26" s="22" t="s">
        <v>195</v>
      </c>
      <c r="F26" s="22" t="s">
        <v>144</v>
      </c>
      <c r="G26" s="22" t="s">
        <v>145</v>
      </c>
      <c r="H26" s="22" t="s">
        <v>146</v>
      </c>
      <c r="I26" s="22" t="s">
        <v>189</v>
      </c>
    </row>
    <row r="27" customFormat="false" ht="30" hidden="false" customHeight="true" outlineLevel="0" collapsed="false">
      <c r="A27" s="22" t="s">
        <v>158</v>
      </c>
      <c r="B27" s="22" t="n">
        <v>2022</v>
      </c>
      <c r="C27" s="22" t="s">
        <v>196</v>
      </c>
      <c r="D27" s="23" t="n">
        <v>5314000000</v>
      </c>
      <c r="E27" s="22" t="s">
        <v>197</v>
      </c>
      <c r="F27" s="22" t="s">
        <v>144</v>
      </c>
      <c r="G27" s="22" t="s">
        <v>145</v>
      </c>
      <c r="H27" s="22" t="s">
        <v>146</v>
      </c>
      <c r="I27" s="22" t="s">
        <v>198</v>
      </c>
    </row>
    <row r="28" customFormat="false" ht="30" hidden="false" customHeight="true" outlineLevel="0" collapsed="false">
      <c r="A28" s="22" t="s">
        <v>158</v>
      </c>
      <c r="B28" s="22" t="n">
        <v>2022</v>
      </c>
      <c r="C28" s="22" t="s">
        <v>199</v>
      </c>
      <c r="D28" s="23" t="n">
        <v>12749000000</v>
      </c>
      <c r="E28" s="22" t="s">
        <v>200</v>
      </c>
      <c r="F28" s="22" t="s">
        <v>144</v>
      </c>
      <c r="G28" s="22" t="s">
        <v>145</v>
      </c>
      <c r="H28" s="22" t="s">
        <v>146</v>
      </c>
      <c r="I28" s="22" t="s">
        <v>181</v>
      </c>
    </row>
    <row r="29" customFormat="false" ht="30" hidden="false" customHeight="true" outlineLevel="0" collapsed="false">
      <c r="A29" s="22" t="s">
        <v>158</v>
      </c>
      <c r="B29" s="22" t="n">
        <v>2022</v>
      </c>
      <c r="C29" s="22" t="s">
        <v>201</v>
      </c>
      <c r="D29" s="23" t="n">
        <v>9669000000</v>
      </c>
      <c r="E29" s="22" t="s">
        <v>202</v>
      </c>
      <c r="F29" s="22" t="s">
        <v>144</v>
      </c>
      <c r="G29" s="22" t="s">
        <v>145</v>
      </c>
      <c r="H29" s="22" t="s">
        <v>146</v>
      </c>
      <c r="I29" s="22" t="s">
        <v>203</v>
      </c>
    </row>
    <row r="30" customFormat="false" ht="30" hidden="false" customHeight="true" outlineLevel="0" collapsed="false">
      <c r="A30" s="22" t="s">
        <v>158</v>
      </c>
      <c r="B30" s="22" t="n">
        <v>2022</v>
      </c>
      <c r="C30" s="22" t="s">
        <v>204</v>
      </c>
      <c r="D30" s="23" t="n">
        <v>634000000</v>
      </c>
      <c r="E30" s="22" t="s">
        <v>205</v>
      </c>
      <c r="F30" s="22" t="s">
        <v>144</v>
      </c>
      <c r="G30" s="22" t="s">
        <v>145</v>
      </c>
      <c r="H30" s="22" t="s">
        <v>146</v>
      </c>
      <c r="I30" s="22" t="s">
        <v>203</v>
      </c>
    </row>
    <row r="31" customFormat="false" ht="30" hidden="false" customHeight="true" outlineLevel="0" collapsed="false">
      <c r="A31" s="22" t="s">
        <v>158</v>
      </c>
      <c r="B31" s="22" t="n">
        <v>2022</v>
      </c>
      <c r="C31" s="22" t="s">
        <v>206</v>
      </c>
      <c r="D31" s="23" t="n">
        <v>3169000000</v>
      </c>
      <c r="E31" s="22" t="s">
        <v>207</v>
      </c>
      <c r="F31" s="22" t="s">
        <v>144</v>
      </c>
      <c r="G31" s="22" t="s">
        <v>145</v>
      </c>
      <c r="H31" s="22" t="s">
        <v>146</v>
      </c>
      <c r="I31" s="22" t="s">
        <v>203</v>
      </c>
    </row>
    <row r="32" customFormat="false" ht="18" hidden="false" customHeight="true" outlineLevel="0" collapsed="false">
      <c r="A32" s="22" t="s">
        <v>150</v>
      </c>
      <c r="B32" s="22" t="n">
        <v>2022</v>
      </c>
      <c r="C32" s="22" t="s">
        <v>208</v>
      </c>
      <c r="D32" s="22"/>
      <c r="E32" s="22" t="s">
        <v>209</v>
      </c>
      <c r="F32" s="22"/>
      <c r="G32" s="22"/>
      <c r="H32" s="22"/>
      <c r="I32" s="22" t="s">
        <v>153</v>
      </c>
    </row>
    <row r="33" customFormat="false" ht="18" hidden="false" customHeight="true" outlineLevel="0" collapsed="false">
      <c r="A33" s="22" t="s">
        <v>150</v>
      </c>
      <c r="B33" s="22" t="n">
        <v>2022</v>
      </c>
      <c r="C33" s="22" t="s">
        <v>210</v>
      </c>
      <c r="D33" s="22"/>
      <c r="E33" s="22" t="s">
        <v>211</v>
      </c>
      <c r="F33" s="22"/>
      <c r="G33" s="22"/>
      <c r="H33" s="22"/>
      <c r="I33" s="22" t="s">
        <v>153</v>
      </c>
    </row>
    <row r="34" customFormat="false" ht="18" hidden="false" customHeight="true" outlineLevel="0" collapsed="false">
      <c r="A34" s="22" t="s">
        <v>150</v>
      </c>
      <c r="B34" s="22" t="n">
        <v>2022</v>
      </c>
      <c r="C34" s="22" t="s">
        <v>212</v>
      </c>
      <c r="D34" s="22"/>
      <c r="E34" s="22" t="s">
        <v>213</v>
      </c>
      <c r="F34" s="22"/>
      <c r="G34" s="22"/>
      <c r="H34" s="22"/>
      <c r="I34" s="22" t="s">
        <v>153</v>
      </c>
    </row>
    <row r="35" customFormat="false" ht="30" hidden="false" customHeight="true" outlineLevel="0" collapsed="false">
      <c r="A35" s="22" t="s">
        <v>158</v>
      </c>
      <c r="B35" s="22" t="n">
        <v>2022</v>
      </c>
      <c r="C35" s="22" t="s">
        <v>214</v>
      </c>
      <c r="D35" s="23" t="n">
        <v>1223000</v>
      </c>
      <c r="E35" s="22" t="s">
        <v>215</v>
      </c>
      <c r="F35" s="22" t="s">
        <v>144</v>
      </c>
      <c r="G35" s="22" t="s">
        <v>145</v>
      </c>
      <c r="H35" s="22" t="s">
        <v>161</v>
      </c>
      <c r="I35" s="22" t="s">
        <v>216</v>
      </c>
    </row>
    <row r="36" customFormat="false" ht="30" hidden="false" customHeight="true" outlineLevel="0" collapsed="false">
      <c r="A36" s="22" t="s">
        <v>158</v>
      </c>
      <c r="B36" s="22" t="n">
        <v>2022</v>
      </c>
      <c r="C36" s="22" t="s">
        <v>217</v>
      </c>
      <c r="D36" s="23" t="n">
        <v>3144000000</v>
      </c>
      <c r="E36" s="22" t="s">
        <v>218</v>
      </c>
      <c r="F36" s="22" t="s">
        <v>144</v>
      </c>
      <c r="G36" s="22" t="s">
        <v>145</v>
      </c>
      <c r="H36" s="22" t="s">
        <v>146</v>
      </c>
      <c r="I36" s="22" t="s">
        <v>219</v>
      </c>
    </row>
    <row r="37" customFormat="false" ht="30" hidden="false" customHeight="true" outlineLevel="0" collapsed="false">
      <c r="A37" s="22" t="s">
        <v>158</v>
      </c>
      <c r="B37" s="22" t="n">
        <v>2022</v>
      </c>
      <c r="C37" s="22" t="s">
        <v>220</v>
      </c>
      <c r="D37" s="23" t="n">
        <v>-326000000</v>
      </c>
      <c r="E37" s="22" t="s">
        <v>221</v>
      </c>
      <c r="F37" s="22" t="s">
        <v>144</v>
      </c>
      <c r="G37" s="22" t="s">
        <v>145</v>
      </c>
      <c r="H37" s="22" t="s">
        <v>146</v>
      </c>
      <c r="I37" s="22" t="s">
        <v>219</v>
      </c>
    </row>
    <row r="38" customFormat="false" ht="30" hidden="false" customHeight="true" outlineLevel="0" collapsed="false">
      <c r="A38" s="22" t="s">
        <v>158</v>
      </c>
      <c r="B38" s="22" t="n">
        <v>2022</v>
      </c>
      <c r="C38" s="22" t="s">
        <v>222</v>
      </c>
      <c r="D38" s="23" t="n">
        <v>117067000000</v>
      </c>
      <c r="E38" s="22" t="s">
        <v>223</v>
      </c>
      <c r="F38" s="22" t="s">
        <v>144</v>
      </c>
      <c r="G38" s="22" t="s">
        <v>145</v>
      </c>
      <c r="H38" s="22" t="s">
        <v>146</v>
      </c>
      <c r="I38" s="22" t="s">
        <v>181</v>
      </c>
    </row>
    <row r="39" customFormat="false" ht="30" hidden="false" customHeight="true" outlineLevel="0" collapsed="false">
      <c r="A39" s="22" t="s">
        <v>158</v>
      </c>
      <c r="B39" s="22" t="n">
        <v>2022</v>
      </c>
      <c r="C39" s="22" t="s">
        <v>224</v>
      </c>
      <c r="D39" s="23" t="n">
        <v>26736000000</v>
      </c>
      <c r="E39" s="22" t="s">
        <v>225</v>
      </c>
      <c r="F39" s="22" t="s">
        <v>144</v>
      </c>
      <c r="G39" s="22" t="s">
        <v>145</v>
      </c>
      <c r="H39" s="22" t="s">
        <v>146</v>
      </c>
      <c r="I39" s="22" t="s">
        <v>189</v>
      </c>
    </row>
    <row r="40" customFormat="false" ht="30" hidden="false" customHeight="true" outlineLevel="0" collapsed="false">
      <c r="A40" s="22" t="s">
        <v>158</v>
      </c>
      <c r="B40" s="22" t="n">
        <v>2022</v>
      </c>
      <c r="C40" s="22" t="s">
        <v>226</v>
      </c>
      <c r="D40" s="23" t="n">
        <v>120741000000</v>
      </c>
      <c r="E40" s="22" t="s">
        <v>227</v>
      </c>
      <c r="F40" s="22" t="s">
        <v>144</v>
      </c>
      <c r="G40" s="22" t="s">
        <v>145</v>
      </c>
      <c r="H40" s="22" t="s">
        <v>228</v>
      </c>
      <c r="I40" s="22" t="s">
        <v>229</v>
      </c>
    </row>
    <row r="41" customFormat="false" ht="30" hidden="false" customHeight="true" outlineLevel="0" collapsed="false">
      <c r="A41" s="22" t="s">
        <v>158</v>
      </c>
      <c r="B41" s="22" t="n">
        <v>2022</v>
      </c>
      <c r="C41" s="22" t="s">
        <v>230</v>
      </c>
      <c r="D41" s="23" t="n">
        <v>-4587000000</v>
      </c>
      <c r="E41" s="22" t="s">
        <v>231</v>
      </c>
      <c r="F41" s="22" t="s">
        <v>144</v>
      </c>
      <c r="G41" s="22" t="s">
        <v>145</v>
      </c>
      <c r="H41" s="22" t="s">
        <v>228</v>
      </c>
      <c r="I41" s="22" t="s">
        <v>229</v>
      </c>
    </row>
    <row r="42" customFormat="false" ht="30" hidden="false" customHeight="true" outlineLevel="0" collapsed="false">
      <c r="A42" s="22" t="s">
        <v>141</v>
      </c>
      <c r="B42" s="22" t="n">
        <v>2022</v>
      </c>
      <c r="C42" s="22" t="s">
        <v>232</v>
      </c>
      <c r="D42" s="23" t="n">
        <v>1.22171945701358</v>
      </c>
      <c r="E42" s="22" t="s">
        <v>233</v>
      </c>
      <c r="F42" s="22" t="s">
        <v>144</v>
      </c>
      <c r="G42" s="22" t="s">
        <v>145</v>
      </c>
      <c r="H42" s="22" t="s">
        <v>228</v>
      </c>
      <c r="I42" s="22" t="s">
        <v>229</v>
      </c>
    </row>
    <row r="43" customFormat="false" ht="30" hidden="false" customHeight="true" outlineLevel="0" collapsed="false">
      <c r="A43" s="22" t="s">
        <v>141</v>
      </c>
      <c r="B43" s="22" t="n">
        <v>2022</v>
      </c>
      <c r="C43" s="22" t="s">
        <v>232</v>
      </c>
      <c r="D43" s="23" t="n">
        <v>1.22171945701358</v>
      </c>
      <c r="E43" s="22" t="s">
        <v>234</v>
      </c>
      <c r="F43" s="22" t="s">
        <v>144</v>
      </c>
      <c r="G43" s="22" t="s">
        <v>145</v>
      </c>
      <c r="H43" s="22" t="s">
        <v>228</v>
      </c>
      <c r="I43" s="22" t="s">
        <v>229</v>
      </c>
    </row>
    <row r="44" customFormat="false" ht="30" hidden="false" customHeight="true" outlineLevel="0" collapsed="false">
      <c r="A44" s="22" t="s">
        <v>158</v>
      </c>
      <c r="B44" s="22" t="n">
        <v>2022</v>
      </c>
      <c r="C44" s="22" t="s">
        <v>235</v>
      </c>
      <c r="D44" s="23" t="n">
        <v>18021000000</v>
      </c>
      <c r="E44" s="22" t="s">
        <v>236</v>
      </c>
      <c r="F44" s="22" t="s">
        <v>237</v>
      </c>
      <c r="G44" s="22" t="s">
        <v>238</v>
      </c>
      <c r="H44" s="22" t="s">
        <v>228</v>
      </c>
      <c r="I44" s="22" t="s">
        <v>239</v>
      </c>
    </row>
    <row r="45" customFormat="false" ht="30" hidden="false" customHeight="true" outlineLevel="0" collapsed="false">
      <c r="A45" s="22" t="s">
        <v>141</v>
      </c>
      <c r="B45" s="22" t="n">
        <v>2022</v>
      </c>
      <c r="C45" s="22" t="s">
        <v>240</v>
      </c>
      <c r="D45" s="23" t="n">
        <v>19626000000</v>
      </c>
      <c r="E45" s="22" t="s">
        <v>143</v>
      </c>
      <c r="F45" s="22" t="s">
        <v>144</v>
      </c>
      <c r="G45" s="22" t="s">
        <v>145</v>
      </c>
      <c r="H45" s="22" t="s">
        <v>146</v>
      </c>
      <c r="I45" s="22" t="s">
        <v>147</v>
      </c>
    </row>
    <row r="46" customFormat="false" ht="30" hidden="false" customHeight="true" outlineLevel="0" collapsed="false">
      <c r="A46" s="22" t="s">
        <v>141</v>
      </c>
      <c r="B46" s="22" t="n">
        <v>2022</v>
      </c>
      <c r="C46" s="22" t="s">
        <v>241</v>
      </c>
      <c r="D46" s="24" t="n">
        <v>-19626</v>
      </c>
      <c r="E46" s="22" t="s">
        <v>149</v>
      </c>
      <c r="F46" s="22" t="s">
        <v>144</v>
      </c>
      <c r="G46" s="22" t="s">
        <v>145</v>
      </c>
      <c r="H46" s="22" t="s">
        <v>146</v>
      </c>
      <c r="I46" s="22" t="s">
        <v>147</v>
      </c>
    </row>
    <row r="47" customFormat="false" ht="18" hidden="false" customHeight="true" outlineLevel="0" collapsed="false">
      <c r="A47" s="22" t="s">
        <v>150</v>
      </c>
      <c r="B47" s="22" t="n">
        <v>2022</v>
      </c>
      <c r="C47" s="22" t="s">
        <v>242</v>
      </c>
      <c r="D47" s="22"/>
      <c r="E47" s="22" t="s">
        <v>152</v>
      </c>
      <c r="F47" s="22"/>
      <c r="G47" s="22"/>
      <c r="H47" s="22"/>
      <c r="I47" s="22" t="s">
        <v>153</v>
      </c>
    </row>
    <row r="48" customFormat="false" ht="30" hidden="false" customHeight="true" outlineLevel="0" collapsed="false">
      <c r="A48" s="22" t="s">
        <v>158</v>
      </c>
      <c r="B48" s="22" t="n">
        <v>2022</v>
      </c>
      <c r="C48" s="22" t="s">
        <v>243</v>
      </c>
      <c r="D48" s="23" t="n">
        <v>3701000000</v>
      </c>
      <c r="E48" s="22" t="s">
        <v>244</v>
      </c>
      <c r="F48" s="22" t="s">
        <v>245</v>
      </c>
      <c r="G48" s="22" t="s">
        <v>246</v>
      </c>
      <c r="H48" s="22" t="s">
        <v>228</v>
      </c>
      <c r="I48" s="22" t="s">
        <v>247</v>
      </c>
    </row>
    <row r="49" customFormat="false" ht="30" hidden="false" customHeight="true" outlineLevel="0" collapsed="false">
      <c r="A49" s="22" t="s">
        <v>248</v>
      </c>
      <c r="B49" s="22" t="n">
        <v>2022</v>
      </c>
      <c r="C49" s="22" t="s">
        <v>249</v>
      </c>
      <c r="D49" s="23"/>
      <c r="E49" s="22" t="s">
        <v>250</v>
      </c>
      <c r="F49" s="22" t="s">
        <v>237</v>
      </c>
      <c r="G49" s="22" t="s">
        <v>238</v>
      </c>
      <c r="H49" s="22" t="s">
        <v>228</v>
      </c>
      <c r="I49" s="22" t="s">
        <v>251</v>
      </c>
    </row>
    <row r="50" customFormat="false" ht="30" hidden="false" customHeight="true" outlineLevel="0" collapsed="false">
      <c r="A50" s="22" t="s">
        <v>248</v>
      </c>
      <c r="B50" s="22" t="n">
        <v>2022</v>
      </c>
      <c r="C50" s="22" t="s">
        <v>249</v>
      </c>
      <c r="D50" s="23"/>
      <c r="E50" s="22" t="s">
        <v>252</v>
      </c>
      <c r="F50" s="22" t="s">
        <v>237</v>
      </c>
      <c r="G50" s="22" t="s">
        <v>238</v>
      </c>
      <c r="H50" s="22" t="s">
        <v>228</v>
      </c>
      <c r="I50" s="22" t="s">
        <v>251</v>
      </c>
    </row>
    <row r="51" customFormat="false" ht="18" hidden="false" customHeight="true" outlineLevel="0" collapsed="false">
      <c r="A51" s="22" t="s">
        <v>150</v>
      </c>
      <c r="B51" s="22" t="n">
        <v>2022</v>
      </c>
      <c r="C51" s="22" t="s">
        <v>253</v>
      </c>
      <c r="D51" s="22"/>
      <c r="E51" s="22" t="s">
        <v>155</v>
      </c>
      <c r="F51" s="22"/>
      <c r="G51" s="22"/>
      <c r="H51" s="22"/>
      <c r="I51" s="22" t="s">
        <v>153</v>
      </c>
    </row>
    <row r="52" customFormat="false" ht="30" hidden="false" customHeight="true" outlineLevel="0" collapsed="false">
      <c r="A52" s="22" t="s">
        <v>158</v>
      </c>
      <c r="B52" s="22" t="n">
        <v>2022</v>
      </c>
      <c r="C52" s="22" t="s">
        <v>254</v>
      </c>
      <c r="D52" s="23" t="n">
        <v>8957000000</v>
      </c>
      <c r="E52" s="22" t="s">
        <v>255</v>
      </c>
      <c r="F52" s="22" t="s">
        <v>256</v>
      </c>
      <c r="G52" s="22" t="s">
        <v>257</v>
      </c>
      <c r="H52" s="22" t="s">
        <v>228</v>
      </c>
      <c r="I52" s="22" t="s">
        <v>247</v>
      </c>
    </row>
    <row r="53" customFormat="false" ht="30" hidden="false" customHeight="true" outlineLevel="0" collapsed="false">
      <c r="A53" s="22" t="s">
        <v>248</v>
      </c>
      <c r="B53" s="22" t="n">
        <v>2022</v>
      </c>
      <c r="C53" s="22" t="s">
        <v>258</v>
      </c>
      <c r="D53" s="23"/>
      <c r="E53" s="22" t="s">
        <v>259</v>
      </c>
      <c r="F53" s="22" t="s">
        <v>237</v>
      </c>
      <c r="G53" s="22" t="s">
        <v>238</v>
      </c>
      <c r="H53" s="22" t="s">
        <v>228</v>
      </c>
      <c r="I53" s="22" t="s">
        <v>251</v>
      </c>
    </row>
    <row r="54" customFormat="false" ht="30" hidden="false" customHeight="true" outlineLevel="0" collapsed="false">
      <c r="A54" s="22" t="s">
        <v>158</v>
      </c>
      <c r="B54" s="22" t="n">
        <v>2022</v>
      </c>
      <c r="C54" s="22" t="s">
        <v>260</v>
      </c>
      <c r="D54" s="22" t="n">
        <v>7587000000</v>
      </c>
      <c r="E54" s="22" t="s">
        <v>261</v>
      </c>
      <c r="F54" s="22" t="s">
        <v>144</v>
      </c>
      <c r="G54" s="22" t="s">
        <v>145</v>
      </c>
      <c r="H54" s="22" t="s">
        <v>262</v>
      </c>
      <c r="I54" s="22" t="s">
        <v>251</v>
      </c>
    </row>
    <row r="55" customFormat="false" ht="30" hidden="false" customHeight="true" outlineLevel="0" collapsed="false">
      <c r="A55" s="22" t="s">
        <v>141</v>
      </c>
      <c r="B55" s="22" t="n">
        <v>2023</v>
      </c>
      <c r="C55" s="22" t="s">
        <v>142</v>
      </c>
      <c r="D55" s="23" t="n">
        <v>17853000000</v>
      </c>
      <c r="E55" s="22" t="s">
        <v>143</v>
      </c>
      <c r="F55" s="22" t="s">
        <v>245</v>
      </c>
      <c r="G55" s="22" t="s">
        <v>246</v>
      </c>
      <c r="H55" s="22" t="s">
        <v>146</v>
      </c>
      <c r="I55" s="22" t="s">
        <v>147</v>
      </c>
    </row>
    <row r="56" customFormat="false" ht="30" hidden="false" customHeight="true" outlineLevel="0" collapsed="false">
      <c r="A56" s="22" t="s">
        <v>141</v>
      </c>
      <c r="B56" s="22" t="n">
        <v>2023</v>
      </c>
      <c r="C56" s="22" t="s">
        <v>148</v>
      </c>
      <c r="D56" s="24" t="n">
        <v>-17853</v>
      </c>
      <c r="E56" s="22" t="s">
        <v>149</v>
      </c>
      <c r="F56" s="22" t="s">
        <v>245</v>
      </c>
      <c r="G56" s="22" t="s">
        <v>246</v>
      </c>
      <c r="H56" s="22" t="s">
        <v>146</v>
      </c>
      <c r="I56" s="22" t="s">
        <v>147</v>
      </c>
    </row>
    <row r="57" customFormat="false" ht="30" hidden="false" customHeight="true" outlineLevel="0" collapsed="false">
      <c r="A57" s="22" t="s">
        <v>141</v>
      </c>
      <c r="B57" s="22" t="n">
        <v>2023</v>
      </c>
      <c r="C57" s="22" t="s">
        <v>151</v>
      </c>
      <c r="D57" s="23" t="n">
        <v>1884000000</v>
      </c>
      <c r="E57" s="22" t="s">
        <v>152</v>
      </c>
      <c r="F57" s="22" t="s">
        <v>245</v>
      </c>
      <c r="G57" s="22" t="s">
        <v>246</v>
      </c>
      <c r="H57" s="22" t="s">
        <v>146</v>
      </c>
      <c r="I57" s="22" t="s">
        <v>263</v>
      </c>
    </row>
    <row r="58" customFormat="false" ht="30" hidden="false" customHeight="true" outlineLevel="0" collapsed="false">
      <c r="A58" s="22" t="s">
        <v>141</v>
      </c>
      <c r="B58" s="22" t="n">
        <v>2023</v>
      </c>
      <c r="C58" s="22" t="s">
        <v>264</v>
      </c>
      <c r="D58" s="24" t="n">
        <v>82</v>
      </c>
      <c r="E58" s="22" t="s">
        <v>265</v>
      </c>
      <c r="F58" s="22" t="s">
        <v>245</v>
      </c>
      <c r="G58" s="22" t="s">
        <v>246</v>
      </c>
      <c r="H58" s="22" t="s">
        <v>146</v>
      </c>
      <c r="I58" s="22" t="s">
        <v>266</v>
      </c>
    </row>
    <row r="59" customFormat="false" ht="30" hidden="false" customHeight="true" outlineLevel="0" collapsed="false">
      <c r="A59" s="22" t="s">
        <v>141</v>
      </c>
      <c r="B59" s="22" t="n">
        <v>2023</v>
      </c>
      <c r="C59" s="22" t="s">
        <v>264</v>
      </c>
      <c r="D59" s="24" t="n">
        <v>-133</v>
      </c>
      <c r="E59" s="22" t="s">
        <v>267</v>
      </c>
      <c r="F59" s="22" t="s">
        <v>245</v>
      </c>
      <c r="G59" s="22" t="s">
        <v>246</v>
      </c>
      <c r="H59" s="22" t="s">
        <v>146</v>
      </c>
      <c r="I59" s="22" t="s">
        <v>268</v>
      </c>
    </row>
    <row r="60" customFormat="false" ht="30" hidden="false" customHeight="true" outlineLevel="0" collapsed="false">
      <c r="A60" s="22" t="s">
        <v>141</v>
      </c>
      <c r="B60" s="22" t="n">
        <v>2023</v>
      </c>
      <c r="C60" s="22" t="s">
        <v>264</v>
      </c>
      <c r="D60" s="24" t="n">
        <v>-1006</v>
      </c>
      <c r="E60" s="22" t="s">
        <v>269</v>
      </c>
      <c r="F60" s="22" t="s">
        <v>245</v>
      </c>
      <c r="G60" s="22" t="s">
        <v>246</v>
      </c>
      <c r="H60" s="22" t="s">
        <v>146</v>
      </c>
      <c r="I60" s="22" t="s">
        <v>270</v>
      </c>
    </row>
    <row r="61" customFormat="false" ht="30" hidden="false" customHeight="true" outlineLevel="0" collapsed="false">
      <c r="A61" s="22" t="s">
        <v>141</v>
      </c>
      <c r="B61" s="22" t="n">
        <v>2023</v>
      </c>
      <c r="C61" s="22" t="s">
        <v>264</v>
      </c>
      <c r="D61" s="24" t="n">
        <v>747</v>
      </c>
      <c r="E61" s="22" t="s">
        <v>271</v>
      </c>
      <c r="F61" s="22" t="s">
        <v>245</v>
      </c>
      <c r="G61" s="22" t="s">
        <v>246</v>
      </c>
      <c r="H61" s="22" t="s">
        <v>146</v>
      </c>
      <c r="I61" s="22" t="s">
        <v>272</v>
      </c>
    </row>
    <row r="62" customFormat="false" ht="30" hidden="false" customHeight="true" outlineLevel="0" collapsed="false">
      <c r="A62" s="22" t="s">
        <v>141</v>
      </c>
      <c r="B62" s="22" t="n">
        <v>2023</v>
      </c>
      <c r="C62" s="22" t="s">
        <v>264</v>
      </c>
      <c r="D62" s="24" t="n">
        <v>-1574</v>
      </c>
      <c r="E62" s="22" t="s">
        <v>273</v>
      </c>
      <c r="F62" s="22" t="s">
        <v>245</v>
      </c>
      <c r="G62" s="22" t="s">
        <v>246</v>
      </c>
      <c r="H62" s="22" t="s">
        <v>146</v>
      </c>
      <c r="I62" s="22" t="s">
        <v>274</v>
      </c>
    </row>
    <row r="63" customFormat="false" ht="30" hidden="false" customHeight="true" outlineLevel="0" collapsed="false">
      <c r="A63" s="22" t="s">
        <v>158</v>
      </c>
      <c r="B63" s="22" t="n">
        <v>2023</v>
      </c>
      <c r="C63" s="22" t="s">
        <v>154</v>
      </c>
      <c r="D63" s="23" t="n">
        <v>135240000000</v>
      </c>
      <c r="E63" s="22" t="s">
        <v>155</v>
      </c>
      <c r="F63" s="22" t="s">
        <v>144</v>
      </c>
      <c r="G63" s="22" t="s">
        <v>145</v>
      </c>
      <c r="H63" s="22" t="s">
        <v>146</v>
      </c>
      <c r="I63" s="22" t="s">
        <v>275</v>
      </c>
    </row>
    <row r="64" customFormat="false" ht="30" hidden="false" customHeight="true" outlineLevel="0" collapsed="false">
      <c r="A64" s="22" t="s">
        <v>158</v>
      </c>
      <c r="B64" s="22" t="n">
        <v>2023</v>
      </c>
      <c r="C64" s="22" t="s">
        <v>156</v>
      </c>
      <c r="D64" s="25" t="n">
        <v>0.042</v>
      </c>
      <c r="E64" s="22" t="s">
        <v>157</v>
      </c>
      <c r="F64" s="22" t="s">
        <v>144</v>
      </c>
      <c r="G64" s="22" t="s">
        <v>145</v>
      </c>
      <c r="H64" s="22" t="s">
        <v>276</v>
      </c>
      <c r="I64" s="22" t="s">
        <v>277</v>
      </c>
    </row>
    <row r="65" customFormat="false" ht="30" hidden="false" customHeight="true" outlineLevel="0" collapsed="false">
      <c r="A65" s="22" t="s">
        <v>158</v>
      </c>
      <c r="B65" s="22" t="n">
        <v>2023</v>
      </c>
      <c r="C65" s="22" t="s">
        <v>159</v>
      </c>
      <c r="D65" s="23" t="n">
        <v>113808000</v>
      </c>
      <c r="E65" s="22" t="s">
        <v>160</v>
      </c>
      <c r="F65" s="22" t="s">
        <v>245</v>
      </c>
      <c r="G65" s="22" t="s">
        <v>246</v>
      </c>
      <c r="H65" s="22" t="s">
        <v>161</v>
      </c>
      <c r="I65" s="22" t="s">
        <v>162</v>
      </c>
    </row>
    <row r="66" customFormat="false" ht="30" hidden="false" customHeight="true" outlineLevel="0" collapsed="false">
      <c r="A66" s="22" t="s">
        <v>158</v>
      </c>
      <c r="B66" s="22" t="n">
        <v>2023</v>
      </c>
      <c r="C66" s="22" t="s">
        <v>163</v>
      </c>
      <c r="D66" s="23" t="n">
        <v>87104000</v>
      </c>
      <c r="E66" s="22" t="s">
        <v>164</v>
      </c>
      <c r="F66" s="22" t="s">
        <v>245</v>
      </c>
      <c r="G66" s="22" t="s">
        <v>246</v>
      </c>
      <c r="H66" s="22" t="s">
        <v>161</v>
      </c>
      <c r="I66" s="22" t="s">
        <v>162</v>
      </c>
    </row>
    <row r="67" customFormat="false" ht="30" hidden="false" customHeight="true" outlineLevel="0" collapsed="false">
      <c r="A67" s="22" t="s">
        <v>158</v>
      </c>
      <c r="B67" s="22" t="n">
        <v>2023</v>
      </c>
      <c r="C67" s="22" t="s">
        <v>165</v>
      </c>
      <c r="D67" s="23" t="n">
        <v>71255000</v>
      </c>
      <c r="E67" s="22" t="s">
        <v>166</v>
      </c>
      <c r="F67" s="22" t="s">
        <v>245</v>
      </c>
      <c r="G67" s="22" t="s">
        <v>246</v>
      </c>
      <c r="H67" s="22" t="s">
        <v>161</v>
      </c>
      <c r="I67" s="22" t="s">
        <v>162</v>
      </c>
    </row>
    <row r="68" customFormat="false" ht="30" hidden="false" customHeight="true" outlineLevel="0" collapsed="false">
      <c r="A68" s="22" t="s">
        <v>158</v>
      </c>
      <c r="B68" s="22" t="n">
        <v>2023</v>
      </c>
      <c r="C68" s="22" t="s">
        <v>167</v>
      </c>
      <c r="D68" s="23" t="n">
        <v>19236000</v>
      </c>
      <c r="E68" s="22" t="s">
        <v>168</v>
      </c>
      <c r="F68" s="22" t="s">
        <v>245</v>
      </c>
      <c r="G68" s="22" t="s">
        <v>246</v>
      </c>
      <c r="H68" s="22" t="s">
        <v>161</v>
      </c>
      <c r="I68" s="22" t="s">
        <v>162</v>
      </c>
    </row>
    <row r="69" customFormat="false" ht="30" hidden="false" customHeight="true" outlineLevel="0" collapsed="false">
      <c r="A69" s="22" t="s">
        <v>158</v>
      </c>
      <c r="B69" s="22" t="n">
        <v>2023</v>
      </c>
      <c r="C69" s="22" t="s">
        <v>169</v>
      </c>
      <c r="D69" s="23" t="n">
        <v>7468000</v>
      </c>
      <c r="E69" s="22" t="s">
        <v>170</v>
      </c>
      <c r="F69" s="22" t="s">
        <v>245</v>
      </c>
      <c r="G69" s="22" t="s">
        <v>246</v>
      </c>
      <c r="H69" s="22" t="s">
        <v>161</v>
      </c>
      <c r="I69" s="22" t="s">
        <v>162</v>
      </c>
    </row>
    <row r="70" customFormat="false" ht="30" hidden="false" customHeight="true" outlineLevel="0" collapsed="false">
      <c r="A70" s="22" t="s">
        <v>158</v>
      </c>
      <c r="B70" s="22" t="n">
        <v>2023</v>
      </c>
      <c r="C70" s="22" t="s">
        <v>171</v>
      </c>
      <c r="D70" s="23" t="n">
        <v>3722000</v>
      </c>
      <c r="E70" s="22" t="s">
        <v>172</v>
      </c>
      <c r="F70" s="22" t="s">
        <v>245</v>
      </c>
      <c r="G70" s="22" t="s">
        <v>246</v>
      </c>
      <c r="H70" s="22" t="s">
        <v>161</v>
      </c>
      <c r="I70" s="22" t="s">
        <v>162</v>
      </c>
    </row>
    <row r="71" customFormat="false" ht="30" hidden="false" customHeight="true" outlineLevel="0" collapsed="false">
      <c r="A71" s="22" t="s">
        <v>158</v>
      </c>
      <c r="B71" s="22" t="n">
        <v>2023</v>
      </c>
      <c r="C71" s="22" t="s">
        <v>173</v>
      </c>
      <c r="D71" s="23" t="n">
        <v>1744000</v>
      </c>
      <c r="E71" s="22" t="s">
        <v>174</v>
      </c>
      <c r="F71" s="22" t="s">
        <v>245</v>
      </c>
      <c r="G71" s="22" t="s">
        <v>246</v>
      </c>
      <c r="H71" s="22" t="s">
        <v>161</v>
      </c>
      <c r="I71" s="22" t="s">
        <v>162</v>
      </c>
    </row>
    <row r="72" customFormat="false" ht="30" hidden="false" customHeight="true" outlineLevel="0" collapsed="false">
      <c r="A72" s="22" t="s">
        <v>158</v>
      </c>
      <c r="B72" s="22" t="n">
        <v>2023</v>
      </c>
      <c r="C72" s="22" t="s">
        <v>175</v>
      </c>
      <c r="D72" s="25" t="n">
        <v>0.0098</v>
      </c>
      <c r="E72" s="22" t="s">
        <v>176</v>
      </c>
      <c r="F72" s="22" t="s">
        <v>245</v>
      </c>
      <c r="G72" s="22" t="s">
        <v>246</v>
      </c>
      <c r="H72" s="22" t="s">
        <v>278</v>
      </c>
      <c r="I72" s="22" t="s">
        <v>162</v>
      </c>
    </row>
    <row r="73" customFormat="false" ht="30" hidden="false" customHeight="true" outlineLevel="0" collapsed="false">
      <c r="A73" s="22" t="s">
        <v>158</v>
      </c>
      <c r="B73" s="22" t="n">
        <v>2023</v>
      </c>
      <c r="C73" s="22" t="s">
        <v>177</v>
      </c>
      <c r="D73" s="25" t="n">
        <v>0.0081</v>
      </c>
      <c r="E73" s="22" t="s">
        <v>178</v>
      </c>
      <c r="F73" s="22" t="s">
        <v>245</v>
      </c>
      <c r="G73" s="22" t="s">
        <v>246</v>
      </c>
      <c r="H73" s="22" t="s">
        <v>278</v>
      </c>
      <c r="I73" s="22" t="s">
        <v>162</v>
      </c>
    </row>
    <row r="74" customFormat="false" ht="30" hidden="false" customHeight="true" outlineLevel="0" collapsed="false">
      <c r="A74" s="22" t="s">
        <v>158</v>
      </c>
      <c r="B74" s="22" t="n">
        <v>2023</v>
      </c>
      <c r="C74" s="22" t="s">
        <v>179</v>
      </c>
      <c r="D74" s="23" t="n">
        <v>83982000000</v>
      </c>
      <c r="E74" s="22" t="s">
        <v>180</v>
      </c>
      <c r="F74" s="22" t="s">
        <v>245</v>
      </c>
      <c r="G74" s="22" t="s">
        <v>246</v>
      </c>
      <c r="H74" s="22" t="s">
        <v>146</v>
      </c>
      <c r="I74" s="22" t="s">
        <v>181</v>
      </c>
    </row>
    <row r="75" customFormat="false" ht="30" hidden="false" customHeight="true" outlineLevel="0" collapsed="false">
      <c r="A75" s="22" t="s">
        <v>158</v>
      </c>
      <c r="B75" s="22" t="n">
        <v>2023</v>
      </c>
      <c r="C75" s="22" t="s">
        <v>182</v>
      </c>
      <c r="D75" s="23" t="n">
        <v>63175000000</v>
      </c>
      <c r="E75" s="22" t="s">
        <v>183</v>
      </c>
      <c r="F75" s="22" t="s">
        <v>245</v>
      </c>
      <c r="G75" s="22" t="s">
        <v>246</v>
      </c>
      <c r="H75" s="22" t="s">
        <v>146</v>
      </c>
      <c r="I75" s="22" t="s">
        <v>184</v>
      </c>
    </row>
    <row r="76" customFormat="false" ht="30" hidden="false" customHeight="true" outlineLevel="0" collapsed="false">
      <c r="A76" s="22" t="s">
        <v>158</v>
      </c>
      <c r="B76" s="22" t="n">
        <v>2023</v>
      </c>
      <c r="C76" s="22" t="s">
        <v>185</v>
      </c>
      <c r="D76" s="23" t="n">
        <v>20807000000</v>
      </c>
      <c r="E76" s="22" t="s">
        <v>186</v>
      </c>
      <c r="F76" s="22" t="s">
        <v>245</v>
      </c>
      <c r="G76" s="22" t="s">
        <v>246</v>
      </c>
      <c r="H76" s="22" t="s">
        <v>146</v>
      </c>
      <c r="I76" s="22" t="s">
        <v>184</v>
      </c>
    </row>
    <row r="77" customFormat="false" ht="30" hidden="false" customHeight="true" outlineLevel="0" collapsed="false">
      <c r="A77" s="22" t="s">
        <v>158</v>
      </c>
      <c r="B77" s="22" t="n">
        <v>2023</v>
      </c>
      <c r="C77" s="22" t="s">
        <v>187</v>
      </c>
      <c r="D77" s="23" t="n">
        <v>25861000000</v>
      </c>
      <c r="E77" s="22" t="s">
        <v>188</v>
      </c>
      <c r="F77" s="22" t="s">
        <v>245</v>
      </c>
      <c r="G77" s="22" t="s">
        <v>246</v>
      </c>
      <c r="H77" s="22" t="s">
        <v>146</v>
      </c>
      <c r="I77" s="22" t="s">
        <v>189</v>
      </c>
    </row>
    <row r="78" customFormat="false" ht="30" hidden="false" customHeight="true" outlineLevel="0" collapsed="false">
      <c r="A78" s="22" t="s">
        <v>158</v>
      </c>
      <c r="B78" s="22" t="n">
        <v>2023</v>
      </c>
      <c r="C78" s="22" t="s">
        <v>190</v>
      </c>
      <c r="D78" s="23" t="n">
        <v>8517000000</v>
      </c>
      <c r="E78" s="22" t="s">
        <v>191</v>
      </c>
      <c r="F78" s="22" t="s">
        <v>245</v>
      </c>
      <c r="G78" s="22" t="s">
        <v>246</v>
      </c>
      <c r="H78" s="22" t="s">
        <v>146</v>
      </c>
      <c r="I78" s="22" t="s">
        <v>184</v>
      </c>
    </row>
    <row r="79" customFormat="false" ht="30" hidden="false" customHeight="true" outlineLevel="0" collapsed="false">
      <c r="A79" s="22" t="s">
        <v>158</v>
      </c>
      <c r="B79" s="22" t="n">
        <v>2023</v>
      </c>
      <c r="C79" s="22" t="s">
        <v>192</v>
      </c>
      <c r="D79" s="23" t="n">
        <v>20883000000</v>
      </c>
      <c r="E79" s="22" t="s">
        <v>193</v>
      </c>
      <c r="F79" s="22" t="s">
        <v>245</v>
      </c>
      <c r="G79" s="22" t="s">
        <v>246</v>
      </c>
      <c r="H79" s="22" t="s">
        <v>146</v>
      </c>
      <c r="I79" s="22" t="s">
        <v>181</v>
      </c>
    </row>
    <row r="80" customFormat="false" ht="30" hidden="false" customHeight="true" outlineLevel="0" collapsed="false">
      <c r="A80" s="22" t="s">
        <v>158</v>
      </c>
      <c r="B80" s="22" t="n">
        <v>2023</v>
      </c>
      <c r="C80" s="22" t="s">
        <v>194</v>
      </c>
      <c r="D80" s="23" t="n">
        <v>1289000000</v>
      </c>
      <c r="E80" s="22" t="s">
        <v>195</v>
      </c>
      <c r="F80" s="22" t="s">
        <v>245</v>
      </c>
      <c r="G80" s="22" t="s">
        <v>246</v>
      </c>
      <c r="H80" s="22" t="s">
        <v>146</v>
      </c>
      <c r="I80" s="22" t="s">
        <v>189</v>
      </c>
    </row>
    <row r="81" customFormat="false" ht="30" hidden="false" customHeight="true" outlineLevel="0" collapsed="false">
      <c r="A81" s="22" t="s">
        <v>158</v>
      </c>
      <c r="B81" s="22" t="n">
        <v>2023</v>
      </c>
      <c r="C81" s="22" t="s">
        <v>196</v>
      </c>
      <c r="D81" s="23" t="n">
        <v>5377000000</v>
      </c>
      <c r="E81" s="22" t="s">
        <v>197</v>
      </c>
      <c r="F81" s="22" t="s">
        <v>245</v>
      </c>
      <c r="G81" s="22" t="s">
        <v>246</v>
      </c>
      <c r="H81" s="22" t="s">
        <v>146</v>
      </c>
      <c r="I81" s="22" t="s">
        <v>198</v>
      </c>
    </row>
    <row r="82" customFormat="false" ht="30" hidden="false" customHeight="true" outlineLevel="0" collapsed="false">
      <c r="A82" s="22" t="s">
        <v>158</v>
      </c>
      <c r="B82" s="22" t="n">
        <v>2023</v>
      </c>
      <c r="C82" s="22" t="s">
        <v>199</v>
      </c>
      <c r="D82" s="23" t="n">
        <v>13173000000</v>
      </c>
      <c r="E82" s="22" t="s">
        <v>200</v>
      </c>
      <c r="F82" s="22" t="s">
        <v>245</v>
      </c>
      <c r="G82" s="22" t="s">
        <v>246</v>
      </c>
      <c r="H82" s="22" t="s">
        <v>146</v>
      </c>
      <c r="I82" s="22" t="s">
        <v>181</v>
      </c>
    </row>
    <row r="83" customFormat="false" ht="30" hidden="false" customHeight="true" outlineLevel="0" collapsed="false">
      <c r="A83" s="22" t="s">
        <v>158</v>
      </c>
      <c r="B83" s="22" t="n">
        <v>2023</v>
      </c>
      <c r="C83" s="22" t="s">
        <v>201</v>
      </c>
      <c r="D83" s="23" t="n">
        <v>10455000000</v>
      </c>
      <c r="E83" s="22" t="s">
        <v>202</v>
      </c>
      <c r="F83" s="22" t="s">
        <v>245</v>
      </c>
      <c r="G83" s="22" t="s">
        <v>246</v>
      </c>
      <c r="H83" s="22" t="s">
        <v>146</v>
      </c>
      <c r="I83" s="22" t="s">
        <v>203</v>
      </c>
    </row>
    <row r="84" customFormat="false" ht="30" hidden="false" customHeight="true" outlineLevel="0" collapsed="false">
      <c r="A84" s="22" t="s">
        <v>158</v>
      </c>
      <c r="B84" s="22" t="n">
        <v>2023</v>
      </c>
      <c r="C84" s="22" t="s">
        <v>204</v>
      </c>
      <c r="D84" s="23" t="n">
        <v>651000000</v>
      </c>
      <c r="E84" s="22" t="s">
        <v>205</v>
      </c>
      <c r="F84" s="22" t="s">
        <v>245</v>
      </c>
      <c r="G84" s="22" t="s">
        <v>246</v>
      </c>
      <c r="H84" s="22" t="s">
        <v>146</v>
      </c>
      <c r="I84" s="22" t="s">
        <v>203</v>
      </c>
    </row>
    <row r="85" customFormat="false" ht="30" hidden="false" customHeight="true" outlineLevel="0" collapsed="false">
      <c r="A85" s="22" t="s">
        <v>158</v>
      </c>
      <c r="B85" s="22" t="n">
        <v>2023</v>
      </c>
      <c r="C85" s="22" t="s">
        <v>206</v>
      </c>
      <c r="D85" s="23" t="n">
        <v>3469000000</v>
      </c>
      <c r="E85" s="22" t="s">
        <v>207</v>
      </c>
      <c r="F85" s="22" t="s">
        <v>245</v>
      </c>
      <c r="G85" s="22" t="s">
        <v>246</v>
      </c>
      <c r="H85" s="22" t="s">
        <v>146</v>
      </c>
      <c r="I85" s="22" t="s">
        <v>203</v>
      </c>
    </row>
    <row r="86" customFormat="false" ht="30" hidden="false" customHeight="true" outlineLevel="0" collapsed="false">
      <c r="A86" s="22" t="s">
        <v>158</v>
      </c>
      <c r="B86" s="22" t="n">
        <v>2023</v>
      </c>
      <c r="C86" s="22" t="s">
        <v>208</v>
      </c>
      <c r="D86" s="23" t="n">
        <v>13729000</v>
      </c>
      <c r="E86" s="22" t="s">
        <v>209</v>
      </c>
      <c r="F86" s="22" t="s">
        <v>245</v>
      </c>
      <c r="G86" s="22" t="s">
        <v>246</v>
      </c>
      <c r="H86" s="22" t="s">
        <v>161</v>
      </c>
      <c r="I86" s="22" t="s">
        <v>216</v>
      </c>
    </row>
    <row r="87" customFormat="false" ht="30" hidden="false" customHeight="true" outlineLevel="0" collapsed="false">
      <c r="A87" s="22" t="s">
        <v>158</v>
      </c>
      <c r="B87" s="22" t="n">
        <v>2023</v>
      </c>
      <c r="C87" s="22" t="s">
        <v>210</v>
      </c>
      <c r="D87" s="23" t="n">
        <v>8307000</v>
      </c>
      <c r="E87" s="22" t="s">
        <v>211</v>
      </c>
      <c r="F87" s="22" t="s">
        <v>245</v>
      </c>
      <c r="G87" s="22" t="s">
        <v>246</v>
      </c>
      <c r="H87" s="22" t="s">
        <v>161</v>
      </c>
      <c r="I87" s="22" t="s">
        <v>216</v>
      </c>
    </row>
    <row r="88" customFormat="false" ht="30" hidden="false" customHeight="true" outlineLevel="0" collapsed="false">
      <c r="A88" s="22" t="s">
        <v>158</v>
      </c>
      <c r="B88" s="22" t="n">
        <v>2023</v>
      </c>
      <c r="C88" s="22" t="s">
        <v>212</v>
      </c>
      <c r="D88" s="23" t="n">
        <v>-24000</v>
      </c>
      <c r="E88" s="22" t="s">
        <v>213</v>
      </c>
      <c r="F88" s="22" t="s">
        <v>245</v>
      </c>
      <c r="G88" s="22" t="s">
        <v>246</v>
      </c>
      <c r="H88" s="22" t="s">
        <v>161</v>
      </c>
      <c r="I88" s="22" t="s">
        <v>216</v>
      </c>
    </row>
    <row r="89" customFormat="false" ht="30" hidden="false" customHeight="true" outlineLevel="0" collapsed="false">
      <c r="A89" s="22" t="s">
        <v>158</v>
      </c>
      <c r="B89" s="22" t="n">
        <v>2023</v>
      </c>
      <c r="C89" s="22" t="s">
        <v>214</v>
      </c>
      <c r="D89" s="23" t="n">
        <v>1092000</v>
      </c>
      <c r="E89" s="22" t="s">
        <v>215</v>
      </c>
      <c r="F89" s="22" t="s">
        <v>245</v>
      </c>
      <c r="G89" s="22" t="s">
        <v>246</v>
      </c>
      <c r="H89" s="22" t="s">
        <v>161</v>
      </c>
      <c r="I89" s="22" t="s">
        <v>216</v>
      </c>
    </row>
    <row r="90" customFormat="false" ht="30" hidden="false" customHeight="true" outlineLevel="0" collapsed="false">
      <c r="A90" s="22" t="s">
        <v>158</v>
      </c>
      <c r="B90" s="22" t="n">
        <v>2023</v>
      </c>
      <c r="C90" s="22" t="s">
        <v>217</v>
      </c>
      <c r="D90" s="23" t="n">
        <v>3932000000</v>
      </c>
      <c r="E90" s="22" t="s">
        <v>218</v>
      </c>
      <c r="F90" s="22" t="s">
        <v>245</v>
      </c>
      <c r="G90" s="22" t="s">
        <v>246</v>
      </c>
      <c r="H90" s="22" t="s">
        <v>146</v>
      </c>
      <c r="I90" s="22" t="s">
        <v>219</v>
      </c>
    </row>
    <row r="91" customFormat="false" ht="30" hidden="false" customHeight="true" outlineLevel="0" collapsed="false">
      <c r="A91" s="22" t="s">
        <v>158</v>
      </c>
      <c r="B91" s="22" t="n">
        <v>2023</v>
      </c>
      <c r="C91" s="22" t="s">
        <v>220</v>
      </c>
      <c r="D91" s="23" t="n">
        <v>-141000000</v>
      </c>
      <c r="E91" s="22" t="s">
        <v>221</v>
      </c>
      <c r="F91" s="22" t="s">
        <v>245</v>
      </c>
      <c r="G91" s="22" t="s">
        <v>246</v>
      </c>
      <c r="H91" s="22" t="s">
        <v>146</v>
      </c>
      <c r="I91" s="22" t="s">
        <v>219</v>
      </c>
    </row>
    <row r="92" customFormat="false" ht="30" hidden="false" customHeight="true" outlineLevel="0" collapsed="false">
      <c r="A92" s="22" t="s">
        <v>158</v>
      </c>
      <c r="B92" s="22" t="n">
        <v>2023</v>
      </c>
      <c r="C92" s="22" t="s">
        <v>222</v>
      </c>
      <c r="D92" s="23" t="n">
        <v>118038000000</v>
      </c>
      <c r="E92" s="22" t="s">
        <v>223</v>
      </c>
      <c r="F92" s="22" t="s">
        <v>245</v>
      </c>
      <c r="G92" s="22" t="s">
        <v>246</v>
      </c>
      <c r="H92" s="22" t="s">
        <v>146</v>
      </c>
      <c r="I92" s="22" t="s">
        <v>181</v>
      </c>
    </row>
    <row r="93" customFormat="false" ht="30" hidden="false" customHeight="true" outlineLevel="0" collapsed="false">
      <c r="A93" s="22" t="s">
        <v>158</v>
      </c>
      <c r="B93" s="22" t="n">
        <v>2023</v>
      </c>
      <c r="C93" s="22" t="s">
        <v>224</v>
      </c>
      <c r="D93" s="23" t="n">
        <v>27801000000</v>
      </c>
      <c r="E93" s="22" t="s">
        <v>225</v>
      </c>
      <c r="F93" s="22" t="s">
        <v>245</v>
      </c>
      <c r="G93" s="22" t="s">
        <v>246</v>
      </c>
      <c r="H93" s="22" t="s">
        <v>146</v>
      </c>
      <c r="I93" s="22" t="s">
        <v>189</v>
      </c>
    </row>
    <row r="94" customFormat="false" ht="30" hidden="false" customHeight="true" outlineLevel="0" collapsed="false">
      <c r="A94" s="22" t="s">
        <v>158</v>
      </c>
      <c r="B94" s="22" t="n">
        <v>2023</v>
      </c>
      <c r="C94" s="22" t="s">
        <v>226</v>
      </c>
      <c r="D94" s="23" t="n">
        <v>122428000000</v>
      </c>
      <c r="E94" s="22" t="s">
        <v>227</v>
      </c>
      <c r="F94" s="22" t="s">
        <v>245</v>
      </c>
      <c r="G94" s="22" t="s">
        <v>246</v>
      </c>
      <c r="H94" s="22" t="s">
        <v>228</v>
      </c>
      <c r="I94" s="22" t="s">
        <v>229</v>
      </c>
    </row>
    <row r="95" customFormat="false" ht="30" hidden="false" customHeight="true" outlineLevel="0" collapsed="false">
      <c r="A95" s="22" t="s">
        <v>158</v>
      </c>
      <c r="B95" s="22" t="n">
        <v>2023</v>
      </c>
      <c r="C95" s="22" t="s">
        <v>230</v>
      </c>
      <c r="D95" s="23" t="n">
        <v>23461000000</v>
      </c>
      <c r="E95" s="22" t="s">
        <v>231</v>
      </c>
      <c r="F95" s="22" t="s">
        <v>245</v>
      </c>
      <c r="G95" s="22" t="s">
        <v>246</v>
      </c>
      <c r="H95" s="22" t="s">
        <v>228</v>
      </c>
      <c r="I95" s="22" t="s">
        <v>229</v>
      </c>
    </row>
    <row r="96" customFormat="false" ht="30" hidden="false" customHeight="true" outlineLevel="0" collapsed="false">
      <c r="A96" s="22" t="s">
        <v>141</v>
      </c>
      <c r="B96" s="22" t="n">
        <v>2023</v>
      </c>
      <c r="C96" s="22" t="s">
        <v>232</v>
      </c>
      <c r="D96" s="23" t="n">
        <v>0.212867795243853</v>
      </c>
      <c r="E96" s="22" t="s">
        <v>233</v>
      </c>
      <c r="F96" s="22" t="s">
        <v>245</v>
      </c>
      <c r="G96" s="22" t="s">
        <v>246</v>
      </c>
      <c r="H96" s="22" t="s">
        <v>228</v>
      </c>
      <c r="I96" s="22" t="s">
        <v>229</v>
      </c>
    </row>
    <row r="97" customFormat="false" ht="30" hidden="false" customHeight="true" outlineLevel="0" collapsed="false">
      <c r="A97" s="22" t="s">
        <v>141</v>
      </c>
      <c r="B97" s="22" t="n">
        <v>2023</v>
      </c>
      <c r="C97" s="22" t="s">
        <v>232</v>
      </c>
      <c r="D97" s="23" t="n">
        <v>0.212867795243853</v>
      </c>
      <c r="E97" s="22" t="s">
        <v>234</v>
      </c>
      <c r="F97" s="22" t="s">
        <v>245</v>
      </c>
      <c r="G97" s="22" t="s">
        <v>246</v>
      </c>
      <c r="H97" s="22" t="s">
        <v>228</v>
      </c>
      <c r="I97" s="22" t="s">
        <v>229</v>
      </c>
    </row>
    <row r="98" customFormat="false" ht="30" hidden="false" customHeight="true" outlineLevel="0" collapsed="false">
      <c r="A98" s="22" t="s">
        <v>158</v>
      </c>
      <c r="B98" s="22" t="n">
        <v>2023</v>
      </c>
      <c r="C98" s="22" t="s">
        <v>235</v>
      </c>
      <c r="D98" s="23" t="n">
        <v>18777000000</v>
      </c>
      <c r="E98" s="22" t="s">
        <v>236</v>
      </c>
      <c r="F98" s="22" t="s">
        <v>256</v>
      </c>
      <c r="G98" s="22" t="s">
        <v>257</v>
      </c>
      <c r="H98" s="22" t="s">
        <v>228</v>
      </c>
      <c r="I98" s="22" t="s">
        <v>239</v>
      </c>
    </row>
    <row r="99" customFormat="false" ht="30" hidden="false" customHeight="true" outlineLevel="0" collapsed="false">
      <c r="A99" s="22" t="s">
        <v>141</v>
      </c>
      <c r="B99" s="22" t="n">
        <v>2023</v>
      </c>
      <c r="C99" s="22" t="s">
        <v>240</v>
      </c>
      <c r="D99" s="23" t="n">
        <v>17853000000</v>
      </c>
      <c r="E99" s="22" t="s">
        <v>143</v>
      </c>
      <c r="F99" s="22" t="s">
        <v>245</v>
      </c>
      <c r="G99" s="22" t="s">
        <v>246</v>
      </c>
      <c r="H99" s="22" t="s">
        <v>146</v>
      </c>
      <c r="I99" s="22" t="s">
        <v>147</v>
      </c>
    </row>
    <row r="100" customFormat="false" ht="30" hidden="false" customHeight="true" outlineLevel="0" collapsed="false">
      <c r="A100" s="22" t="s">
        <v>141</v>
      </c>
      <c r="B100" s="22" t="n">
        <v>2023</v>
      </c>
      <c r="C100" s="22" t="s">
        <v>241</v>
      </c>
      <c r="D100" s="24" t="n">
        <v>-17853</v>
      </c>
      <c r="E100" s="22" t="s">
        <v>149</v>
      </c>
      <c r="F100" s="22" t="s">
        <v>245</v>
      </c>
      <c r="G100" s="22" t="s">
        <v>246</v>
      </c>
      <c r="H100" s="22" t="s">
        <v>146</v>
      </c>
      <c r="I100" s="22" t="s">
        <v>147</v>
      </c>
    </row>
    <row r="101" customFormat="false" ht="30" hidden="false" customHeight="true" outlineLevel="0" collapsed="false">
      <c r="A101" s="22" t="s">
        <v>141</v>
      </c>
      <c r="B101" s="22" t="n">
        <v>2023</v>
      </c>
      <c r="C101" s="22" t="s">
        <v>242</v>
      </c>
      <c r="D101" s="23" t="n">
        <v>1884000000</v>
      </c>
      <c r="E101" s="22" t="s">
        <v>152</v>
      </c>
      <c r="F101" s="22" t="s">
        <v>245</v>
      </c>
      <c r="G101" s="22" t="s">
        <v>246</v>
      </c>
      <c r="H101" s="22" t="s">
        <v>146</v>
      </c>
      <c r="I101" s="22" t="s">
        <v>263</v>
      </c>
    </row>
    <row r="102" customFormat="false" ht="30" hidden="false" customHeight="true" outlineLevel="0" collapsed="false">
      <c r="A102" s="22" t="s">
        <v>141</v>
      </c>
      <c r="B102" s="22" t="n">
        <v>2023</v>
      </c>
      <c r="C102" s="22" t="s">
        <v>279</v>
      </c>
      <c r="D102" s="24" t="n">
        <v>82</v>
      </c>
      <c r="E102" s="22" t="s">
        <v>265</v>
      </c>
      <c r="F102" s="22" t="s">
        <v>245</v>
      </c>
      <c r="G102" s="22" t="s">
        <v>246</v>
      </c>
      <c r="H102" s="22" t="s">
        <v>146</v>
      </c>
      <c r="I102" s="22" t="s">
        <v>266</v>
      </c>
    </row>
    <row r="103" customFormat="false" ht="30" hidden="false" customHeight="true" outlineLevel="0" collapsed="false">
      <c r="A103" s="22" t="s">
        <v>141</v>
      </c>
      <c r="B103" s="22" t="n">
        <v>2023</v>
      </c>
      <c r="C103" s="22" t="s">
        <v>279</v>
      </c>
      <c r="D103" s="24" t="n">
        <v>-133</v>
      </c>
      <c r="E103" s="22" t="s">
        <v>267</v>
      </c>
      <c r="F103" s="22" t="s">
        <v>245</v>
      </c>
      <c r="G103" s="22" t="s">
        <v>246</v>
      </c>
      <c r="H103" s="22" t="s">
        <v>146</v>
      </c>
      <c r="I103" s="22" t="s">
        <v>268</v>
      </c>
    </row>
    <row r="104" customFormat="false" ht="30" hidden="false" customHeight="true" outlineLevel="0" collapsed="false">
      <c r="A104" s="22" t="s">
        <v>141</v>
      </c>
      <c r="B104" s="22" t="n">
        <v>2023</v>
      </c>
      <c r="C104" s="22" t="s">
        <v>279</v>
      </c>
      <c r="D104" s="24" t="n">
        <v>-1006</v>
      </c>
      <c r="E104" s="22" t="s">
        <v>269</v>
      </c>
      <c r="F104" s="22" t="s">
        <v>245</v>
      </c>
      <c r="G104" s="22" t="s">
        <v>246</v>
      </c>
      <c r="H104" s="22" t="s">
        <v>146</v>
      </c>
      <c r="I104" s="22" t="s">
        <v>270</v>
      </c>
    </row>
    <row r="105" customFormat="false" ht="30" hidden="false" customHeight="true" outlineLevel="0" collapsed="false">
      <c r="A105" s="22" t="s">
        <v>141</v>
      </c>
      <c r="B105" s="22" t="n">
        <v>2023</v>
      </c>
      <c r="C105" s="22" t="s">
        <v>279</v>
      </c>
      <c r="D105" s="24" t="n">
        <v>747</v>
      </c>
      <c r="E105" s="22" t="s">
        <v>271</v>
      </c>
      <c r="F105" s="22" t="s">
        <v>245</v>
      </c>
      <c r="G105" s="22" t="s">
        <v>246</v>
      </c>
      <c r="H105" s="22" t="s">
        <v>146</v>
      </c>
      <c r="I105" s="22" t="s">
        <v>272</v>
      </c>
    </row>
    <row r="106" customFormat="false" ht="30" hidden="false" customHeight="true" outlineLevel="0" collapsed="false">
      <c r="A106" s="22" t="s">
        <v>141</v>
      </c>
      <c r="B106" s="22" t="n">
        <v>2023</v>
      </c>
      <c r="C106" s="22" t="s">
        <v>279</v>
      </c>
      <c r="D106" s="24" t="n">
        <v>-1574</v>
      </c>
      <c r="E106" s="22" t="s">
        <v>273</v>
      </c>
      <c r="F106" s="22" t="s">
        <v>245</v>
      </c>
      <c r="G106" s="22" t="s">
        <v>246</v>
      </c>
      <c r="H106" s="22" t="s">
        <v>146</v>
      </c>
      <c r="I106" s="22" t="s">
        <v>274</v>
      </c>
    </row>
    <row r="107" customFormat="false" ht="30" hidden="false" customHeight="true" outlineLevel="0" collapsed="false">
      <c r="A107" s="22" t="s">
        <v>158</v>
      </c>
      <c r="B107" s="22" t="n">
        <v>2023</v>
      </c>
      <c r="C107" s="22" t="s">
        <v>243</v>
      </c>
      <c r="D107" s="23" t="n">
        <v>6722000000</v>
      </c>
      <c r="E107" s="22" t="s">
        <v>244</v>
      </c>
      <c r="F107" s="22" t="s">
        <v>245</v>
      </c>
      <c r="G107" s="22" t="s">
        <v>246</v>
      </c>
      <c r="H107" s="22" t="s">
        <v>228</v>
      </c>
      <c r="I107" s="22" t="s">
        <v>247</v>
      </c>
    </row>
    <row r="108" customFormat="false" ht="30" hidden="false" customHeight="true" outlineLevel="0" collapsed="false">
      <c r="A108" s="22" t="s">
        <v>248</v>
      </c>
      <c r="B108" s="22" t="n">
        <v>2023</v>
      </c>
      <c r="C108" s="22" t="s">
        <v>249</v>
      </c>
      <c r="D108" s="23"/>
      <c r="E108" s="22" t="s">
        <v>250</v>
      </c>
      <c r="F108" s="22" t="s">
        <v>256</v>
      </c>
      <c r="G108" s="22" t="s">
        <v>257</v>
      </c>
      <c r="H108" s="22" t="s">
        <v>228</v>
      </c>
      <c r="I108" s="22" t="s">
        <v>251</v>
      </c>
    </row>
    <row r="109" customFormat="false" ht="30" hidden="false" customHeight="true" outlineLevel="0" collapsed="false">
      <c r="A109" s="22" t="s">
        <v>248</v>
      </c>
      <c r="B109" s="22" t="n">
        <v>2023</v>
      </c>
      <c r="C109" s="22" t="s">
        <v>249</v>
      </c>
      <c r="D109" s="23"/>
      <c r="E109" s="22" t="s">
        <v>252</v>
      </c>
      <c r="F109" s="22" t="s">
        <v>256</v>
      </c>
      <c r="G109" s="22" t="s">
        <v>257</v>
      </c>
      <c r="H109" s="22" t="s">
        <v>228</v>
      </c>
      <c r="I109" s="22" t="s">
        <v>251</v>
      </c>
    </row>
    <row r="110" customFormat="false" ht="30" hidden="false" customHeight="true" outlineLevel="0" collapsed="false">
      <c r="A110" s="22" t="s">
        <v>158</v>
      </c>
      <c r="B110" s="22" t="n">
        <v>2023</v>
      </c>
      <c r="C110" s="22" t="s">
        <v>253</v>
      </c>
      <c r="D110" s="23" t="n">
        <v>135240000000</v>
      </c>
      <c r="E110" s="22" t="s">
        <v>155</v>
      </c>
      <c r="F110" s="22" t="s">
        <v>144</v>
      </c>
      <c r="G110" s="22" t="s">
        <v>145</v>
      </c>
      <c r="H110" s="22" t="s">
        <v>146</v>
      </c>
      <c r="I110" s="22" t="s">
        <v>275</v>
      </c>
    </row>
    <row r="111" customFormat="false" ht="30" hidden="false" customHeight="true" outlineLevel="0" collapsed="false">
      <c r="A111" s="22" t="s">
        <v>158</v>
      </c>
      <c r="B111" s="22" t="n">
        <v>2023</v>
      </c>
      <c r="C111" s="22" t="s">
        <v>254</v>
      </c>
      <c r="D111" s="23" t="n">
        <v>14145000000</v>
      </c>
      <c r="E111" s="22" t="s">
        <v>255</v>
      </c>
      <c r="F111" s="22" t="s">
        <v>144</v>
      </c>
      <c r="G111" s="22" t="s">
        <v>145</v>
      </c>
      <c r="H111" s="22" t="s">
        <v>228</v>
      </c>
      <c r="I111" s="22" t="s">
        <v>247</v>
      </c>
    </row>
    <row r="112" customFormat="false" ht="30" hidden="false" customHeight="true" outlineLevel="0" collapsed="false">
      <c r="A112" s="22" t="s">
        <v>248</v>
      </c>
      <c r="B112" s="22" t="n">
        <v>2023</v>
      </c>
      <c r="C112" s="22" t="s">
        <v>258</v>
      </c>
      <c r="D112" s="23"/>
      <c r="E112" s="22" t="s">
        <v>259</v>
      </c>
      <c r="F112" s="22" t="s">
        <v>256</v>
      </c>
      <c r="G112" s="22" t="s">
        <v>257</v>
      </c>
      <c r="H112" s="22" t="s">
        <v>228</v>
      </c>
      <c r="I112" s="22" t="s">
        <v>251</v>
      </c>
    </row>
    <row r="113" customFormat="false" ht="30" hidden="false" customHeight="true" outlineLevel="0" collapsed="false">
      <c r="A113" s="22" t="s">
        <v>158</v>
      </c>
      <c r="B113" s="22" t="n">
        <v>2023</v>
      </c>
      <c r="C113" s="22" t="s">
        <v>260</v>
      </c>
      <c r="D113" s="22" t="n">
        <v>7258000000</v>
      </c>
      <c r="E113" s="22" t="s">
        <v>261</v>
      </c>
      <c r="F113" s="22" t="s">
        <v>245</v>
      </c>
      <c r="G113" s="22" t="s">
        <v>246</v>
      </c>
      <c r="H113" s="22" t="s">
        <v>262</v>
      </c>
      <c r="I113" s="22" t="s">
        <v>251</v>
      </c>
    </row>
    <row r="114" customFormat="false" ht="30" hidden="false" customHeight="true" outlineLevel="0" collapsed="false">
      <c r="A114" s="22" t="s">
        <v>141</v>
      </c>
      <c r="B114" s="22" t="n">
        <v>2024</v>
      </c>
      <c r="C114" s="22" t="s">
        <v>142</v>
      </c>
      <c r="D114" s="23" t="n">
        <v>20263000000</v>
      </c>
      <c r="E114" s="22" t="s">
        <v>143</v>
      </c>
      <c r="F114" s="22" t="s">
        <v>245</v>
      </c>
      <c r="G114" s="22" t="s">
        <v>246</v>
      </c>
      <c r="H114" s="22" t="s">
        <v>146</v>
      </c>
      <c r="I114" s="22" t="s">
        <v>147</v>
      </c>
    </row>
    <row r="115" customFormat="false" ht="30" hidden="false" customHeight="true" outlineLevel="0" collapsed="false">
      <c r="A115" s="22" t="s">
        <v>141</v>
      </c>
      <c r="B115" s="22" t="n">
        <v>2024</v>
      </c>
      <c r="C115" s="22" t="s">
        <v>148</v>
      </c>
      <c r="D115" s="24" t="n">
        <v>-20263</v>
      </c>
      <c r="E115" s="22" t="s">
        <v>149</v>
      </c>
      <c r="F115" s="22" t="s">
        <v>245</v>
      </c>
      <c r="G115" s="22" t="s">
        <v>246</v>
      </c>
      <c r="H115" s="22" t="s">
        <v>146</v>
      </c>
      <c r="I115" s="22" t="s">
        <v>147</v>
      </c>
    </row>
    <row r="116" customFormat="false" ht="30" hidden="false" customHeight="true" outlineLevel="0" collapsed="false">
      <c r="A116" s="22" t="s">
        <v>141</v>
      </c>
      <c r="B116" s="22" t="n">
        <v>2024</v>
      </c>
      <c r="C116" s="22" t="s">
        <v>151</v>
      </c>
      <c r="D116" s="23" t="n">
        <v>2597000000</v>
      </c>
      <c r="E116" s="22" t="s">
        <v>152</v>
      </c>
      <c r="F116" s="22" t="s">
        <v>245</v>
      </c>
      <c r="G116" s="22" t="s">
        <v>246</v>
      </c>
      <c r="H116" s="22" t="s">
        <v>146</v>
      </c>
      <c r="I116" s="22" t="s">
        <v>263</v>
      </c>
    </row>
    <row r="117" customFormat="false" ht="30" hidden="false" customHeight="true" outlineLevel="0" collapsed="false">
      <c r="A117" s="22" t="s">
        <v>141</v>
      </c>
      <c r="B117" s="22" t="n">
        <v>2024</v>
      </c>
      <c r="C117" s="22" t="s">
        <v>264</v>
      </c>
      <c r="D117" s="24" t="n">
        <v>123</v>
      </c>
      <c r="E117" s="22" t="s">
        <v>265</v>
      </c>
      <c r="F117" s="22" t="s">
        <v>245</v>
      </c>
      <c r="G117" s="22" t="s">
        <v>246</v>
      </c>
      <c r="H117" s="22" t="s">
        <v>146</v>
      </c>
      <c r="I117" s="22" t="s">
        <v>266</v>
      </c>
    </row>
    <row r="118" customFormat="false" ht="30" hidden="false" customHeight="true" outlineLevel="0" collapsed="false">
      <c r="A118" s="22" t="s">
        <v>141</v>
      </c>
      <c r="B118" s="22" t="n">
        <v>2024</v>
      </c>
      <c r="C118" s="22" t="s">
        <v>264</v>
      </c>
      <c r="D118" s="24" t="n">
        <v>-1846</v>
      </c>
      <c r="E118" s="22" t="s">
        <v>267</v>
      </c>
      <c r="F118" s="22" t="s">
        <v>245</v>
      </c>
      <c r="G118" s="22" t="s">
        <v>246</v>
      </c>
      <c r="H118" s="22" t="s">
        <v>146</v>
      </c>
      <c r="I118" s="22" t="s">
        <v>268</v>
      </c>
    </row>
    <row r="119" customFormat="false" ht="30" hidden="false" customHeight="true" outlineLevel="0" collapsed="false">
      <c r="A119" s="22" t="s">
        <v>141</v>
      </c>
      <c r="B119" s="22" t="n">
        <v>2024</v>
      </c>
      <c r="C119" s="22" t="s">
        <v>264</v>
      </c>
      <c r="D119" s="24" t="n">
        <v>160</v>
      </c>
      <c r="E119" s="22" t="s">
        <v>269</v>
      </c>
      <c r="F119" s="22" t="s">
        <v>245</v>
      </c>
      <c r="G119" s="22" t="s">
        <v>246</v>
      </c>
      <c r="H119" s="22" t="s">
        <v>146</v>
      </c>
      <c r="I119" s="22" t="s">
        <v>270</v>
      </c>
    </row>
    <row r="120" customFormat="false" ht="30" hidden="false" customHeight="true" outlineLevel="0" collapsed="false">
      <c r="A120" s="22" t="s">
        <v>141</v>
      </c>
      <c r="B120" s="22" t="n">
        <v>2024</v>
      </c>
      <c r="C120" s="22" t="s">
        <v>264</v>
      </c>
      <c r="D120" s="24" t="n">
        <v>70</v>
      </c>
      <c r="E120" s="22" t="s">
        <v>271</v>
      </c>
      <c r="F120" s="22" t="s">
        <v>245</v>
      </c>
      <c r="G120" s="22" t="s">
        <v>246</v>
      </c>
      <c r="H120" s="22" t="s">
        <v>146</v>
      </c>
      <c r="I120" s="22" t="s">
        <v>272</v>
      </c>
    </row>
    <row r="121" customFormat="false" ht="30" hidden="false" customHeight="true" outlineLevel="0" collapsed="false">
      <c r="A121" s="22" t="s">
        <v>141</v>
      </c>
      <c r="B121" s="22" t="n">
        <v>2024</v>
      </c>
      <c r="C121" s="22" t="s">
        <v>264</v>
      </c>
      <c r="D121" s="24" t="n">
        <v>-1104</v>
      </c>
      <c r="E121" s="22" t="s">
        <v>273</v>
      </c>
      <c r="F121" s="22" t="s">
        <v>245</v>
      </c>
      <c r="G121" s="22" t="s">
        <v>246</v>
      </c>
      <c r="H121" s="22" t="s">
        <v>146</v>
      </c>
      <c r="I121" s="22" t="s">
        <v>274</v>
      </c>
    </row>
    <row r="122" customFormat="false" ht="30" hidden="false" customHeight="true" outlineLevel="0" collapsed="false">
      <c r="A122" s="22" t="s">
        <v>158</v>
      </c>
      <c r="B122" s="22" t="n">
        <v>2024</v>
      </c>
      <c r="C122" s="22" t="s">
        <v>154</v>
      </c>
      <c r="D122" s="23" t="n">
        <v>123532000000</v>
      </c>
      <c r="E122" s="22" t="s">
        <v>155</v>
      </c>
      <c r="F122" s="22" t="s">
        <v>245</v>
      </c>
      <c r="G122" s="22" t="s">
        <v>246</v>
      </c>
      <c r="H122" s="22" t="s">
        <v>146</v>
      </c>
      <c r="I122" s="22" t="s">
        <v>275</v>
      </c>
    </row>
    <row r="123" customFormat="false" ht="30" hidden="false" customHeight="true" outlineLevel="0" collapsed="false">
      <c r="A123" s="22" t="s">
        <v>158</v>
      </c>
      <c r="B123" s="22" t="n">
        <v>2024</v>
      </c>
      <c r="C123" s="22" t="s">
        <v>156</v>
      </c>
      <c r="D123" s="25" t="n">
        <v>0.042</v>
      </c>
      <c r="E123" s="22" t="s">
        <v>157</v>
      </c>
      <c r="F123" s="22" t="s">
        <v>144</v>
      </c>
      <c r="G123" s="22" t="s">
        <v>145</v>
      </c>
      <c r="H123" s="22" t="s">
        <v>276</v>
      </c>
      <c r="I123" s="22" t="s">
        <v>277</v>
      </c>
    </row>
    <row r="124" customFormat="false" ht="30" hidden="false" customHeight="true" outlineLevel="0" collapsed="false">
      <c r="A124" s="22" t="s">
        <v>158</v>
      </c>
      <c r="B124" s="22" t="n">
        <v>2024</v>
      </c>
      <c r="C124" s="22" t="s">
        <v>159</v>
      </c>
      <c r="D124" s="23" t="n">
        <v>117851000</v>
      </c>
      <c r="E124" s="22" t="s">
        <v>160</v>
      </c>
      <c r="F124" s="22" t="s">
        <v>245</v>
      </c>
      <c r="G124" s="22" t="s">
        <v>246</v>
      </c>
      <c r="H124" s="22" t="s">
        <v>161</v>
      </c>
      <c r="I124" s="22" t="s">
        <v>162</v>
      </c>
    </row>
    <row r="125" customFormat="false" ht="30" hidden="false" customHeight="true" outlineLevel="0" collapsed="false">
      <c r="A125" s="22" t="s">
        <v>158</v>
      </c>
      <c r="B125" s="22" t="n">
        <v>2024</v>
      </c>
      <c r="C125" s="22" t="s">
        <v>163</v>
      </c>
      <c r="D125" s="23" t="n">
        <v>89200000</v>
      </c>
      <c r="E125" s="22" t="s">
        <v>164</v>
      </c>
      <c r="F125" s="22" t="s">
        <v>245</v>
      </c>
      <c r="G125" s="22" t="s">
        <v>246</v>
      </c>
      <c r="H125" s="22" t="s">
        <v>161</v>
      </c>
      <c r="I125" s="22" t="s">
        <v>162</v>
      </c>
    </row>
    <row r="126" customFormat="false" ht="30" hidden="false" customHeight="true" outlineLevel="0" collapsed="false">
      <c r="A126" s="22" t="s">
        <v>158</v>
      </c>
      <c r="B126" s="22" t="n">
        <v>2024</v>
      </c>
      <c r="C126" s="22" t="s">
        <v>165</v>
      </c>
      <c r="D126" s="23" t="n">
        <v>72749000</v>
      </c>
      <c r="E126" s="22" t="s">
        <v>166</v>
      </c>
      <c r="F126" s="22" t="s">
        <v>245</v>
      </c>
      <c r="G126" s="22" t="s">
        <v>246</v>
      </c>
      <c r="H126" s="22" t="s">
        <v>161</v>
      </c>
      <c r="I126" s="22" t="s">
        <v>162</v>
      </c>
    </row>
    <row r="127" customFormat="false" ht="30" hidden="false" customHeight="true" outlineLevel="0" collapsed="false">
      <c r="A127" s="22" t="s">
        <v>158</v>
      </c>
      <c r="B127" s="22" t="n">
        <v>2024</v>
      </c>
      <c r="C127" s="22" t="s">
        <v>167</v>
      </c>
      <c r="D127" s="23" t="n">
        <v>19023000</v>
      </c>
      <c r="E127" s="22" t="s">
        <v>168</v>
      </c>
      <c r="F127" s="22" t="s">
        <v>245</v>
      </c>
      <c r="G127" s="22" t="s">
        <v>246</v>
      </c>
      <c r="H127" s="22" t="s">
        <v>161</v>
      </c>
      <c r="I127" s="22" t="s">
        <v>162</v>
      </c>
    </row>
    <row r="128" customFormat="false" ht="30" hidden="false" customHeight="true" outlineLevel="0" collapsed="false">
      <c r="A128" s="22" t="s">
        <v>158</v>
      </c>
      <c r="B128" s="22" t="n">
        <v>2024</v>
      </c>
      <c r="C128" s="22" t="s">
        <v>169</v>
      </c>
      <c r="D128" s="23" t="n">
        <v>9628000</v>
      </c>
      <c r="E128" s="22" t="s">
        <v>170</v>
      </c>
      <c r="F128" s="22" t="s">
        <v>245</v>
      </c>
      <c r="G128" s="22" t="s">
        <v>246</v>
      </c>
      <c r="H128" s="22" t="s">
        <v>161</v>
      </c>
      <c r="I128" s="22" t="s">
        <v>162</v>
      </c>
    </row>
    <row r="129" customFormat="false" ht="30" hidden="false" customHeight="true" outlineLevel="0" collapsed="false">
      <c r="A129" s="22" t="s">
        <v>158</v>
      </c>
      <c r="B129" s="22" t="n">
        <v>2024</v>
      </c>
      <c r="C129" s="22" t="s">
        <v>171</v>
      </c>
      <c r="D129" s="23" t="n">
        <v>4168000</v>
      </c>
      <c r="E129" s="22" t="s">
        <v>172</v>
      </c>
      <c r="F129" s="22" t="s">
        <v>245</v>
      </c>
      <c r="G129" s="22" t="s">
        <v>246</v>
      </c>
      <c r="H129" s="22" t="s">
        <v>161</v>
      </c>
      <c r="I129" s="22" t="s">
        <v>162</v>
      </c>
    </row>
    <row r="130" customFormat="false" ht="30" hidden="false" customHeight="true" outlineLevel="0" collapsed="false">
      <c r="A130" s="22" t="s">
        <v>158</v>
      </c>
      <c r="B130" s="22" t="n">
        <v>2024</v>
      </c>
      <c r="C130" s="22" t="s">
        <v>173</v>
      </c>
      <c r="D130" s="23" t="n">
        <v>1653000</v>
      </c>
      <c r="E130" s="22" t="s">
        <v>174</v>
      </c>
      <c r="F130" s="22" t="s">
        <v>245</v>
      </c>
      <c r="G130" s="22" t="s">
        <v>246</v>
      </c>
      <c r="H130" s="22" t="s">
        <v>161</v>
      </c>
      <c r="I130" s="22" t="s">
        <v>162</v>
      </c>
    </row>
    <row r="131" customFormat="false" ht="30" hidden="false" customHeight="true" outlineLevel="0" collapsed="false">
      <c r="A131" s="22" t="s">
        <v>158</v>
      </c>
      <c r="B131" s="22" t="n">
        <v>2024</v>
      </c>
      <c r="C131" s="22" t="s">
        <v>175</v>
      </c>
      <c r="D131" s="25" t="n">
        <v>0.0092</v>
      </c>
      <c r="E131" s="22" t="s">
        <v>176</v>
      </c>
      <c r="F131" s="22" t="s">
        <v>245</v>
      </c>
      <c r="G131" s="22" t="s">
        <v>246</v>
      </c>
      <c r="H131" s="22" t="s">
        <v>278</v>
      </c>
      <c r="I131" s="22" t="s">
        <v>162</v>
      </c>
    </row>
    <row r="132" customFormat="false" ht="30" hidden="false" customHeight="true" outlineLevel="0" collapsed="false">
      <c r="A132" s="22" t="s">
        <v>158</v>
      </c>
      <c r="B132" s="22" t="n">
        <v>2024</v>
      </c>
      <c r="C132" s="22" t="s">
        <v>177</v>
      </c>
      <c r="D132" s="25" t="n">
        <v>0.0076</v>
      </c>
      <c r="E132" s="22" t="s">
        <v>178</v>
      </c>
      <c r="F132" s="22" t="s">
        <v>245</v>
      </c>
      <c r="G132" s="22" t="s">
        <v>246</v>
      </c>
      <c r="H132" s="22" t="s">
        <v>278</v>
      </c>
      <c r="I132" s="22" t="s">
        <v>162</v>
      </c>
    </row>
    <row r="133" customFormat="false" ht="30" hidden="false" customHeight="true" outlineLevel="0" collapsed="false">
      <c r="A133" s="22" t="s">
        <v>158</v>
      </c>
      <c r="B133" s="22" t="n">
        <v>2024</v>
      </c>
      <c r="C133" s="22" t="s">
        <v>179</v>
      </c>
      <c r="D133" s="23" t="n">
        <v>85255000000</v>
      </c>
      <c r="E133" s="22" t="s">
        <v>180</v>
      </c>
      <c r="F133" s="22" t="s">
        <v>245</v>
      </c>
      <c r="G133" s="22" t="s">
        <v>246</v>
      </c>
      <c r="H133" s="22" t="s">
        <v>146</v>
      </c>
      <c r="I133" s="22" t="s">
        <v>181</v>
      </c>
    </row>
    <row r="134" customFormat="false" ht="30" hidden="false" customHeight="true" outlineLevel="0" collapsed="false">
      <c r="A134" s="22" t="s">
        <v>158</v>
      </c>
      <c r="B134" s="22" t="n">
        <v>2024</v>
      </c>
      <c r="C134" s="22" t="s">
        <v>182</v>
      </c>
      <c r="D134" s="23" t="n">
        <v>65373000000</v>
      </c>
      <c r="E134" s="22" t="s">
        <v>183</v>
      </c>
      <c r="F134" s="22" t="s">
        <v>245</v>
      </c>
      <c r="G134" s="22" t="s">
        <v>246</v>
      </c>
      <c r="H134" s="22" t="s">
        <v>146</v>
      </c>
      <c r="I134" s="22" t="s">
        <v>184</v>
      </c>
    </row>
    <row r="135" customFormat="false" ht="30" hidden="false" customHeight="true" outlineLevel="0" collapsed="false">
      <c r="A135" s="22" t="s">
        <v>158</v>
      </c>
      <c r="B135" s="22" t="n">
        <v>2024</v>
      </c>
      <c r="C135" s="22" t="s">
        <v>185</v>
      </c>
      <c r="D135" s="23" t="n">
        <v>19882000000</v>
      </c>
      <c r="E135" s="22" t="s">
        <v>186</v>
      </c>
      <c r="F135" s="22" t="s">
        <v>245</v>
      </c>
      <c r="G135" s="22" t="s">
        <v>246</v>
      </c>
      <c r="H135" s="22" t="s">
        <v>146</v>
      </c>
      <c r="I135" s="22" t="s">
        <v>184</v>
      </c>
    </row>
    <row r="136" customFormat="false" ht="30" hidden="false" customHeight="true" outlineLevel="0" collapsed="false">
      <c r="A136" s="22" t="s">
        <v>158</v>
      </c>
      <c r="B136" s="22" t="n">
        <v>2024</v>
      </c>
      <c r="C136" s="22" t="s">
        <v>187</v>
      </c>
      <c r="D136" s="23" t="n">
        <v>26314000000</v>
      </c>
      <c r="E136" s="22" t="s">
        <v>188</v>
      </c>
      <c r="F136" s="22" t="s">
        <v>245</v>
      </c>
      <c r="G136" s="22" t="s">
        <v>246</v>
      </c>
      <c r="H136" s="22" t="s">
        <v>146</v>
      </c>
      <c r="I136" s="22" t="s">
        <v>189</v>
      </c>
    </row>
    <row r="137" customFormat="false" ht="30" hidden="false" customHeight="true" outlineLevel="0" collapsed="false">
      <c r="A137" s="22" t="s">
        <v>158</v>
      </c>
      <c r="B137" s="22" t="n">
        <v>2024</v>
      </c>
      <c r="C137" s="22" t="s">
        <v>190</v>
      </c>
      <c r="D137" s="23" t="n">
        <v>10217000000</v>
      </c>
      <c r="E137" s="22" t="s">
        <v>191</v>
      </c>
      <c r="F137" s="22" t="s">
        <v>245</v>
      </c>
      <c r="G137" s="22" t="s">
        <v>246</v>
      </c>
      <c r="H137" s="22" t="s">
        <v>146</v>
      </c>
      <c r="I137" s="22" t="s">
        <v>184</v>
      </c>
    </row>
    <row r="138" customFormat="false" ht="30" hidden="false" customHeight="true" outlineLevel="0" collapsed="false">
      <c r="A138" s="22" t="s">
        <v>158</v>
      </c>
      <c r="B138" s="22" t="n">
        <v>2024</v>
      </c>
      <c r="C138" s="22" t="s">
        <v>192</v>
      </c>
      <c r="D138" s="23" t="n">
        <v>18819000000</v>
      </c>
      <c r="E138" s="22" t="s">
        <v>193</v>
      </c>
      <c r="F138" s="22" t="s">
        <v>245</v>
      </c>
      <c r="G138" s="22" t="s">
        <v>246</v>
      </c>
      <c r="H138" s="22" t="s">
        <v>146</v>
      </c>
      <c r="I138" s="22" t="s">
        <v>181</v>
      </c>
    </row>
    <row r="139" customFormat="false" ht="30" hidden="false" customHeight="true" outlineLevel="0" collapsed="false">
      <c r="A139" s="22" t="s">
        <v>158</v>
      </c>
      <c r="B139" s="22" t="n">
        <v>2024</v>
      </c>
      <c r="C139" s="22" t="s">
        <v>194</v>
      </c>
      <c r="D139" s="23" t="n">
        <v>-88000000</v>
      </c>
      <c r="E139" s="22" t="s">
        <v>195</v>
      </c>
      <c r="F139" s="22" t="s">
        <v>245</v>
      </c>
      <c r="G139" s="22" t="s">
        <v>246</v>
      </c>
      <c r="H139" s="22" t="s">
        <v>146</v>
      </c>
      <c r="I139" s="22" t="s">
        <v>189</v>
      </c>
    </row>
    <row r="140" customFormat="false" ht="30" hidden="false" customHeight="true" outlineLevel="0" collapsed="false">
      <c r="A140" s="22" t="s">
        <v>158</v>
      </c>
      <c r="B140" s="22" t="n">
        <v>2024</v>
      </c>
      <c r="C140" s="22" t="s">
        <v>196</v>
      </c>
      <c r="D140" s="23" t="n">
        <v>5555000000</v>
      </c>
      <c r="E140" s="22" t="s">
        <v>197</v>
      </c>
      <c r="F140" s="22" t="s">
        <v>245</v>
      </c>
      <c r="G140" s="22" t="s">
        <v>246</v>
      </c>
      <c r="H140" s="22" t="s">
        <v>146</v>
      </c>
      <c r="I140" s="22" t="s">
        <v>198</v>
      </c>
    </row>
    <row r="141" customFormat="false" ht="30" hidden="false" customHeight="true" outlineLevel="0" collapsed="false">
      <c r="A141" s="22" t="s">
        <v>158</v>
      </c>
      <c r="B141" s="22" t="n">
        <v>2024</v>
      </c>
      <c r="C141" s="22" t="s">
        <v>199</v>
      </c>
      <c r="D141" s="23" t="n">
        <v>13578000000</v>
      </c>
      <c r="E141" s="22" t="s">
        <v>200</v>
      </c>
      <c r="F141" s="22" t="s">
        <v>245</v>
      </c>
      <c r="G141" s="22" t="s">
        <v>246</v>
      </c>
      <c r="H141" s="22" t="s">
        <v>146</v>
      </c>
      <c r="I141" s="22" t="s">
        <v>181</v>
      </c>
    </row>
    <row r="142" customFormat="false" ht="30" hidden="false" customHeight="true" outlineLevel="0" collapsed="false">
      <c r="A142" s="22" t="s">
        <v>158</v>
      </c>
      <c r="B142" s="22" t="n">
        <v>2024</v>
      </c>
      <c r="C142" s="22" t="s">
        <v>201</v>
      </c>
      <c r="D142" s="23" t="n">
        <v>11212000000</v>
      </c>
      <c r="E142" s="22" t="s">
        <v>202</v>
      </c>
      <c r="F142" s="22" t="s">
        <v>245</v>
      </c>
      <c r="G142" s="22" t="s">
        <v>246</v>
      </c>
      <c r="H142" s="22" t="s">
        <v>146</v>
      </c>
      <c r="I142" s="22" t="s">
        <v>203</v>
      </c>
    </row>
    <row r="143" customFormat="false" ht="30" hidden="false" customHeight="true" outlineLevel="0" collapsed="false">
      <c r="A143" s="22" t="s">
        <v>158</v>
      </c>
      <c r="B143" s="22" t="n">
        <v>2024</v>
      </c>
      <c r="C143" s="22" t="s">
        <v>204</v>
      </c>
      <c r="D143" s="23" t="n">
        <v>869000000</v>
      </c>
      <c r="E143" s="22" t="s">
        <v>205</v>
      </c>
      <c r="F143" s="22" t="s">
        <v>245</v>
      </c>
      <c r="G143" s="22" t="s">
        <v>246</v>
      </c>
      <c r="H143" s="22" t="s">
        <v>146</v>
      </c>
      <c r="I143" s="22" t="s">
        <v>203</v>
      </c>
    </row>
    <row r="144" customFormat="false" ht="30" hidden="false" customHeight="true" outlineLevel="0" collapsed="false">
      <c r="A144" s="22" t="s">
        <v>158</v>
      </c>
      <c r="B144" s="22" t="n">
        <v>2024</v>
      </c>
      <c r="C144" s="22" t="s">
        <v>206</v>
      </c>
      <c r="D144" s="23" t="n">
        <v>3661000000</v>
      </c>
      <c r="E144" s="22" t="s">
        <v>207</v>
      </c>
      <c r="F144" s="22" t="s">
        <v>245</v>
      </c>
      <c r="G144" s="22" t="s">
        <v>246</v>
      </c>
      <c r="H144" s="22" t="s">
        <v>146</v>
      </c>
      <c r="I144" s="22" t="s">
        <v>203</v>
      </c>
    </row>
    <row r="145" customFormat="false" ht="30" hidden="false" customHeight="true" outlineLevel="0" collapsed="false">
      <c r="A145" s="22" t="s">
        <v>158</v>
      </c>
      <c r="B145" s="22" t="n">
        <v>2024</v>
      </c>
      <c r="C145" s="22" t="s">
        <v>208</v>
      </c>
      <c r="D145" s="23" t="n">
        <v>13987000</v>
      </c>
      <c r="E145" s="22" t="s">
        <v>209</v>
      </c>
      <c r="F145" s="22" t="s">
        <v>245</v>
      </c>
      <c r="G145" s="22" t="s">
        <v>246</v>
      </c>
      <c r="H145" s="22" t="s">
        <v>161</v>
      </c>
      <c r="I145" s="22" t="s">
        <v>216</v>
      </c>
    </row>
    <row r="146" customFormat="false" ht="30" hidden="false" customHeight="true" outlineLevel="0" collapsed="false">
      <c r="A146" s="22" t="s">
        <v>158</v>
      </c>
      <c r="B146" s="22" t="n">
        <v>2024</v>
      </c>
      <c r="C146" s="22" t="s">
        <v>210</v>
      </c>
      <c r="D146" s="23" t="n">
        <v>9331000</v>
      </c>
      <c r="E146" s="22" t="s">
        <v>211</v>
      </c>
      <c r="F146" s="22" t="s">
        <v>245</v>
      </c>
      <c r="G146" s="22" t="s">
        <v>246</v>
      </c>
      <c r="H146" s="22" t="s">
        <v>161</v>
      </c>
      <c r="I146" s="22" t="s">
        <v>216</v>
      </c>
    </row>
    <row r="147" customFormat="false" ht="30" hidden="false" customHeight="true" outlineLevel="0" collapsed="false">
      <c r="A147" s="22" t="s">
        <v>158</v>
      </c>
      <c r="B147" s="22" t="n">
        <v>2024</v>
      </c>
      <c r="C147" s="22" t="s">
        <v>212</v>
      </c>
      <c r="D147" s="23" t="n">
        <v>258000</v>
      </c>
      <c r="E147" s="22" t="s">
        <v>213</v>
      </c>
      <c r="F147" s="22" t="s">
        <v>245</v>
      </c>
      <c r="G147" s="22" t="s">
        <v>246</v>
      </c>
      <c r="H147" s="22" t="s">
        <v>161</v>
      </c>
      <c r="I147" s="22" t="s">
        <v>216</v>
      </c>
    </row>
    <row r="148" customFormat="false" ht="30" hidden="false" customHeight="true" outlineLevel="0" collapsed="false">
      <c r="A148" s="22" t="s">
        <v>158</v>
      </c>
      <c r="B148" s="22" t="n">
        <v>2024</v>
      </c>
      <c r="C148" s="22" t="s">
        <v>214</v>
      </c>
      <c r="D148" s="23" t="n">
        <v>1024000</v>
      </c>
      <c r="E148" s="22" t="s">
        <v>215</v>
      </c>
      <c r="F148" s="22" t="s">
        <v>245</v>
      </c>
      <c r="G148" s="22" t="s">
        <v>246</v>
      </c>
      <c r="H148" s="22" t="s">
        <v>161</v>
      </c>
      <c r="I148" s="22" t="s">
        <v>216</v>
      </c>
    </row>
    <row r="149" customFormat="false" ht="30" hidden="false" customHeight="true" outlineLevel="0" collapsed="false">
      <c r="A149" s="22" t="s">
        <v>158</v>
      </c>
      <c r="B149" s="22" t="n">
        <v>2024</v>
      </c>
      <c r="C149" s="22" t="s">
        <v>217</v>
      </c>
      <c r="D149" s="23" t="n">
        <v>4232000000</v>
      </c>
      <c r="E149" s="22" t="s">
        <v>218</v>
      </c>
      <c r="F149" s="22" t="s">
        <v>245</v>
      </c>
      <c r="G149" s="22" t="s">
        <v>246</v>
      </c>
      <c r="H149" s="22" t="s">
        <v>146</v>
      </c>
      <c r="I149" s="22" t="s">
        <v>219</v>
      </c>
    </row>
    <row r="150" customFormat="false" ht="30" hidden="false" customHeight="true" outlineLevel="0" collapsed="false">
      <c r="A150" s="22" t="s">
        <v>158</v>
      </c>
      <c r="B150" s="22" t="n">
        <v>2024</v>
      </c>
      <c r="C150" s="22" t="s">
        <v>220</v>
      </c>
      <c r="D150" s="23" t="n">
        <v>40000000</v>
      </c>
      <c r="E150" s="22" t="s">
        <v>221</v>
      </c>
      <c r="F150" s="22" t="s">
        <v>245</v>
      </c>
      <c r="G150" s="22" t="s">
        <v>246</v>
      </c>
      <c r="H150" s="22" t="s">
        <v>146</v>
      </c>
      <c r="I150" s="22" t="s">
        <v>219</v>
      </c>
    </row>
    <row r="151" customFormat="false" ht="30" hidden="false" customHeight="true" outlineLevel="0" collapsed="false">
      <c r="A151" s="22" t="s">
        <v>158</v>
      </c>
      <c r="B151" s="22" t="n">
        <v>2024</v>
      </c>
      <c r="C151" s="22" t="s">
        <v>222</v>
      </c>
      <c r="D151" s="23" t="n">
        <v>117652000000</v>
      </c>
      <c r="E151" s="22" t="s">
        <v>223</v>
      </c>
      <c r="F151" s="22" t="s">
        <v>245</v>
      </c>
      <c r="G151" s="22" t="s">
        <v>246</v>
      </c>
      <c r="H151" s="22" t="s">
        <v>146</v>
      </c>
      <c r="I151" s="22" t="s">
        <v>181</v>
      </c>
    </row>
    <row r="152" customFormat="false" ht="30" hidden="false" customHeight="true" outlineLevel="0" collapsed="false">
      <c r="A152" s="22" t="s">
        <v>158</v>
      </c>
      <c r="B152" s="22" t="n">
        <v>2024</v>
      </c>
      <c r="C152" s="22" t="s">
        <v>224</v>
      </c>
      <c r="D152" s="23" t="n">
        <v>27095000000</v>
      </c>
      <c r="E152" s="22" t="s">
        <v>225</v>
      </c>
      <c r="F152" s="22" t="s">
        <v>245</v>
      </c>
      <c r="G152" s="22" t="s">
        <v>246</v>
      </c>
      <c r="H152" s="22" t="s">
        <v>146</v>
      </c>
      <c r="I152" s="22" t="s">
        <v>189</v>
      </c>
    </row>
    <row r="153" customFormat="false" ht="30" hidden="false" customHeight="true" outlineLevel="0" collapsed="false">
      <c r="A153" s="22" t="s">
        <v>158</v>
      </c>
      <c r="B153" s="22" t="n">
        <v>2024</v>
      </c>
      <c r="C153" s="22" t="s">
        <v>226</v>
      </c>
      <c r="D153" s="23" t="n">
        <v>122336000000</v>
      </c>
      <c r="E153" s="22" t="s">
        <v>227</v>
      </c>
      <c r="F153" s="22" t="s">
        <v>245</v>
      </c>
      <c r="G153" s="22" t="s">
        <v>246</v>
      </c>
      <c r="H153" s="22" t="s">
        <v>228</v>
      </c>
      <c r="I153" s="22" t="s">
        <v>229</v>
      </c>
    </row>
    <row r="154" customFormat="false" ht="30" hidden="false" customHeight="true" outlineLevel="0" collapsed="false">
      <c r="A154" s="22" t="s">
        <v>158</v>
      </c>
      <c r="B154" s="22" t="n">
        <v>2024</v>
      </c>
      <c r="C154" s="22" t="s">
        <v>230</v>
      </c>
      <c r="D154" s="23" t="n">
        <v>19049000000</v>
      </c>
      <c r="E154" s="22" t="s">
        <v>231</v>
      </c>
      <c r="F154" s="22" t="s">
        <v>245</v>
      </c>
      <c r="G154" s="22" t="s">
        <v>246</v>
      </c>
      <c r="H154" s="22" t="s">
        <v>228</v>
      </c>
      <c r="I154" s="22" t="s">
        <v>229</v>
      </c>
    </row>
    <row r="155" customFormat="false" ht="30" hidden="false" customHeight="true" outlineLevel="0" collapsed="false">
      <c r="A155" s="22" t="s">
        <v>141</v>
      </c>
      <c r="B155" s="22" t="n">
        <v>2024</v>
      </c>
      <c r="C155" s="22" t="s">
        <v>232</v>
      </c>
      <c r="D155" s="23" t="n">
        <v>0.266199544855671</v>
      </c>
      <c r="E155" s="22" t="s">
        <v>233</v>
      </c>
      <c r="F155" s="22" t="s">
        <v>245</v>
      </c>
      <c r="G155" s="22" t="s">
        <v>246</v>
      </c>
      <c r="H155" s="22" t="s">
        <v>228</v>
      </c>
      <c r="I155" s="22" t="s">
        <v>229</v>
      </c>
    </row>
    <row r="156" customFormat="false" ht="30" hidden="false" customHeight="true" outlineLevel="0" collapsed="false">
      <c r="A156" s="22" t="s">
        <v>141</v>
      </c>
      <c r="B156" s="22" t="n">
        <v>2024</v>
      </c>
      <c r="C156" s="22" t="s">
        <v>232</v>
      </c>
      <c r="D156" s="23" t="n">
        <v>0.266199544855671</v>
      </c>
      <c r="E156" s="22" t="s">
        <v>234</v>
      </c>
      <c r="F156" s="22" t="s">
        <v>245</v>
      </c>
      <c r="G156" s="22" t="s">
        <v>246</v>
      </c>
      <c r="H156" s="22" t="s">
        <v>228</v>
      </c>
      <c r="I156" s="22" t="s">
        <v>229</v>
      </c>
    </row>
    <row r="157" customFormat="false" ht="30" hidden="false" customHeight="true" outlineLevel="0" collapsed="false">
      <c r="A157" s="22" t="s">
        <v>158</v>
      </c>
      <c r="B157" s="22" t="n">
        <v>2024</v>
      </c>
      <c r="C157" s="22" t="s">
        <v>235</v>
      </c>
      <c r="D157" s="23" t="n">
        <v>20580000000</v>
      </c>
      <c r="E157" s="22" t="s">
        <v>236</v>
      </c>
      <c r="F157" s="22" t="s">
        <v>144</v>
      </c>
      <c r="G157" s="22" t="s">
        <v>145</v>
      </c>
      <c r="H157" s="22" t="s">
        <v>228</v>
      </c>
      <c r="I157" s="22" t="s">
        <v>239</v>
      </c>
    </row>
    <row r="158" customFormat="false" ht="30" hidden="false" customHeight="true" outlineLevel="0" collapsed="false">
      <c r="A158" s="22" t="s">
        <v>141</v>
      </c>
      <c r="B158" s="22" t="n">
        <v>2024</v>
      </c>
      <c r="C158" s="22" t="s">
        <v>240</v>
      </c>
      <c r="D158" s="23" t="n">
        <v>20263000000</v>
      </c>
      <c r="E158" s="22" t="s">
        <v>143</v>
      </c>
      <c r="F158" s="22" t="s">
        <v>245</v>
      </c>
      <c r="G158" s="22" t="s">
        <v>246</v>
      </c>
      <c r="H158" s="22" t="s">
        <v>146</v>
      </c>
      <c r="I158" s="22" t="s">
        <v>147</v>
      </c>
    </row>
    <row r="159" customFormat="false" ht="30" hidden="false" customHeight="true" outlineLevel="0" collapsed="false">
      <c r="A159" s="22" t="s">
        <v>141</v>
      </c>
      <c r="B159" s="22" t="n">
        <v>2024</v>
      </c>
      <c r="C159" s="22" t="s">
        <v>241</v>
      </c>
      <c r="D159" s="24" t="n">
        <v>-20263</v>
      </c>
      <c r="E159" s="22" t="s">
        <v>149</v>
      </c>
      <c r="F159" s="22" t="s">
        <v>245</v>
      </c>
      <c r="G159" s="22" t="s">
        <v>246</v>
      </c>
      <c r="H159" s="22" t="s">
        <v>146</v>
      </c>
      <c r="I159" s="22" t="s">
        <v>147</v>
      </c>
    </row>
    <row r="160" customFormat="false" ht="30" hidden="false" customHeight="true" outlineLevel="0" collapsed="false">
      <c r="A160" s="22" t="s">
        <v>141</v>
      </c>
      <c r="B160" s="22" t="n">
        <v>2024</v>
      </c>
      <c r="C160" s="22" t="s">
        <v>242</v>
      </c>
      <c r="D160" s="23" t="n">
        <v>2597000000</v>
      </c>
      <c r="E160" s="22" t="s">
        <v>152</v>
      </c>
      <c r="F160" s="22" t="s">
        <v>245</v>
      </c>
      <c r="G160" s="22" t="s">
        <v>246</v>
      </c>
      <c r="H160" s="22" t="s">
        <v>146</v>
      </c>
      <c r="I160" s="22" t="s">
        <v>263</v>
      </c>
    </row>
    <row r="161" customFormat="false" ht="30" hidden="false" customHeight="true" outlineLevel="0" collapsed="false">
      <c r="A161" s="22" t="s">
        <v>141</v>
      </c>
      <c r="B161" s="22" t="n">
        <v>2024</v>
      </c>
      <c r="C161" s="22" t="s">
        <v>279</v>
      </c>
      <c r="D161" s="24" t="n">
        <v>123</v>
      </c>
      <c r="E161" s="22" t="s">
        <v>265</v>
      </c>
      <c r="F161" s="22" t="s">
        <v>245</v>
      </c>
      <c r="G161" s="22" t="s">
        <v>246</v>
      </c>
      <c r="H161" s="22" t="s">
        <v>146</v>
      </c>
      <c r="I161" s="22" t="s">
        <v>266</v>
      </c>
    </row>
    <row r="162" customFormat="false" ht="30" hidden="false" customHeight="true" outlineLevel="0" collapsed="false">
      <c r="A162" s="22" t="s">
        <v>141</v>
      </c>
      <c r="B162" s="22" t="n">
        <v>2024</v>
      </c>
      <c r="C162" s="22" t="s">
        <v>279</v>
      </c>
      <c r="D162" s="24" t="n">
        <v>-1846</v>
      </c>
      <c r="E162" s="22" t="s">
        <v>267</v>
      </c>
      <c r="F162" s="22" t="s">
        <v>245</v>
      </c>
      <c r="G162" s="22" t="s">
        <v>246</v>
      </c>
      <c r="H162" s="22" t="s">
        <v>146</v>
      </c>
      <c r="I162" s="22" t="s">
        <v>268</v>
      </c>
    </row>
    <row r="163" customFormat="false" ht="30" hidden="false" customHeight="true" outlineLevel="0" collapsed="false">
      <c r="A163" s="22" t="s">
        <v>141</v>
      </c>
      <c r="B163" s="22" t="n">
        <v>2024</v>
      </c>
      <c r="C163" s="22" t="s">
        <v>279</v>
      </c>
      <c r="D163" s="24" t="n">
        <v>160</v>
      </c>
      <c r="E163" s="22" t="s">
        <v>269</v>
      </c>
      <c r="F163" s="22" t="s">
        <v>245</v>
      </c>
      <c r="G163" s="22" t="s">
        <v>246</v>
      </c>
      <c r="H163" s="22" t="s">
        <v>146</v>
      </c>
      <c r="I163" s="22" t="s">
        <v>270</v>
      </c>
    </row>
    <row r="164" customFormat="false" ht="30" hidden="false" customHeight="true" outlineLevel="0" collapsed="false">
      <c r="A164" s="22" t="s">
        <v>141</v>
      </c>
      <c r="B164" s="22" t="n">
        <v>2024</v>
      </c>
      <c r="C164" s="22" t="s">
        <v>279</v>
      </c>
      <c r="D164" s="24" t="n">
        <v>70</v>
      </c>
      <c r="E164" s="22" t="s">
        <v>271</v>
      </c>
      <c r="F164" s="22" t="s">
        <v>245</v>
      </c>
      <c r="G164" s="22" t="s">
        <v>246</v>
      </c>
      <c r="H164" s="22" t="s">
        <v>146</v>
      </c>
      <c r="I164" s="22" t="s">
        <v>272</v>
      </c>
    </row>
    <row r="165" customFormat="false" ht="30" hidden="false" customHeight="true" outlineLevel="0" collapsed="false">
      <c r="A165" s="22" t="s">
        <v>141</v>
      </c>
      <c r="B165" s="22" t="n">
        <v>2024</v>
      </c>
      <c r="C165" s="22" t="s">
        <v>279</v>
      </c>
      <c r="D165" s="24" t="n">
        <v>-1104</v>
      </c>
      <c r="E165" s="22" t="s">
        <v>273</v>
      </c>
      <c r="F165" s="22" t="s">
        <v>245</v>
      </c>
      <c r="G165" s="22" t="s">
        <v>246</v>
      </c>
      <c r="H165" s="22" t="s">
        <v>146</v>
      </c>
      <c r="I165" s="22" t="s">
        <v>274</v>
      </c>
    </row>
    <row r="166" customFormat="false" ht="30" hidden="false" customHeight="true" outlineLevel="0" collapsed="false">
      <c r="A166" s="22" t="s">
        <v>158</v>
      </c>
      <c r="B166" s="22" t="n">
        <v>2024</v>
      </c>
      <c r="C166" s="22" t="s">
        <v>243</v>
      </c>
      <c r="D166" s="23" t="n">
        <v>3298000000</v>
      </c>
      <c r="E166" s="22" t="s">
        <v>244</v>
      </c>
      <c r="F166" s="22" t="s">
        <v>245</v>
      </c>
      <c r="G166" s="22" t="s">
        <v>246</v>
      </c>
      <c r="H166" s="22" t="s">
        <v>228</v>
      </c>
      <c r="I166" s="22" t="s">
        <v>247</v>
      </c>
    </row>
    <row r="167" customFormat="false" ht="30" hidden="false" customHeight="true" outlineLevel="0" collapsed="false">
      <c r="A167" s="22" t="s">
        <v>248</v>
      </c>
      <c r="B167" s="22" t="n">
        <v>2024</v>
      </c>
      <c r="C167" s="22" t="s">
        <v>249</v>
      </c>
      <c r="D167" s="23"/>
      <c r="E167" s="22" t="s">
        <v>250</v>
      </c>
      <c r="F167" s="22" t="s">
        <v>144</v>
      </c>
      <c r="G167" s="22" t="s">
        <v>145</v>
      </c>
      <c r="H167" s="22" t="s">
        <v>228</v>
      </c>
      <c r="I167" s="22" t="s">
        <v>251</v>
      </c>
    </row>
    <row r="168" customFormat="false" ht="30" hidden="false" customHeight="true" outlineLevel="0" collapsed="false">
      <c r="A168" s="22" t="s">
        <v>248</v>
      </c>
      <c r="B168" s="22" t="n">
        <v>2024</v>
      </c>
      <c r="C168" s="22" t="s">
        <v>249</v>
      </c>
      <c r="D168" s="23"/>
      <c r="E168" s="22" t="s">
        <v>252</v>
      </c>
      <c r="F168" s="22" t="s">
        <v>144</v>
      </c>
      <c r="G168" s="22" t="s">
        <v>145</v>
      </c>
      <c r="H168" s="22" t="s">
        <v>228</v>
      </c>
      <c r="I168" s="22" t="s">
        <v>251</v>
      </c>
    </row>
    <row r="169" customFormat="false" ht="30" hidden="false" customHeight="true" outlineLevel="0" collapsed="false">
      <c r="A169" s="22" t="s">
        <v>158</v>
      </c>
      <c r="B169" s="22" t="n">
        <v>2024</v>
      </c>
      <c r="C169" s="22" t="s">
        <v>253</v>
      </c>
      <c r="D169" s="23" t="n">
        <v>123532000000</v>
      </c>
      <c r="E169" s="22" t="s">
        <v>155</v>
      </c>
      <c r="F169" s="22" t="s">
        <v>245</v>
      </c>
      <c r="G169" s="22" t="s">
        <v>246</v>
      </c>
      <c r="H169" s="22" t="s">
        <v>146</v>
      </c>
      <c r="I169" s="22" t="s">
        <v>275</v>
      </c>
    </row>
    <row r="170" customFormat="false" ht="30" hidden="false" customHeight="true" outlineLevel="0" collapsed="false">
      <c r="A170" s="22" t="s">
        <v>158</v>
      </c>
      <c r="B170" s="22" t="n">
        <v>2024</v>
      </c>
      <c r="C170" s="22" t="s">
        <v>254</v>
      </c>
      <c r="D170" s="23" t="n">
        <v>13873000000</v>
      </c>
      <c r="E170" s="22" t="s">
        <v>255</v>
      </c>
      <c r="F170" s="22" t="s">
        <v>245</v>
      </c>
      <c r="G170" s="22" t="s">
        <v>246</v>
      </c>
      <c r="H170" s="22" t="s">
        <v>228</v>
      </c>
      <c r="I170" s="22" t="s">
        <v>247</v>
      </c>
    </row>
    <row r="171" customFormat="false" ht="30" hidden="false" customHeight="true" outlineLevel="0" collapsed="false">
      <c r="A171" s="22" t="s">
        <v>248</v>
      </c>
      <c r="B171" s="22" t="n">
        <v>2024</v>
      </c>
      <c r="C171" s="22" t="s">
        <v>258</v>
      </c>
      <c r="D171" s="23"/>
      <c r="E171" s="22" t="s">
        <v>259</v>
      </c>
      <c r="F171" s="22" t="s">
        <v>144</v>
      </c>
      <c r="G171" s="22" t="s">
        <v>145</v>
      </c>
      <c r="H171" s="22" t="s">
        <v>228</v>
      </c>
      <c r="I171" s="22" t="s">
        <v>251</v>
      </c>
    </row>
    <row r="172" customFormat="false" ht="30" hidden="false" customHeight="true" outlineLevel="0" collapsed="false">
      <c r="A172" s="22" t="s">
        <v>158</v>
      </c>
      <c r="B172" s="22" t="n">
        <v>2024</v>
      </c>
      <c r="C172" s="22" t="s">
        <v>260</v>
      </c>
      <c r="D172" s="22" t="n">
        <v>7204000000</v>
      </c>
      <c r="E172" s="22" t="s">
        <v>261</v>
      </c>
      <c r="F172" s="22" t="s">
        <v>245</v>
      </c>
      <c r="G172" s="22" t="s">
        <v>246</v>
      </c>
      <c r="H172" s="22" t="s">
        <v>262</v>
      </c>
      <c r="I172" s="22" t="s">
        <v>251</v>
      </c>
    </row>
    <row r="173" customFormat="false" ht="30" hidden="false" customHeight="true" outlineLevel="0" collapsed="false">
      <c r="A173" s="22" t="s">
        <v>141</v>
      </c>
      <c r="B173" s="22" t="n">
        <v>2025</v>
      </c>
      <c r="C173" s="22" t="s">
        <v>142</v>
      </c>
      <c r="D173" s="23" t="n">
        <v>20842000000</v>
      </c>
      <c r="E173" s="22" t="s">
        <v>143</v>
      </c>
      <c r="F173" s="22" t="s">
        <v>245</v>
      </c>
      <c r="G173" s="22" t="s">
        <v>246</v>
      </c>
      <c r="H173" s="22" t="s">
        <v>146</v>
      </c>
      <c r="I173" s="22" t="s">
        <v>147</v>
      </c>
    </row>
    <row r="174" customFormat="false" ht="30" hidden="false" customHeight="true" outlineLevel="0" collapsed="false">
      <c r="A174" s="22" t="s">
        <v>141</v>
      </c>
      <c r="B174" s="22" t="n">
        <v>2025</v>
      </c>
      <c r="C174" s="22" t="s">
        <v>148</v>
      </c>
      <c r="D174" s="24" t="n">
        <v>-20842</v>
      </c>
      <c r="E174" s="22" t="s">
        <v>149</v>
      </c>
      <c r="F174" s="22" t="s">
        <v>245</v>
      </c>
      <c r="G174" s="22" t="s">
        <v>246</v>
      </c>
      <c r="H174" s="22" t="s">
        <v>146</v>
      </c>
      <c r="I174" s="22" t="s">
        <v>147</v>
      </c>
    </row>
    <row r="175" customFormat="false" ht="30" hidden="false" customHeight="true" outlineLevel="0" collapsed="false">
      <c r="A175" s="22" t="s">
        <v>141</v>
      </c>
      <c r="B175" s="22" t="n">
        <v>2025</v>
      </c>
      <c r="C175" s="22" t="s">
        <v>151</v>
      </c>
      <c r="D175" s="23" t="n">
        <v>1986000000</v>
      </c>
      <c r="E175" s="22" t="s">
        <v>152</v>
      </c>
      <c r="F175" s="22" t="s">
        <v>245</v>
      </c>
      <c r="G175" s="22" t="s">
        <v>246</v>
      </c>
      <c r="H175" s="22" t="s">
        <v>146</v>
      </c>
      <c r="I175" s="22" t="s">
        <v>263</v>
      </c>
    </row>
    <row r="176" customFormat="false" ht="30" hidden="false" customHeight="true" outlineLevel="0" collapsed="false">
      <c r="A176" s="22" t="s">
        <v>141</v>
      </c>
      <c r="B176" s="22" t="n">
        <v>2025</v>
      </c>
      <c r="C176" s="22" t="s">
        <v>264</v>
      </c>
      <c r="D176" s="24" t="n">
        <v>-1526</v>
      </c>
      <c r="E176" s="22" t="s">
        <v>265</v>
      </c>
      <c r="F176" s="22" t="s">
        <v>245</v>
      </c>
      <c r="G176" s="22" t="s">
        <v>246</v>
      </c>
      <c r="H176" s="22" t="s">
        <v>146</v>
      </c>
      <c r="I176" s="22" t="s">
        <v>266</v>
      </c>
    </row>
    <row r="177" customFormat="false" ht="30" hidden="false" customHeight="true" outlineLevel="0" collapsed="false">
      <c r="A177" s="22" t="s">
        <v>141</v>
      </c>
      <c r="B177" s="22" t="n">
        <v>2025</v>
      </c>
      <c r="C177" s="22" t="s">
        <v>264</v>
      </c>
      <c r="D177" s="24" t="n">
        <v>324</v>
      </c>
      <c r="E177" s="22" t="s">
        <v>267</v>
      </c>
      <c r="F177" s="22" t="s">
        <v>245</v>
      </c>
      <c r="G177" s="22" t="s">
        <v>246</v>
      </c>
      <c r="H177" s="22" t="s">
        <v>146</v>
      </c>
      <c r="I177" s="22" t="s">
        <v>268</v>
      </c>
    </row>
    <row r="178" customFormat="false" ht="30" hidden="false" customHeight="true" outlineLevel="0" collapsed="false">
      <c r="A178" s="22" t="s">
        <v>141</v>
      </c>
      <c r="B178" s="22" t="n">
        <v>2025</v>
      </c>
      <c r="C178" s="22" t="s">
        <v>264</v>
      </c>
      <c r="D178" s="24" t="n">
        <v>-1208</v>
      </c>
      <c r="E178" s="22" t="s">
        <v>269</v>
      </c>
      <c r="F178" s="22" t="s">
        <v>245</v>
      </c>
      <c r="G178" s="22" t="s">
        <v>246</v>
      </c>
      <c r="H178" s="22" t="s">
        <v>146</v>
      </c>
      <c r="I178" s="22" t="s">
        <v>270</v>
      </c>
    </row>
    <row r="179" customFormat="false" ht="30" hidden="false" customHeight="true" outlineLevel="0" collapsed="false">
      <c r="A179" s="22" t="s">
        <v>141</v>
      </c>
      <c r="B179" s="22" t="n">
        <v>2025</v>
      </c>
      <c r="C179" s="22" t="s">
        <v>264</v>
      </c>
      <c r="D179" s="24" t="n">
        <v>-460</v>
      </c>
      <c r="E179" s="22" t="s">
        <v>271</v>
      </c>
      <c r="F179" s="22" t="s">
        <v>245</v>
      </c>
      <c r="G179" s="22" t="s">
        <v>246</v>
      </c>
      <c r="H179" s="22" t="s">
        <v>146</v>
      </c>
      <c r="I179" s="22" t="s">
        <v>272</v>
      </c>
    </row>
    <row r="180" customFormat="false" ht="30" hidden="false" customHeight="true" outlineLevel="0" collapsed="false">
      <c r="A180" s="22" t="s">
        <v>141</v>
      </c>
      <c r="B180" s="22" t="n">
        <v>2025</v>
      </c>
      <c r="C180" s="22" t="s">
        <v>264</v>
      </c>
      <c r="D180" s="24" t="n">
        <v>884</v>
      </c>
      <c r="E180" s="22" t="s">
        <v>273</v>
      </c>
      <c r="F180" s="22" t="s">
        <v>245</v>
      </c>
      <c r="G180" s="22" t="s">
        <v>246</v>
      </c>
      <c r="H180" s="22" t="s">
        <v>146</v>
      </c>
      <c r="I180" s="22" t="s">
        <v>274</v>
      </c>
    </row>
    <row r="181" customFormat="false" ht="30" hidden="false" customHeight="true" outlineLevel="0" collapsed="false">
      <c r="A181" s="22" t="s">
        <v>158</v>
      </c>
      <c r="B181" s="22" t="n">
        <v>2025</v>
      </c>
      <c r="C181" s="22" t="s">
        <v>154</v>
      </c>
      <c r="D181" s="23" t="n">
        <v>136100000000</v>
      </c>
      <c r="E181" s="22" t="s">
        <v>155</v>
      </c>
      <c r="F181" s="22" t="s">
        <v>245</v>
      </c>
      <c r="G181" s="22" t="s">
        <v>246</v>
      </c>
      <c r="H181" s="22" t="s">
        <v>146</v>
      </c>
      <c r="I181" s="22" t="s">
        <v>275</v>
      </c>
    </row>
    <row r="182" customFormat="false" ht="30" hidden="false" customHeight="true" outlineLevel="0" collapsed="false">
      <c r="A182" s="22" t="s">
        <v>158</v>
      </c>
      <c r="B182" s="22" t="n">
        <v>2025</v>
      </c>
      <c r="C182" s="22" t="s">
        <v>156</v>
      </c>
      <c r="D182" s="25" t="n">
        <v>0.042</v>
      </c>
      <c r="E182" s="22" t="s">
        <v>157</v>
      </c>
      <c r="F182" s="22" t="s">
        <v>245</v>
      </c>
      <c r="G182" s="22" t="s">
        <v>246</v>
      </c>
      <c r="H182" s="22" t="s">
        <v>276</v>
      </c>
      <c r="I182" s="22" t="s">
        <v>277</v>
      </c>
    </row>
    <row r="183" customFormat="false" ht="30" hidden="false" customHeight="true" outlineLevel="0" collapsed="false">
      <c r="A183" s="22" t="s">
        <v>158</v>
      </c>
      <c r="B183" s="22" t="n">
        <v>2025</v>
      </c>
      <c r="C183" s="22" t="s">
        <v>159</v>
      </c>
      <c r="D183" s="23" t="n">
        <v>120105000</v>
      </c>
      <c r="E183" s="22" t="s">
        <v>160</v>
      </c>
      <c r="F183" s="22" t="s">
        <v>245</v>
      </c>
      <c r="G183" s="22" t="s">
        <v>246</v>
      </c>
      <c r="H183" s="22" t="s">
        <v>161</v>
      </c>
      <c r="I183" s="22" t="s">
        <v>162</v>
      </c>
    </row>
    <row r="184" customFormat="false" ht="30" hidden="false" customHeight="true" outlineLevel="0" collapsed="false">
      <c r="A184" s="22" t="s">
        <v>158</v>
      </c>
      <c r="B184" s="22" t="n">
        <v>2025</v>
      </c>
      <c r="C184" s="22" t="s">
        <v>163</v>
      </c>
      <c r="D184" s="23" t="n">
        <v>90879000</v>
      </c>
      <c r="E184" s="22" t="s">
        <v>164</v>
      </c>
      <c r="F184" s="22" t="s">
        <v>245</v>
      </c>
      <c r="G184" s="22" t="s">
        <v>246</v>
      </c>
      <c r="H184" s="22" t="s">
        <v>161</v>
      </c>
      <c r="I184" s="22" t="s">
        <v>162</v>
      </c>
    </row>
    <row r="185" customFormat="false" ht="30" hidden="false" customHeight="true" outlineLevel="0" collapsed="false">
      <c r="A185" s="22" t="s">
        <v>158</v>
      </c>
      <c r="B185" s="22" t="n">
        <v>2025</v>
      </c>
      <c r="C185" s="22" t="s">
        <v>165</v>
      </c>
      <c r="D185" s="23" t="n">
        <v>74214000</v>
      </c>
      <c r="E185" s="22" t="s">
        <v>166</v>
      </c>
      <c r="F185" s="22" t="s">
        <v>245</v>
      </c>
      <c r="G185" s="22" t="s">
        <v>246</v>
      </c>
      <c r="H185" s="22" t="s">
        <v>161</v>
      </c>
      <c r="I185" s="22" t="s">
        <v>162</v>
      </c>
    </row>
    <row r="186" customFormat="false" ht="30" hidden="false" customHeight="true" outlineLevel="0" collapsed="false">
      <c r="A186" s="22" t="s">
        <v>158</v>
      </c>
      <c r="B186" s="22" t="n">
        <v>2025</v>
      </c>
      <c r="C186" s="22" t="s">
        <v>167</v>
      </c>
      <c r="D186" s="23" t="n">
        <v>18294000</v>
      </c>
      <c r="E186" s="22" t="s">
        <v>168</v>
      </c>
      <c r="F186" s="22" t="s">
        <v>245</v>
      </c>
      <c r="G186" s="22" t="s">
        <v>246</v>
      </c>
      <c r="H186" s="22" t="s">
        <v>161</v>
      </c>
      <c r="I186" s="22" t="s">
        <v>162</v>
      </c>
    </row>
    <row r="187" customFormat="false" ht="30" hidden="false" customHeight="true" outlineLevel="0" collapsed="false">
      <c r="A187" s="22" t="s">
        <v>158</v>
      </c>
      <c r="B187" s="22" t="n">
        <v>2025</v>
      </c>
      <c r="C187" s="22" t="s">
        <v>169</v>
      </c>
      <c r="D187" s="23" t="n">
        <v>10932000</v>
      </c>
      <c r="E187" s="22" t="s">
        <v>170</v>
      </c>
      <c r="F187" s="22" t="s">
        <v>245</v>
      </c>
      <c r="G187" s="22" t="s">
        <v>246</v>
      </c>
      <c r="H187" s="22" t="s">
        <v>161</v>
      </c>
      <c r="I187" s="22" t="s">
        <v>162</v>
      </c>
    </row>
    <row r="188" customFormat="false" ht="30" hidden="false" customHeight="true" outlineLevel="0" collapsed="false">
      <c r="A188" s="22" t="s">
        <v>158</v>
      </c>
      <c r="B188" s="22" t="n">
        <v>2025</v>
      </c>
      <c r="C188" s="22" t="s">
        <v>171</v>
      </c>
      <c r="D188" s="23" t="n">
        <v>2314000</v>
      </c>
      <c r="E188" s="22" t="s">
        <v>172</v>
      </c>
      <c r="F188" s="22" t="s">
        <v>245</v>
      </c>
      <c r="G188" s="22" t="s">
        <v>246</v>
      </c>
      <c r="H188" s="22" t="s">
        <v>161</v>
      </c>
      <c r="I188" s="22" t="s">
        <v>162</v>
      </c>
    </row>
    <row r="189" customFormat="false" ht="30" hidden="false" customHeight="true" outlineLevel="0" collapsed="false">
      <c r="A189" s="22" t="s">
        <v>158</v>
      </c>
      <c r="B189" s="22" t="n">
        <v>2025</v>
      </c>
      <c r="C189" s="22" t="s">
        <v>173</v>
      </c>
      <c r="D189" s="23" t="n">
        <v>1551000</v>
      </c>
      <c r="E189" s="22" t="s">
        <v>174</v>
      </c>
      <c r="F189" s="22" t="s">
        <v>245</v>
      </c>
      <c r="G189" s="22" t="s">
        <v>246</v>
      </c>
      <c r="H189" s="22" t="s">
        <v>161</v>
      </c>
      <c r="I189" s="22" t="s">
        <v>162</v>
      </c>
    </row>
    <row r="190" customFormat="false" ht="30" hidden="false" customHeight="true" outlineLevel="0" collapsed="false">
      <c r="A190" s="22" t="s">
        <v>158</v>
      </c>
      <c r="B190" s="22" t="n">
        <v>2025</v>
      </c>
      <c r="C190" s="22" t="s">
        <v>175</v>
      </c>
      <c r="D190" s="25" t="n">
        <v>0.0105</v>
      </c>
      <c r="E190" s="22" t="s">
        <v>176</v>
      </c>
      <c r="F190" s="22" t="s">
        <v>245</v>
      </c>
      <c r="G190" s="22" t="s">
        <v>246</v>
      </c>
      <c r="H190" s="22" t="s">
        <v>278</v>
      </c>
      <c r="I190" s="22" t="s">
        <v>162</v>
      </c>
    </row>
    <row r="191" customFormat="false" ht="30" hidden="false" customHeight="true" outlineLevel="0" collapsed="false">
      <c r="A191" s="22" t="s">
        <v>158</v>
      </c>
      <c r="B191" s="22" t="n">
        <v>2025</v>
      </c>
      <c r="C191" s="22" t="s">
        <v>177</v>
      </c>
      <c r="D191" s="25" t="n">
        <v>0.009</v>
      </c>
      <c r="E191" s="22" t="s">
        <v>178</v>
      </c>
      <c r="F191" s="22" t="s">
        <v>245</v>
      </c>
      <c r="G191" s="22" t="s">
        <v>246</v>
      </c>
      <c r="H191" s="22" t="s">
        <v>278</v>
      </c>
      <c r="I191" s="22" t="s">
        <v>162</v>
      </c>
    </row>
    <row r="192" customFormat="false" ht="30" hidden="false" customHeight="true" outlineLevel="0" collapsed="false">
      <c r="A192" s="22" t="s">
        <v>158</v>
      </c>
      <c r="B192" s="22" t="n">
        <v>2025</v>
      </c>
      <c r="C192" s="22" t="s">
        <v>179</v>
      </c>
      <c r="D192" s="23" t="n">
        <v>89482000000</v>
      </c>
      <c r="E192" s="22" t="s">
        <v>180</v>
      </c>
      <c r="F192" s="22" t="s">
        <v>245</v>
      </c>
      <c r="G192" s="22" t="s">
        <v>246</v>
      </c>
      <c r="H192" s="22" t="s">
        <v>146</v>
      </c>
      <c r="I192" s="22" t="s">
        <v>181</v>
      </c>
    </row>
    <row r="193" customFormat="false" ht="30" hidden="false" customHeight="true" outlineLevel="0" collapsed="false">
      <c r="A193" s="22" t="s">
        <v>158</v>
      </c>
      <c r="B193" s="22" t="n">
        <v>2025</v>
      </c>
      <c r="C193" s="22" t="s">
        <v>182</v>
      </c>
      <c r="D193" s="23" t="n">
        <v>67384000000</v>
      </c>
      <c r="E193" s="22" t="s">
        <v>183</v>
      </c>
      <c r="F193" s="22" t="s">
        <v>245</v>
      </c>
      <c r="G193" s="22" t="s">
        <v>246</v>
      </c>
      <c r="H193" s="22" t="s">
        <v>146</v>
      </c>
      <c r="I193" s="22" t="s">
        <v>184</v>
      </c>
    </row>
    <row r="194" customFormat="false" ht="30" hidden="false" customHeight="true" outlineLevel="0" collapsed="false">
      <c r="A194" s="22" t="s">
        <v>158</v>
      </c>
      <c r="B194" s="22" t="n">
        <v>2025</v>
      </c>
      <c r="C194" s="22" t="s">
        <v>185</v>
      </c>
      <c r="D194" s="23" t="n">
        <v>22098000000</v>
      </c>
      <c r="E194" s="22" t="s">
        <v>186</v>
      </c>
      <c r="F194" s="22" t="s">
        <v>245</v>
      </c>
      <c r="G194" s="22" t="s">
        <v>246</v>
      </c>
      <c r="H194" s="22" t="s">
        <v>146</v>
      </c>
      <c r="I194" s="22" t="s">
        <v>184</v>
      </c>
    </row>
    <row r="195" customFormat="false" ht="30" hidden="false" customHeight="true" outlineLevel="0" collapsed="false">
      <c r="A195" s="22" t="s">
        <v>158</v>
      </c>
      <c r="B195" s="22" t="n">
        <v>2025</v>
      </c>
      <c r="C195" s="22" t="s">
        <v>187</v>
      </c>
      <c r="D195" s="23" t="n">
        <v>27196000000</v>
      </c>
      <c r="E195" s="22" t="s">
        <v>188</v>
      </c>
      <c r="F195" s="22" t="s">
        <v>245</v>
      </c>
      <c r="G195" s="22" t="s">
        <v>246</v>
      </c>
      <c r="H195" s="22" t="s">
        <v>146</v>
      </c>
      <c r="I195" s="22" t="s">
        <v>189</v>
      </c>
    </row>
    <row r="196" customFormat="false" ht="30" hidden="false" customHeight="true" outlineLevel="0" collapsed="false">
      <c r="A196" s="22" t="s">
        <v>158</v>
      </c>
      <c r="B196" s="22" t="n">
        <v>2025</v>
      </c>
      <c r="C196" s="22" t="s">
        <v>190</v>
      </c>
      <c r="D196" s="23" t="n">
        <v>10422000000</v>
      </c>
      <c r="E196" s="22" t="s">
        <v>191</v>
      </c>
      <c r="F196" s="22" t="s">
        <v>245</v>
      </c>
      <c r="G196" s="22" t="s">
        <v>246</v>
      </c>
      <c r="H196" s="22" t="s">
        <v>146</v>
      </c>
      <c r="I196" s="22" t="s">
        <v>184</v>
      </c>
    </row>
    <row r="197" customFormat="false" ht="30" hidden="false" customHeight="true" outlineLevel="0" collapsed="false">
      <c r="A197" s="22" t="s">
        <v>158</v>
      </c>
      <c r="B197" s="22" t="n">
        <v>2025</v>
      </c>
      <c r="C197" s="22" t="s">
        <v>192</v>
      </c>
      <c r="D197" s="23" t="n">
        <v>17231000000</v>
      </c>
      <c r="E197" s="22" t="s">
        <v>193</v>
      </c>
      <c r="F197" s="22" t="s">
        <v>245</v>
      </c>
      <c r="G197" s="22" t="s">
        <v>246</v>
      </c>
      <c r="H197" s="22" t="s">
        <v>146</v>
      </c>
      <c r="I197" s="22" t="s">
        <v>181</v>
      </c>
    </row>
    <row r="198" customFormat="false" ht="30" hidden="false" customHeight="true" outlineLevel="0" collapsed="false">
      <c r="A198" s="22" t="s">
        <v>158</v>
      </c>
      <c r="B198" s="22" t="n">
        <v>2025</v>
      </c>
      <c r="C198" s="22" t="s">
        <v>194</v>
      </c>
      <c r="D198" s="23" t="n">
        <v>-816000000</v>
      </c>
      <c r="E198" s="22" t="s">
        <v>195</v>
      </c>
      <c r="F198" s="22" t="s">
        <v>245</v>
      </c>
      <c r="G198" s="22" t="s">
        <v>246</v>
      </c>
      <c r="H198" s="22" t="s">
        <v>146</v>
      </c>
      <c r="I198" s="22" t="s">
        <v>189</v>
      </c>
    </row>
    <row r="199" customFormat="false" ht="30" hidden="false" customHeight="true" outlineLevel="0" collapsed="false">
      <c r="A199" s="22" t="s">
        <v>158</v>
      </c>
      <c r="B199" s="22" t="n">
        <v>2025</v>
      </c>
      <c r="C199" s="22" t="s">
        <v>196</v>
      </c>
      <c r="D199" s="23" t="n">
        <v>5834000000</v>
      </c>
      <c r="E199" s="22" t="s">
        <v>197</v>
      </c>
      <c r="F199" s="22" t="s">
        <v>245</v>
      </c>
      <c r="G199" s="22" t="s">
        <v>246</v>
      </c>
      <c r="H199" s="22" t="s">
        <v>146</v>
      </c>
      <c r="I199" s="22" t="s">
        <v>198</v>
      </c>
    </row>
    <row r="200" customFormat="false" ht="30" hidden="false" customHeight="true" outlineLevel="0" collapsed="false">
      <c r="A200" s="22" t="s">
        <v>158</v>
      </c>
      <c r="B200" s="22" t="n">
        <v>2025</v>
      </c>
      <c r="C200" s="22" t="s">
        <v>199</v>
      </c>
      <c r="D200" s="23" t="n">
        <v>14183000000</v>
      </c>
      <c r="E200" s="22" t="s">
        <v>200</v>
      </c>
      <c r="F200" s="22" t="s">
        <v>245</v>
      </c>
      <c r="G200" s="22" t="s">
        <v>246</v>
      </c>
      <c r="H200" s="22" t="s">
        <v>146</v>
      </c>
      <c r="I200" s="22" t="s">
        <v>181</v>
      </c>
    </row>
    <row r="201" customFormat="false" ht="30" hidden="false" customHeight="true" outlineLevel="0" collapsed="false">
      <c r="A201" s="22" t="s">
        <v>158</v>
      </c>
      <c r="B201" s="22" t="n">
        <v>2025</v>
      </c>
      <c r="C201" s="22" t="s">
        <v>201</v>
      </c>
      <c r="D201" s="23" t="n">
        <v>12187000000</v>
      </c>
      <c r="E201" s="22" t="s">
        <v>202</v>
      </c>
      <c r="F201" s="22" t="s">
        <v>245</v>
      </c>
      <c r="G201" s="22" t="s">
        <v>246</v>
      </c>
      <c r="H201" s="22" t="s">
        <v>146</v>
      </c>
      <c r="I201" s="22" t="s">
        <v>203</v>
      </c>
    </row>
    <row r="202" customFormat="false" ht="30" hidden="false" customHeight="true" outlineLevel="0" collapsed="false">
      <c r="A202" s="22" t="s">
        <v>158</v>
      </c>
      <c r="B202" s="22" t="n">
        <v>2025</v>
      </c>
      <c r="C202" s="22" t="s">
        <v>204</v>
      </c>
      <c r="D202" s="23" t="n">
        <v>1547000000</v>
      </c>
      <c r="E202" s="22" t="s">
        <v>205</v>
      </c>
      <c r="F202" s="22" t="s">
        <v>245</v>
      </c>
      <c r="G202" s="22" t="s">
        <v>246</v>
      </c>
      <c r="H202" s="22" t="s">
        <v>146</v>
      </c>
      <c r="I202" s="22" t="s">
        <v>203</v>
      </c>
    </row>
    <row r="203" customFormat="false" ht="30" hidden="false" customHeight="true" outlineLevel="0" collapsed="false">
      <c r="A203" s="22" t="s">
        <v>158</v>
      </c>
      <c r="B203" s="22" t="n">
        <v>2025</v>
      </c>
      <c r="C203" s="22" t="s">
        <v>206</v>
      </c>
      <c r="D203" s="23" t="n">
        <v>3703000000</v>
      </c>
      <c r="E203" s="22" t="s">
        <v>207</v>
      </c>
      <c r="F203" s="22" t="s">
        <v>245</v>
      </c>
      <c r="G203" s="22" t="s">
        <v>246</v>
      </c>
      <c r="H203" s="22" t="s">
        <v>146</v>
      </c>
      <c r="I203" s="22" t="s">
        <v>203</v>
      </c>
    </row>
    <row r="204" customFormat="false" ht="30" hidden="false" customHeight="true" outlineLevel="0" collapsed="false">
      <c r="A204" s="22" t="s">
        <v>158</v>
      </c>
      <c r="B204" s="22" t="n">
        <v>2025</v>
      </c>
      <c r="C204" s="22" t="s">
        <v>208</v>
      </c>
      <c r="D204" s="23" t="n">
        <v>14704000</v>
      </c>
      <c r="E204" s="22" t="s">
        <v>209</v>
      </c>
      <c r="F204" s="22" t="s">
        <v>245</v>
      </c>
      <c r="G204" s="22" t="s">
        <v>246</v>
      </c>
      <c r="H204" s="22" t="s">
        <v>161</v>
      </c>
      <c r="I204" s="22" t="s">
        <v>216</v>
      </c>
    </row>
    <row r="205" customFormat="false" ht="30" hidden="false" customHeight="true" outlineLevel="0" collapsed="false">
      <c r="A205" s="22" t="s">
        <v>158</v>
      </c>
      <c r="B205" s="22" t="n">
        <v>2025</v>
      </c>
      <c r="C205" s="22" t="s">
        <v>210</v>
      </c>
      <c r="D205" s="23" t="n">
        <v>10406000</v>
      </c>
      <c r="E205" s="22" t="s">
        <v>211</v>
      </c>
      <c r="F205" s="22" t="s">
        <v>245</v>
      </c>
      <c r="G205" s="22" t="s">
        <v>246</v>
      </c>
      <c r="H205" s="22" t="s">
        <v>161</v>
      </c>
      <c r="I205" s="22" t="s">
        <v>216</v>
      </c>
    </row>
    <row r="206" customFormat="false" ht="30" hidden="false" customHeight="true" outlineLevel="0" collapsed="false">
      <c r="A206" s="22" t="s">
        <v>158</v>
      </c>
      <c r="B206" s="22" t="n">
        <v>2025</v>
      </c>
      <c r="C206" s="22" t="s">
        <v>212</v>
      </c>
      <c r="D206" s="23" t="n">
        <v>729000</v>
      </c>
      <c r="E206" s="22" t="s">
        <v>213</v>
      </c>
      <c r="F206" s="22" t="s">
        <v>245</v>
      </c>
      <c r="G206" s="22" t="s">
        <v>246</v>
      </c>
      <c r="H206" s="22" t="s">
        <v>161</v>
      </c>
      <c r="I206" s="22" t="s">
        <v>216</v>
      </c>
    </row>
    <row r="207" customFormat="false" ht="30" hidden="false" customHeight="true" outlineLevel="0" collapsed="false">
      <c r="A207" s="22" t="s">
        <v>158</v>
      </c>
      <c r="B207" s="22" t="n">
        <v>2025</v>
      </c>
      <c r="C207" s="22" t="s">
        <v>214</v>
      </c>
      <c r="D207" s="23" t="n">
        <v>1075000</v>
      </c>
      <c r="E207" s="22" t="s">
        <v>215</v>
      </c>
      <c r="F207" s="22" t="s">
        <v>245</v>
      </c>
      <c r="G207" s="22" t="s">
        <v>246</v>
      </c>
      <c r="H207" s="22" t="s">
        <v>161</v>
      </c>
      <c r="I207" s="22" t="s">
        <v>216</v>
      </c>
    </row>
    <row r="208" customFormat="false" ht="30" hidden="false" customHeight="true" outlineLevel="0" collapsed="false">
      <c r="A208" s="22" t="s">
        <v>158</v>
      </c>
      <c r="B208" s="22" t="n">
        <v>2025</v>
      </c>
      <c r="C208" s="22" t="s">
        <v>217</v>
      </c>
      <c r="D208" s="23" t="n">
        <v>4379000000</v>
      </c>
      <c r="E208" s="22" t="s">
        <v>218</v>
      </c>
      <c r="F208" s="22" t="s">
        <v>245</v>
      </c>
      <c r="G208" s="22" t="s">
        <v>246</v>
      </c>
      <c r="H208" s="22" t="s">
        <v>146</v>
      </c>
      <c r="I208" s="22" t="s">
        <v>219</v>
      </c>
    </row>
    <row r="209" customFormat="false" ht="30" hidden="false" customHeight="true" outlineLevel="0" collapsed="false">
      <c r="A209" s="22" t="s">
        <v>158</v>
      </c>
      <c r="B209" s="22" t="n">
        <v>2025</v>
      </c>
      <c r="C209" s="22" t="s">
        <v>220</v>
      </c>
      <c r="D209" s="23" t="n">
        <v>145000000</v>
      </c>
      <c r="E209" s="22" t="s">
        <v>221</v>
      </c>
      <c r="F209" s="22" t="s">
        <v>245</v>
      </c>
      <c r="G209" s="22" t="s">
        <v>246</v>
      </c>
      <c r="H209" s="22" t="s">
        <v>146</v>
      </c>
      <c r="I209" s="22" t="s">
        <v>219</v>
      </c>
    </row>
    <row r="210" customFormat="false" ht="30" hidden="false" customHeight="true" outlineLevel="0" collapsed="false">
      <c r="A210" s="22" t="s">
        <v>158</v>
      </c>
      <c r="B210" s="22" t="n">
        <v>2025</v>
      </c>
      <c r="C210" s="22" t="s">
        <v>222</v>
      </c>
      <c r="D210" s="23" t="n">
        <v>120896000000</v>
      </c>
      <c r="E210" s="22" t="s">
        <v>223</v>
      </c>
      <c r="F210" s="22" t="s">
        <v>245</v>
      </c>
      <c r="G210" s="22" t="s">
        <v>246</v>
      </c>
      <c r="H210" s="22" t="s">
        <v>146</v>
      </c>
      <c r="I210" s="22" t="s">
        <v>181</v>
      </c>
    </row>
    <row r="211" customFormat="false" ht="30" hidden="false" customHeight="true" outlineLevel="0" collapsed="false">
      <c r="A211" s="22" t="s">
        <v>158</v>
      </c>
      <c r="B211" s="22" t="n">
        <v>2025</v>
      </c>
      <c r="C211" s="22" t="s">
        <v>224</v>
      </c>
      <c r="D211" s="23" t="n">
        <v>27927000000</v>
      </c>
      <c r="E211" s="22" t="s">
        <v>225</v>
      </c>
      <c r="F211" s="22" t="s">
        <v>245</v>
      </c>
      <c r="G211" s="22" t="s">
        <v>246</v>
      </c>
      <c r="H211" s="22" t="s">
        <v>146</v>
      </c>
      <c r="I211" s="22" t="s">
        <v>189</v>
      </c>
    </row>
    <row r="212" customFormat="false" ht="30" hidden="false" customHeight="true" outlineLevel="0" collapsed="false">
      <c r="A212" s="22" t="s">
        <v>158</v>
      </c>
      <c r="B212" s="22" t="n">
        <v>2025</v>
      </c>
      <c r="C212" s="22" t="s">
        <v>226</v>
      </c>
      <c r="D212" s="23" t="n">
        <v>125648000000</v>
      </c>
      <c r="E212" s="22" t="s">
        <v>227</v>
      </c>
      <c r="F212" s="22" t="s">
        <v>245</v>
      </c>
      <c r="G212" s="22" t="s">
        <v>246</v>
      </c>
      <c r="H212" s="22" t="s">
        <v>228</v>
      </c>
      <c r="I212" s="22" t="s">
        <v>229</v>
      </c>
    </row>
    <row r="213" customFormat="false" ht="30" hidden="false" customHeight="true" outlineLevel="0" collapsed="false">
      <c r="A213" s="22" t="s">
        <v>158</v>
      </c>
      <c r="B213" s="22" t="n">
        <v>2025</v>
      </c>
      <c r="C213" s="22" t="s">
        <v>230</v>
      </c>
      <c r="D213" s="23" t="n">
        <v>24162000000</v>
      </c>
      <c r="E213" s="22" t="s">
        <v>231</v>
      </c>
      <c r="F213" s="22" t="s">
        <v>245</v>
      </c>
      <c r="G213" s="22" t="s">
        <v>246</v>
      </c>
      <c r="H213" s="22" t="s">
        <v>228</v>
      </c>
      <c r="I213" s="22" t="s">
        <v>229</v>
      </c>
    </row>
    <row r="214" customFormat="false" ht="30" hidden="false" customHeight="true" outlineLevel="0" collapsed="false">
      <c r="A214" s="22" t="s">
        <v>141</v>
      </c>
      <c r="B214" s="22" t="n">
        <v>2025</v>
      </c>
      <c r="C214" s="22" t="s">
        <v>232</v>
      </c>
      <c r="D214" s="23" t="n">
        <v>0.134076350575777</v>
      </c>
      <c r="E214" s="22" t="s">
        <v>233</v>
      </c>
      <c r="F214" s="22" t="s">
        <v>245</v>
      </c>
      <c r="G214" s="22" t="s">
        <v>246</v>
      </c>
      <c r="H214" s="22" t="s">
        <v>228</v>
      </c>
      <c r="I214" s="22" t="s">
        <v>229</v>
      </c>
    </row>
    <row r="215" customFormat="false" ht="30" hidden="false" customHeight="true" outlineLevel="0" collapsed="false">
      <c r="A215" s="22" t="s">
        <v>141</v>
      </c>
      <c r="B215" s="22" t="n">
        <v>2025</v>
      </c>
      <c r="C215" s="22" t="s">
        <v>232</v>
      </c>
      <c r="D215" s="23" t="n">
        <v>0.134076350575777</v>
      </c>
      <c r="E215" s="22" t="s">
        <v>234</v>
      </c>
      <c r="F215" s="22" t="s">
        <v>245</v>
      </c>
      <c r="G215" s="22" t="s">
        <v>246</v>
      </c>
      <c r="H215" s="22" t="s">
        <v>228</v>
      </c>
      <c r="I215" s="22" t="s">
        <v>229</v>
      </c>
    </row>
    <row r="216" customFormat="false" ht="30" hidden="false" customHeight="true" outlineLevel="0" collapsed="false">
      <c r="A216" s="22" t="s">
        <v>158</v>
      </c>
      <c r="B216" s="22" t="n">
        <v>2025</v>
      </c>
      <c r="C216" s="22" t="s">
        <v>235</v>
      </c>
      <c r="D216" s="23" t="n">
        <v>20886000000</v>
      </c>
      <c r="E216" s="22" t="s">
        <v>236</v>
      </c>
      <c r="F216" s="22" t="s">
        <v>245</v>
      </c>
      <c r="G216" s="22" t="s">
        <v>246</v>
      </c>
      <c r="H216" s="22" t="s">
        <v>228</v>
      </c>
      <c r="I216" s="22" t="s">
        <v>239</v>
      </c>
    </row>
    <row r="217" customFormat="false" ht="30" hidden="false" customHeight="true" outlineLevel="0" collapsed="false">
      <c r="A217" s="22" t="s">
        <v>141</v>
      </c>
      <c r="B217" s="22" t="n">
        <v>2025</v>
      </c>
      <c r="C217" s="22" t="s">
        <v>240</v>
      </c>
      <c r="D217" s="23" t="n">
        <v>20842000000</v>
      </c>
      <c r="E217" s="22" t="s">
        <v>143</v>
      </c>
      <c r="F217" s="22" t="s">
        <v>245</v>
      </c>
      <c r="G217" s="22" t="s">
        <v>246</v>
      </c>
      <c r="H217" s="22" t="s">
        <v>146</v>
      </c>
      <c r="I217" s="22" t="s">
        <v>147</v>
      </c>
    </row>
    <row r="218" customFormat="false" ht="30" hidden="false" customHeight="true" outlineLevel="0" collapsed="false">
      <c r="A218" s="22" t="s">
        <v>141</v>
      </c>
      <c r="B218" s="22" t="n">
        <v>2025</v>
      </c>
      <c r="C218" s="22" t="s">
        <v>241</v>
      </c>
      <c r="D218" s="24" t="n">
        <v>-20842</v>
      </c>
      <c r="E218" s="22" t="s">
        <v>149</v>
      </c>
      <c r="F218" s="22" t="s">
        <v>245</v>
      </c>
      <c r="G218" s="22" t="s">
        <v>246</v>
      </c>
      <c r="H218" s="22" t="s">
        <v>146</v>
      </c>
      <c r="I218" s="22" t="s">
        <v>147</v>
      </c>
    </row>
    <row r="219" customFormat="false" ht="30" hidden="false" customHeight="true" outlineLevel="0" collapsed="false">
      <c r="A219" s="22" t="s">
        <v>141</v>
      </c>
      <c r="B219" s="22" t="n">
        <v>2025</v>
      </c>
      <c r="C219" s="22" t="s">
        <v>242</v>
      </c>
      <c r="D219" s="23" t="n">
        <v>1986000000</v>
      </c>
      <c r="E219" s="22" t="s">
        <v>152</v>
      </c>
      <c r="F219" s="22" t="s">
        <v>245</v>
      </c>
      <c r="G219" s="22" t="s">
        <v>246</v>
      </c>
      <c r="H219" s="22" t="s">
        <v>146</v>
      </c>
      <c r="I219" s="22" t="s">
        <v>263</v>
      </c>
    </row>
    <row r="220" customFormat="false" ht="30" hidden="false" customHeight="true" outlineLevel="0" collapsed="false">
      <c r="A220" s="22" t="s">
        <v>141</v>
      </c>
      <c r="B220" s="22" t="n">
        <v>2025</v>
      </c>
      <c r="C220" s="22" t="s">
        <v>279</v>
      </c>
      <c r="D220" s="24" t="n">
        <v>-1526</v>
      </c>
      <c r="E220" s="22" t="s">
        <v>265</v>
      </c>
      <c r="F220" s="22" t="s">
        <v>245</v>
      </c>
      <c r="G220" s="22" t="s">
        <v>246</v>
      </c>
      <c r="H220" s="22" t="s">
        <v>146</v>
      </c>
      <c r="I220" s="22" t="s">
        <v>266</v>
      </c>
    </row>
    <row r="221" customFormat="false" ht="30" hidden="false" customHeight="true" outlineLevel="0" collapsed="false">
      <c r="A221" s="22" t="s">
        <v>141</v>
      </c>
      <c r="B221" s="22" t="n">
        <v>2025</v>
      </c>
      <c r="C221" s="22" t="s">
        <v>279</v>
      </c>
      <c r="D221" s="24" t="n">
        <v>324</v>
      </c>
      <c r="E221" s="22" t="s">
        <v>267</v>
      </c>
      <c r="F221" s="22" t="s">
        <v>245</v>
      </c>
      <c r="G221" s="22" t="s">
        <v>246</v>
      </c>
      <c r="H221" s="22" t="s">
        <v>146</v>
      </c>
      <c r="I221" s="22" t="s">
        <v>268</v>
      </c>
    </row>
    <row r="222" customFormat="false" ht="30" hidden="false" customHeight="true" outlineLevel="0" collapsed="false">
      <c r="A222" s="22" t="s">
        <v>141</v>
      </c>
      <c r="B222" s="22" t="n">
        <v>2025</v>
      </c>
      <c r="C222" s="22" t="s">
        <v>279</v>
      </c>
      <c r="D222" s="24" t="n">
        <v>-1208</v>
      </c>
      <c r="E222" s="22" t="s">
        <v>269</v>
      </c>
      <c r="F222" s="22" t="s">
        <v>245</v>
      </c>
      <c r="G222" s="22" t="s">
        <v>246</v>
      </c>
      <c r="H222" s="22" t="s">
        <v>146</v>
      </c>
      <c r="I222" s="22" t="s">
        <v>270</v>
      </c>
    </row>
    <row r="223" customFormat="false" ht="30" hidden="false" customHeight="true" outlineLevel="0" collapsed="false">
      <c r="A223" s="22" t="s">
        <v>141</v>
      </c>
      <c r="B223" s="22" t="n">
        <v>2025</v>
      </c>
      <c r="C223" s="22" t="s">
        <v>279</v>
      </c>
      <c r="D223" s="24" t="n">
        <v>-460</v>
      </c>
      <c r="E223" s="22" t="s">
        <v>271</v>
      </c>
      <c r="F223" s="22" t="s">
        <v>245</v>
      </c>
      <c r="G223" s="22" t="s">
        <v>246</v>
      </c>
      <c r="H223" s="22" t="s">
        <v>146</v>
      </c>
      <c r="I223" s="22" t="s">
        <v>272</v>
      </c>
    </row>
    <row r="224" customFormat="false" ht="30" hidden="false" customHeight="true" outlineLevel="0" collapsed="false">
      <c r="A224" s="22" t="s">
        <v>141</v>
      </c>
      <c r="B224" s="22" t="n">
        <v>2025</v>
      </c>
      <c r="C224" s="22" t="s">
        <v>279</v>
      </c>
      <c r="D224" s="24" t="n">
        <v>884</v>
      </c>
      <c r="E224" s="22" t="s">
        <v>273</v>
      </c>
      <c r="F224" s="22" t="s">
        <v>245</v>
      </c>
      <c r="G224" s="22" t="s">
        <v>246</v>
      </c>
      <c r="H224" s="22" t="s">
        <v>146</v>
      </c>
      <c r="I224" s="22" t="s">
        <v>274</v>
      </c>
    </row>
    <row r="225" customFormat="false" ht="30" hidden="false" customHeight="true" outlineLevel="0" collapsed="false">
      <c r="A225" s="22" t="s">
        <v>158</v>
      </c>
      <c r="B225" s="22" t="n">
        <v>2025</v>
      </c>
      <c r="C225" s="22" t="s">
        <v>243</v>
      </c>
      <c r="D225" s="23" t="n">
        <v>18234000000</v>
      </c>
      <c r="E225" s="22" t="s">
        <v>244</v>
      </c>
      <c r="F225" s="22" t="s">
        <v>245</v>
      </c>
      <c r="G225" s="22" t="s">
        <v>246</v>
      </c>
      <c r="H225" s="22" t="s">
        <v>228</v>
      </c>
      <c r="I225" s="22" t="s">
        <v>247</v>
      </c>
    </row>
    <row r="226" customFormat="false" ht="30" hidden="false" customHeight="true" outlineLevel="0" collapsed="false">
      <c r="A226" s="22" t="s">
        <v>248</v>
      </c>
      <c r="B226" s="22" t="n">
        <v>2025</v>
      </c>
      <c r="C226" s="22" t="s">
        <v>249</v>
      </c>
      <c r="D226" s="23"/>
      <c r="E226" s="22" t="s">
        <v>250</v>
      </c>
      <c r="F226" s="22" t="s">
        <v>245</v>
      </c>
      <c r="G226" s="22" t="s">
        <v>246</v>
      </c>
      <c r="H226" s="22" t="s">
        <v>228</v>
      </c>
      <c r="I226" s="22" t="s">
        <v>251</v>
      </c>
    </row>
    <row r="227" customFormat="false" ht="30" hidden="false" customHeight="true" outlineLevel="0" collapsed="false">
      <c r="A227" s="22" t="s">
        <v>248</v>
      </c>
      <c r="B227" s="22" t="n">
        <v>2025</v>
      </c>
      <c r="C227" s="22" t="s">
        <v>249</v>
      </c>
      <c r="D227" s="23"/>
      <c r="E227" s="22" t="s">
        <v>252</v>
      </c>
      <c r="F227" s="22" t="s">
        <v>245</v>
      </c>
      <c r="G227" s="22" t="s">
        <v>246</v>
      </c>
      <c r="H227" s="22" t="s">
        <v>228</v>
      </c>
      <c r="I227" s="22" t="s">
        <v>251</v>
      </c>
    </row>
    <row r="228" customFormat="false" ht="30" hidden="false" customHeight="true" outlineLevel="0" collapsed="false">
      <c r="A228" s="22" t="s">
        <v>158</v>
      </c>
      <c r="B228" s="22" t="n">
        <v>2025</v>
      </c>
      <c r="C228" s="22" t="s">
        <v>253</v>
      </c>
      <c r="D228" s="23" t="n">
        <v>136100000000</v>
      </c>
      <c r="E228" s="22" t="s">
        <v>155</v>
      </c>
      <c r="F228" s="22" t="s">
        <v>245</v>
      </c>
      <c r="G228" s="22" t="s">
        <v>246</v>
      </c>
      <c r="H228" s="22" t="s">
        <v>146</v>
      </c>
      <c r="I228" s="22" t="s">
        <v>275</v>
      </c>
    </row>
    <row r="229" customFormat="false" ht="30" hidden="false" customHeight="true" outlineLevel="0" collapsed="false">
      <c r="A229" s="22" t="s">
        <v>158</v>
      </c>
      <c r="B229" s="22" t="n">
        <v>2025</v>
      </c>
      <c r="C229" s="22" t="s">
        <v>254</v>
      </c>
      <c r="D229" s="23" t="n">
        <v>15958000000</v>
      </c>
      <c r="E229" s="22" t="s">
        <v>255</v>
      </c>
      <c r="F229" s="22" t="s">
        <v>245</v>
      </c>
      <c r="G229" s="22" t="s">
        <v>246</v>
      </c>
      <c r="H229" s="22" t="s">
        <v>228</v>
      </c>
      <c r="I229" s="22" t="s">
        <v>247</v>
      </c>
    </row>
    <row r="230" customFormat="false" ht="30" hidden="false" customHeight="true" outlineLevel="0" collapsed="false">
      <c r="A230" s="22" t="s">
        <v>248</v>
      </c>
      <c r="B230" s="22" t="n">
        <v>2025</v>
      </c>
      <c r="C230" s="22" t="s">
        <v>258</v>
      </c>
      <c r="D230" s="23"/>
      <c r="E230" s="22" t="s">
        <v>259</v>
      </c>
      <c r="F230" s="22" t="s">
        <v>245</v>
      </c>
      <c r="G230" s="22" t="s">
        <v>246</v>
      </c>
      <c r="H230" s="22" t="s">
        <v>228</v>
      </c>
      <c r="I230" s="22" t="s">
        <v>251</v>
      </c>
    </row>
    <row r="231" customFormat="false" ht="30" hidden="false" customHeight="true" outlineLevel="0" collapsed="false">
      <c r="A231" s="22" t="s">
        <v>158</v>
      </c>
      <c r="B231" s="22" t="n">
        <v>2025</v>
      </c>
      <c r="C231" s="22" t="s">
        <v>260</v>
      </c>
      <c r="D231" s="22" t="n">
        <v>7179000000</v>
      </c>
      <c r="E231" s="22" t="s">
        <v>261</v>
      </c>
      <c r="F231" s="22" t="s">
        <v>245</v>
      </c>
      <c r="G231" s="22" t="s">
        <v>246</v>
      </c>
      <c r="H231" s="22" t="s">
        <v>262</v>
      </c>
      <c r="I231" s="22" t="s">
        <v>251</v>
      </c>
    </row>
    <row r="232" customFormat="false" ht="15" hidden="false" customHeight="fals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</row>
    <row r="233" customFormat="false" ht="15" hidden="false" customHeight="true" outlineLevel="0" collapsed="false">
      <c r="A233" s="26" t="s">
        <v>280</v>
      </c>
      <c r="B233" s="26"/>
      <c r="C233" s="26"/>
      <c r="D233" s="26"/>
      <c r="E233" s="26"/>
      <c r="F233" s="26"/>
      <c r="G233" s="26"/>
      <c r="H233" s="26"/>
      <c r="I233" s="26"/>
    </row>
    <row r="234" customFormat="false" ht="54" hidden="false" customHeight="true" outlineLevel="0" collapsed="false">
      <c r="A234" s="22" t="s">
        <v>281</v>
      </c>
      <c r="B234" s="22"/>
      <c r="C234" s="22" t="s">
        <v>282</v>
      </c>
      <c r="D234" s="25" t="n">
        <v>0.123417417667682</v>
      </c>
      <c r="E234" s="22"/>
      <c r="F234" s="22"/>
      <c r="G234" s="22"/>
      <c r="H234" s="22"/>
      <c r="I234" s="22" t="s">
        <v>283</v>
      </c>
    </row>
    <row r="235" customFormat="false" ht="18" hidden="false" customHeight="true" outlineLevel="0" collapsed="false">
      <c r="A235" s="22" t="s">
        <v>281</v>
      </c>
      <c r="B235" s="22"/>
      <c r="C235" s="22" t="s">
        <v>284</v>
      </c>
      <c r="D235" s="25" t="n">
        <v>0.0081</v>
      </c>
      <c r="E235" s="22"/>
      <c r="F235" s="22"/>
      <c r="G235" s="22"/>
      <c r="H235" s="22"/>
      <c r="I235" s="22" t="s">
        <v>285</v>
      </c>
    </row>
    <row r="236" customFormat="false" ht="36" hidden="false" customHeight="true" outlineLevel="0" collapsed="false">
      <c r="A236" s="22" t="s">
        <v>281</v>
      </c>
      <c r="B236" s="22"/>
      <c r="C236" s="22" t="s">
        <v>286</v>
      </c>
      <c r="D236" s="25" t="n">
        <v>0.0553034248443816</v>
      </c>
      <c r="E236" s="22"/>
      <c r="F236" s="22"/>
      <c r="G236" s="22"/>
      <c r="H236" s="22"/>
      <c r="I236" s="22" t="s">
        <v>287</v>
      </c>
    </row>
    <row r="237" customFormat="false" ht="36" hidden="false" customHeight="true" outlineLevel="0" collapsed="false">
      <c r="A237" s="22" t="s">
        <v>281</v>
      </c>
      <c r="B237" s="22"/>
      <c r="C237" s="22" t="s">
        <v>288</v>
      </c>
      <c r="D237" s="25" t="n">
        <v>0.00142299326189194</v>
      </c>
      <c r="E237" s="22"/>
      <c r="F237" s="22"/>
      <c r="G237" s="22"/>
      <c r="H237" s="22"/>
      <c r="I237" s="22" t="s">
        <v>289</v>
      </c>
    </row>
    <row r="238" customFormat="false" ht="36" hidden="false" customHeight="true" outlineLevel="0" collapsed="false">
      <c r="A238" s="22" t="s">
        <v>281</v>
      </c>
      <c r="B238" s="22"/>
      <c r="C238" s="22" t="s">
        <v>290</v>
      </c>
      <c r="D238" s="25" t="n">
        <v>0.00243562016487431</v>
      </c>
      <c r="E238" s="22"/>
      <c r="F238" s="22"/>
      <c r="G238" s="22"/>
      <c r="H238" s="22"/>
      <c r="I238" s="22" t="s">
        <v>291</v>
      </c>
    </row>
    <row r="239" customFormat="false" ht="36" hidden="false" customHeight="true" outlineLevel="0" collapsed="false">
      <c r="A239" s="22" t="s">
        <v>281</v>
      </c>
      <c r="B239" s="22"/>
      <c r="C239" s="22" t="s">
        <v>292</v>
      </c>
      <c r="D239" s="25" t="n">
        <v>0.0354560814701547</v>
      </c>
      <c r="E239" s="22"/>
      <c r="F239" s="22"/>
      <c r="G239" s="22"/>
      <c r="H239" s="22"/>
      <c r="I239" s="22" t="s">
        <v>293</v>
      </c>
    </row>
    <row r="240" customFormat="false" ht="54" hidden="false" customHeight="true" outlineLevel="0" collapsed="false">
      <c r="A240" s="22" t="s">
        <v>281</v>
      </c>
      <c r="B240" s="22"/>
      <c r="C240" s="22" t="s">
        <v>294</v>
      </c>
      <c r="D240" s="25" t="n">
        <v>0.0500224612085471</v>
      </c>
      <c r="E240" s="22"/>
      <c r="F240" s="22"/>
      <c r="G240" s="22"/>
      <c r="H240" s="22"/>
      <c r="I240" s="22" t="s">
        <v>295</v>
      </c>
    </row>
    <row r="241" customFormat="false" ht="18" hidden="false" customHeight="true" outlineLevel="0" collapsed="false">
      <c r="A241" s="22" t="s">
        <v>281</v>
      </c>
      <c r="B241" s="22"/>
      <c r="C241" s="22" t="s">
        <v>296</v>
      </c>
      <c r="D241" s="25" t="n">
        <v>-0.142944534946573</v>
      </c>
      <c r="E241" s="22"/>
      <c r="F241" s="22"/>
      <c r="G241" s="22"/>
      <c r="H241" s="22"/>
      <c r="I241" s="22" t="s">
        <v>297</v>
      </c>
    </row>
    <row r="242" customFormat="false" ht="18" hidden="false" customHeight="true" outlineLevel="0" collapsed="false">
      <c r="A242" s="22" t="s">
        <v>281</v>
      </c>
      <c r="B242" s="22"/>
      <c r="C242" s="22" t="s">
        <v>298</v>
      </c>
      <c r="D242" s="25" t="n">
        <v>-0.0916095893482716</v>
      </c>
      <c r="E242" s="22"/>
      <c r="F242" s="22"/>
      <c r="G242" s="22"/>
      <c r="H242" s="22"/>
      <c r="I242" s="22" t="s">
        <v>299</v>
      </c>
    </row>
    <row r="243" customFormat="false" ht="18" hidden="false" customHeight="true" outlineLevel="0" collapsed="false">
      <c r="A243" s="22" t="s">
        <v>281</v>
      </c>
      <c r="B243" s="22"/>
      <c r="C243" s="22" t="s">
        <v>300</v>
      </c>
      <c r="D243" s="25" t="n">
        <v>0.055516199781926</v>
      </c>
      <c r="E243" s="22"/>
      <c r="F243" s="22"/>
      <c r="G243" s="22"/>
      <c r="H243" s="22"/>
      <c r="I243" s="22" t="s">
        <v>301</v>
      </c>
    </row>
    <row r="244" customFormat="false" ht="54" hidden="false" customHeight="true" outlineLevel="0" collapsed="false">
      <c r="A244" s="22" t="s">
        <v>281</v>
      </c>
      <c r="B244" s="22"/>
      <c r="C244" s="22" t="s">
        <v>302</v>
      </c>
      <c r="D244" s="25" t="n">
        <v>-0.0939395988715848</v>
      </c>
      <c r="E244" s="22"/>
      <c r="F244" s="22"/>
      <c r="G244" s="22"/>
      <c r="H244" s="22"/>
      <c r="I244" s="22" t="s">
        <v>303</v>
      </c>
    </row>
    <row r="245" customFormat="false" ht="36" hidden="false" customHeight="true" outlineLevel="0" collapsed="false">
      <c r="A245" s="22" t="s">
        <v>281</v>
      </c>
      <c r="B245" s="22"/>
      <c r="C245" s="22" t="s">
        <v>304</v>
      </c>
      <c r="D245" s="25" t="n">
        <v>0.307935033697697</v>
      </c>
      <c r="E245" s="22"/>
      <c r="F245" s="22"/>
      <c r="G245" s="22"/>
      <c r="H245" s="22"/>
      <c r="I245" s="22" t="s">
        <v>305</v>
      </c>
    </row>
    <row r="246" customFormat="false" ht="36" hidden="false" customHeight="true" outlineLevel="0" collapsed="false">
      <c r="A246" s="22" t="s">
        <v>281</v>
      </c>
      <c r="B246" s="22"/>
      <c r="C246" s="22" t="s">
        <v>306</v>
      </c>
      <c r="D246" s="25" t="n">
        <v>-0.00467612519262448</v>
      </c>
      <c r="E246" s="22"/>
      <c r="F246" s="22"/>
      <c r="G246" s="22"/>
      <c r="H246" s="22"/>
      <c r="I246" s="22" t="s">
        <v>307</v>
      </c>
    </row>
    <row r="247" customFormat="false" ht="36" hidden="false" customHeight="true" outlineLevel="0" collapsed="false">
      <c r="A247" s="22" t="s">
        <v>281</v>
      </c>
      <c r="B247" s="22"/>
      <c r="C247" s="22" t="s">
        <v>308</v>
      </c>
      <c r="D247" s="25" t="n">
        <v>0.064000589188393</v>
      </c>
      <c r="E247" s="22"/>
      <c r="F247" s="22"/>
      <c r="G247" s="22"/>
      <c r="H247" s="22"/>
      <c r="I247" s="22" t="s">
        <v>309</v>
      </c>
    </row>
    <row r="248" customFormat="false" ht="36" hidden="false" customHeight="true" outlineLevel="0" collapsed="false">
      <c r="A248" s="22" t="s">
        <v>281</v>
      </c>
      <c r="B248" s="22"/>
      <c r="C248" s="22" t="s">
        <v>310</v>
      </c>
      <c r="D248" s="25" t="n">
        <v>0.00945179584120983</v>
      </c>
      <c r="E248" s="22"/>
      <c r="F248" s="22"/>
      <c r="G248" s="22"/>
      <c r="H248" s="22"/>
      <c r="I248" s="22" t="s">
        <v>311</v>
      </c>
    </row>
    <row r="249" customFormat="false" ht="54" hidden="false" customHeight="true" outlineLevel="0" collapsed="false">
      <c r="A249" s="22" t="s">
        <v>281</v>
      </c>
      <c r="B249" s="22"/>
      <c r="C249" s="22" t="s">
        <v>312</v>
      </c>
      <c r="D249" s="25" t="n">
        <v>-0.0342977096742575</v>
      </c>
      <c r="E249" s="22"/>
      <c r="F249" s="22"/>
      <c r="G249" s="22"/>
      <c r="H249" s="22"/>
      <c r="I249" s="22" t="s">
        <v>313</v>
      </c>
    </row>
    <row r="250" customFormat="false" ht="18" hidden="false" customHeight="true" outlineLevel="0" collapsed="false">
      <c r="A250" s="22" t="s">
        <v>281</v>
      </c>
      <c r="B250" s="22"/>
      <c r="C250" s="22" t="s">
        <v>314</v>
      </c>
      <c r="D250" s="25" t="n">
        <v>0.212867795243853</v>
      </c>
      <c r="E250" s="22"/>
      <c r="F250" s="22"/>
      <c r="G250" s="22"/>
      <c r="H250" s="22"/>
      <c r="I250" s="22" t="s">
        <v>315</v>
      </c>
    </row>
    <row r="251" customFormat="false" ht="36" hidden="false" customHeight="true" outlineLevel="0" collapsed="false">
      <c r="A251" s="22" t="s">
        <v>281</v>
      </c>
      <c r="B251" s="22"/>
      <c r="C251" s="22" t="s">
        <v>316</v>
      </c>
      <c r="D251" s="25" t="n">
        <v>0.166226282949191</v>
      </c>
      <c r="E251" s="22"/>
      <c r="F251" s="22"/>
      <c r="G251" s="22"/>
      <c r="H251" s="22"/>
      <c r="I251" s="22" t="s">
        <v>317</v>
      </c>
    </row>
    <row r="252" customFormat="false" ht="36" hidden="false" customHeight="true" outlineLevel="0" collapsed="false">
      <c r="A252" s="22" t="s">
        <v>281</v>
      </c>
      <c r="B252" s="22"/>
      <c r="C252" s="22" t="s">
        <v>318</v>
      </c>
      <c r="D252" s="25" t="n">
        <v>0.16563399162961</v>
      </c>
      <c r="E252" s="22"/>
      <c r="F252" s="22"/>
      <c r="G252" s="22"/>
      <c r="H252" s="22"/>
      <c r="I252" s="22" t="s">
        <v>319</v>
      </c>
    </row>
    <row r="253" customFormat="false" ht="36" hidden="false" customHeight="true" outlineLevel="0" collapsed="false">
      <c r="A253" s="22" t="s">
        <v>281</v>
      </c>
      <c r="B253" s="22"/>
      <c r="C253" s="22" t="s">
        <v>320</v>
      </c>
      <c r="D253" s="25" t="n">
        <v>0.0158060613778174</v>
      </c>
      <c r="E253" s="22"/>
      <c r="F253" s="22"/>
      <c r="G253" s="22"/>
      <c r="H253" s="22"/>
      <c r="I253" s="22" t="s">
        <v>321</v>
      </c>
    </row>
    <row r="254" customFormat="false" ht="36" hidden="false" customHeight="true" outlineLevel="0" collapsed="false">
      <c r="A254" s="22" t="s">
        <v>281</v>
      </c>
      <c r="B254" s="22"/>
      <c r="C254" s="22" t="s">
        <v>322</v>
      </c>
      <c r="D254" s="25" t="n">
        <v>0.042</v>
      </c>
      <c r="E254" s="22"/>
      <c r="F254" s="22"/>
      <c r="G254" s="22"/>
      <c r="H254" s="22"/>
      <c r="I254" s="22" t="s">
        <v>323</v>
      </c>
    </row>
    <row r="255" customFormat="false" ht="36" hidden="false" customHeight="true" outlineLevel="0" collapsed="false">
      <c r="A255" s="22" t="s">
        <v>281</v>
      </c>
      <c r="B255" s="22"/>
      <c r="C255" s="22" t="s">
        <v>324</v>
      </c>
      <c r="D255" s="25" t="n">
        <v>0.0637878792529495</v>
      </c>
      <c r="E255" s="22"/>
      <c r="F255" s="22"/>
      <c r="G255" s="22"/>
      <c r="H255" s="22"/>
      <c r="I255" s="22" t="s">
        <v>325</v>
      </c>
    </row>
    <row r="256" customFormat="false" ht="18" hidden="false" customHeight="true" outlineLevel="0" collapsed="false">
      <c r="A256" s="22" t="s">
        <v>281</v>
      </c>
      <c r="B256" s="22"/>
      <c r="C256" s="22" t="s">
        <v>326</v>
      </c>
      <c r="D256" s="25" t="n">
        <v>0.025</v>
      </c>
      <c r="E256" s="22"/>
      <c r="F256" s="22"/>
      <c r="G256" s="22"/>
      <c r="H256" s="22"/>
      <c r="I256" s="22" t="s">
        <v>327</v>
      </c>
    </row>
    <row r="257" customFormat="false" ht="15" hidden="false" customHeight="true" outlineLevel="0" collapsed="false">
      <c r="A257" s="26" t="s">
        <v>328</v>
      </c>
      <c r="B257" s="26"/>
      <c r="C257" s="26"/>
      <c r="D257" s="26"/>
      <c r="E257" s="26"/>
      <c r="F257" s="26"/>
      <c r="G257" s="26"/>
      <c r="H257" s="26"/>
      <c r="I257" s="26"/>
    </row>
    <row r="258" customFormat="false" ht="30" hidden="false" customHeight="true" outlineLevel="0" collapsed="false">
      <c r="A258" s="22" t="s">
        <v>329</v>
      </c>
      <c r="B258" s="22"/>
      <c r="C258" s="27" t="s">
        <v>330</v>
      </c>
      <c r="D258" s="27"/>
      <c r="E258" s="27"/>
      <c r="F258" s="27"/>
      <c r="G258" s="27"/>
      <c r="H258" s="27"/>
      <c r="I258" s="27"/>
    </row>
    <row r="259" customFormat="false" ht="30" hidden="false" customHeight="true" outlineLevel="0" collapsed="false">
      <c r="A259" s="22" t="s">
        <v>329</v>
      </c>
      <c r="B259" s="22"/>
      <c r="C259" s="27" t="s">
        <v>331</v>
      </c>
      <c r="D259" s="27"/>
      <c r="E259" s="27"/>
      <c r="F259" s="27"/>
      <c r="G259" s="27"/>
      <c r="H259" s="27"/>
      <c r="I259" s="27"/>
    </row>
    <row r="260" customFormat="false" ht="30" hidden="false" customHeight="true" outlineLevel="0" collapsed="false">
      <c r="A260" s="22" t="s">
        <v>329</v>
      </c>
      <c r="B260" s="22"/>
      <c r="C260" s="27" t="s">
        <v>332</v>
      </c>
      <c r="D260" s="27"/>
      <c r="E260" s="27"/>
      <c r="F260" s="27"/>
      <c r="G260" s="27"/>
      <c r="H260" s="27"/>
      <c r="I260" s="27"/>
    </row>
    <row r="261" customFormat="false" ht="30" hidden="false" customHeight="true" outlineLevel="0" collapsed="false">
      <c r="A261" s="22" t="s">
        <v>329</v>
      </c>
      <c r="B261" s="22"/>
      <c r="C261" s="27" t="s">
        <v>333</v>
      </c>
      <c r="D261" s="27"/>
      <c r="E261" s="27"/>
      <c r="F261" s="27"/>
      <c r="G261" s="27"/>
      <c r="H261" s="27"/>
      <c r="I261" s="27"/>
    </row>
    <row r="262" customFormat="false" ht="30" hidden="false" customHeight="true" outlineLevel="0" collapsed="false">
      <c r="A262" s="22" t="s">
        <v>329</v>
      </c>
      <c r="B262" s="22"/>
      <c r="C262" s="27" t="s">
        <v>334</v>
      </c>
      <c r="D262" s="27"/>
      <c r="E262" s="27"/>
      <c r="F262" s="27"/>
      <c r="G262" s="27"/>
      <c r="H262" s="27"/>
      <c r="I262" s="27"/>
    </row>
    <row r="263" customFormat="false" ht="30" hidden="false" customHeight="true" outlineLevel="0" collapsed="false">
      <c r="A263" s="22" t="s">
        <v>329</v>
      </c>
      <c r="B263" s="22"/>
      <c r="C263" s="27" t="s">
        <v>335</v>
      </c>
      <c r="D263" s="27"/>
      <c r="E263" s="27"/>
      <c r="F263" s="27"/>
      <c r="G263" s="27"/>
      <c r="H263" s="27"/>
      <c r="I263" s="27"/>
    </row>
    <row r="264" customFormat="false" ht="30" hidden="false" customHeight="true" outlineLevel="0" collapsed="false">
      <c r="A264" s="22" t="s">
        <v>329</v>
      </c>
      <c r="B264" s="22"/>
      <c r="C264" s="27" t="s">
        <v>336</v>
      </c>
      <c r="D264" s="27"/>
      <c r="E264" s="27"/>
      <c r="F264" s="27"/>
      <c r="G264" s="27"/>
      <c r="H264" s="27"/>
      <c r="I264" s="27"/>
    </row>
    <row r="265" customFormat="false" ht="30" hidden="false" customHeight="true" outlineLevel="0" collapsed="false">
      <c r="A265" s="22" t="s">
        <v>329</v>
      </c>
      <c r="B265" s="22"/>
      <c r="C265" s="27" t="s">
        <v>337</v>
      </c>
      <c r="D265" s="27"/>
      <c r="E265" s="27"/>
      <c r="F265" s="27"/>
      <c r="G265" s="27"/>
      <c r="H265" s="27"/>
      <c r="I265" s="27"/>
    </row>
    <row r="266" customFormat="false" ht="30" hidden="false" customHeight="true" outlineLevel="0" collapsed="false">
      <c r="A266" s="22" t="s">
        <v>329</v>
      </c>
      <c r="B266" s="22"/>
      <c r="C266" s="27" t="s">
        <v>338</v>
      </c>
      <c r="D266" s="27"/>
      <c r="E266" s="27"/>
      <c r="F266" s="27"/>
      <c r="G266" s="27"/>
      <c r="H266" s="27"/>
      <c r="I266" s="27"/>
    </row>
  </sheetData>
  <autoFilter ref="A5:I266"/>
  <mergeCells count="13">
    <mergeCell ref="A1:I1"/>
    <mergeCell ref="A2:I2"/>
    <mergeCell ref="A233:I233"/>
    <mergeCell ref="A257:I257"/>
    <mergeCell ref="C258:I258"/>
    <mergeCell ref="C259:I259"/>
    <mergeCell ref="C260:I260"/>
    <mergeCell ref="C261:I261"/>
    <mergeCell ref="C262:I262"/>
    <mergeCell ref="C263:I263"/>
    <mergeCell ref="C264:I264"/>
    <mergeCell ref="C265:I265"/>
    <mergeCell ref="C266:I2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2026-10-03T22:05:21Z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