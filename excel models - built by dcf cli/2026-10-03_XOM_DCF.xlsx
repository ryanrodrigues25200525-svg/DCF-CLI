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tegrated Energy Model" sheetId="1" state="visible" r:id="rId3"/>
    <sheet name="Data Review" sheetId="2" state="visible" r:id="rId4"/>
  </sheets>
  <definedNames>
    <definedName function="false" hidden="true" localSheetId="1" name="_xlnm._FilterDatabase" vbProcedure="false">'Data Review'!$A$1:$O$205</definedName>
    <definedName function="false" hidden="false" localSheetId="0" name="_xlnm.Print_Area" vbProcedure="false">'Integrated Energy Model'!$A$1:$M$107</definedName>
    <definedName function="false" hidden="false" localSheetId="0" name="_xlnm.Print_Titles" vbProcedure="false">'Integrated Energy Model'!$1:$4</definedName>
    <definedName function="false" hidden="true" localSheetId="0" name="_xlnm._FilterDatabase" vbProcedure="false">'Integrated Energy Model'!$A$4:$I$58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<sst xmlns="http://schemas.openxmlformats.org/spreadsheetml/2006/main" count="2407" uniqueCount="418">
  <si>
    <t xml:space="preserve">EXXON MOBIL CORP (XOM) — Integrated Energy FCFF DCF</t>
  </si>
  <si>
    <t xml:space="preserve">Filed actuals display in USD millions, thousand barrels per day, million cubic feet per day, and billions of oil-equivalent reserves. Blue cells are editable, formula cells are green, and Data Review retains source periods and SEC accession lineage.</t>
  </si>
  <si>
    <t xml:space="preserve">Physical production, realized prices, reserves, and filed segment earnings</t>
  </si>
  <si>
    <t xml:space="preserve">Filed historical schedule</t>
  </si>
  <si>
    <t xml:space="preserve">FY2023A</t>
  </si>
  <si>
    <t xml:space="preserve">FY2024A</t>
  </si>
  <si>
    <t xml:space="preserve">FY2025A</t>
  </si>
  <si>
    <t xml:space="preserve">FY2026E</t>
  </si>
  <si>
    <t xml:space="preserve">FY2027E</t>
  </si>
  <si>
    <t xml:space="preserve">FY2028E</t>
  </si>
  <si>
    <t xml:space="preserve">FY2029E</t>
  </si>
  <si>
    <t xml:space="preserve">FY2030E</t>
  </si>
  <si>
    <t xml:space="preserve">Editable model inputs and current market data</t>
  </si>
  <si>
    <t xml:space="preserve">Crude oil production (thousand bbl/day)</t>
  </si>
  <si>
    <t xml:space="preserve">Blue font = editable analyst input or current market data</t>
  </si>
  <si>
    <t xml:space="preserve">NGL production (thousand bbl/day)</t>
  </si>
  <si>
    <t xml:space="preserve">Crude price change / barrel</t>
  </si>
  <si>
    <t xml:space="preserve">Analyst input: $0.00/bbl annual change to the FY2025 filed total crude realization; update for a price case.</t>
  </si>
  <si>
    <t xml:space="preserve">Bitumen production (thousand bbl/day)</t>
  </si>
  <si>
    <t xml:space="preserve">NGL price change / barrel</t>
  </si>
  <si>
    <t xml:space="preserve">Analyst input: $0.00/bbl annual NGL-price change in the base case.</t>
  </si>
  <si>
    <t xml:space="preserve">Synthetic oil production (thousand bbl/day)</t>
  </si>
  <si>
    <t xml:space="preserve">Bitumen price change / barrel</t>
  </si>
  <si>
    <t xml:space="preserve">Analyst input: $0.00/bbl annual bitumen-price change in the base case.</t>
  </si>
  <si>
    <t xml:space="preserve">Total liquids production (thousand bbl/day)</t>
  </si>
  <si>
    <t xml:space="preserve">Synthetic oil price change / barrel</t>
  </si>
  <si>
    <t xml:space="preserve">Analyst input: $0.00/bbl annual synthetic-oil price change in the base case.</t>
  </si>
  <si>
    <t xml:space="preserve">Liquids component reconciliation check</t>
  </si>
  <si>
    <t xml:space="preserve">Natural gas price change / Mcf</t>
  </si>
  <si>
    <t xml:space="preserve">Analyst input: $0.00/Mcf annual change to the FY2025 filed total natural-gas realization.</t>
  </si>
  <si>
    <t xml:space="preserve">Natural gas production available for sale (MMcf/day)</t>
  </si>
  <si>
    <t xml:space="preserve">Annual liquids production growth</t>
  </si>
  <si>
    <t xml:space="preserve">Oil-equivalent production (thousand boe/day)</t>
  </si>
  <si>
    <t xml:space="preserve">Annual natural gas production growth</t>
  </si>
  <si>
    <t xml:space="preserve">Oil-equivalent conversion check</t>
  </si>
  <si>
    <t xml:space="preserve">Annual production cost change / BOE</t>
  </si>
  <si>
    <t xml:space="preserve">Analyst input: $0.00/BOE annual change to the FY2025 filed production-cost base.</t>
  </si>
  <si>
    <t xml:space="preserve">Energy Products earnings growth</t>
  </si>
  <si>
    <t xml:space="preserve">Analyst input: 0.0% annual growth of FY2025 filed GAAP Energy Products earnings.</t>
  </si>
  <si>
    <t xml:space="preserve">Crude price (USD/bbl)</t>
  </si>
  <si>
    <t xml:space="preserve">Chemical Products earnings growth</t>
  </si>
  <si>
    <t xml:space="preserve">Analyst input: 0.0% annual growth of FY2025 filed GAAP Chemical Products earnings.</t>
  </si>
  <si>
    <t xml:space="preserve">NGL price (USD/bbl)</t>
  </si>
  <si>
    <t xml:space="preserve">Specialty Products earnings growth</t>
  </si>
  <si>
    <t xml:space="preserve">Analyst input: 0.0% annual growth of FY2025 filed GAAP Specialty Products earnings.</t>
  </si>
  <si>
    <t xml:space="preserve">Bitumen price (USD/bbl)</t>
  </si>
  <si>
    <t xml:space="preserve">Corporate operating earnings growth</t>
  </si>
  <si>
    <t xml:space="preserve">Analyst input: 0.0% annual growth of Corporate and Financing operating earnings after removing the after-tax net interest effect.</t>
  </si>
  <si>
    <t xml:space="preserve">Synthetic oil price (USD/bbl)</t>
  </si>
  <si>
    <t xml:space="preserve">Consolidated revenue growth</t>
  </si>
  <si>
    <t xml:space="preserve">Analyst input: 0.0% annual consolidated revenue growth in the base case; it is an explicit operating-scale assumption, not consensus.</t>
  </si>
  <si>
    <t xml:space="preserve">Natural gas price (USD/Mcf)</t>
  </si>
  <si>
    <t xml:space="preserve">Cash CapEx / revenue</t>
  </si>
  <si>
    <t xml:space="preserve">Median FY2023–FY2025 filed non-GAAP Cash CapEx / SEC consolidated sales and other operating revenue. FY2025 filed_xom_10k_energy_table_value_normalized; EnergyCashCapex (accession 0000034088-26-000045, filed 2026-02-18, FY 2025, USD millions)</t>
  </si>
  <si>
    <t xml:space="preserve">Production cost (USD/boe)</t>
  </si>
  <si>
    <t xml:space="preserve">Depreciation and depletion / revenue</t>
  </si>
  <si>
    <t xml:space="preserve">Median FY2023–FY2025 SEC depreciation and depletion / consolidated sales. FY2025 preferred_direct; DepreciationDepletionAndAmortization (accession 0000034088-26-000045, filed 2026-02-18, FY 2025, USD actual)</t>
  </si>
  <si>
    <t xml:space="preserve">Working-capital investment / revenue</t>
  </si>
  <si>
    <t xml:space="preserve">Median FY2023–FY2025 derived operational working-capital investment / consolidated sales; each period sums filed receivable, inventory, other current asset, and payable cash-flow impacts.</t>
  </si>
  <si>
    <t xml:space="preserve">Modeled production revenue proxy (USD mm)</t>
  </si>
  <si>
    <t xml:space="preserve">Annual reserve replacement ratio</t>
  </si>
  <si>
    <t xml:space="preserve">Analyst input: 100% annual reserve replacement in the base case; this reserve-life check is not added to enterprise value.</t>
  </si>
  <si>
    <t xml:space="preserve">Production costs (USD mm)</t>
  </si>
  <si>
    <t xml:space="preserve">Upstream earnings conversion factor</t>
  </si>
  <si>
    <t xml:space="preserve">FY2025 Upstream GAAP earnings divided by the FY2025 filed production-price and production-cost proxy. It anchors the starting level and is visible for analyst review.</t>
  </si>
  <si>
    <t xml:space="preserve">Production gross margin proxy (USD mm)</t>
  </si>
  <si>
    <t xml:space="preserve">Current share price</t>
  </si>
  <si>
    <t xml:space="preserve">Upstream GAAP segment earnings (USD mm)</t>
  </si>
  <si>
    <t xml:space="preserve">Current market capitalization (USD mm)</t>
  </si>
  <si>
    <t xml:space="preserve">Current common shares (millions)</t>
  </si>
  <si>
    <t xml:space="preserve">Cash and equivalents (USD mm)</t>
  </si>
  <si>
    <t xml:space="preserve">Energy Products GAAP segment earnings (USD mm)</t>
  </si>
  <si>
    <t xml:space="preserve">Total interest-bearing debt (USD mm)</t>
  </si>
  <si>
    <t xml:space="preserve">Chemical Products GAAP segment earnings (USD mm)</t>
  </si>
  <si>
    <t xml:space="preserve">Non-operating marketable securities (USD mm)</t>
  </si>
  <si>
    <t xml:space="preserve">No separate marketable-securities adjustment is included: the combined SEC investments/advances line includes equity-method operations whose earnings and production are already in the forecast segments.</t>
  </si>
  <si>
    <t xml:space="preserve">Specialty Products GAAP segment earnings (USD mm)</t>
  </si>
  <si>
    <t xml:space="preserve">Noncontrolling interest (USD mm)</t>
  </si>
  <si>
    <t xml:space="preserve">Corporate and Financing GAAP earnings (USD mm)</t>
  </si>
  <si>
    <t xml:space="preserve">Preferred equity (USD mm)</t>
  </si>
  <si>
    <t xml:space="preserve">Corporate interest revenue (USD mm)</t>
  </si>
  <si>
    <t xml:space="preserve">Consolidated interest expense (USD mm)</t>
  </si>
  <si>
    <t xml:space="preserve">Risk-free rate</t>
  </si>
  <si>
    <t xml:space="preserve">Effective income tax rate</t>
  </si>
  <si>
    <t xml:space="preserve">Equity risk premium</t>
  </si>
  <si>
    <t xml:space="preserve">Corporate operating earnings after tax (USD mm)</t>
  </si>
  <si>
    <t xml:space="preserve">Levered beta</t>
  </si>
  <si>
    <t xml:space="preserve">Consolidated sales and other operating revenue (USD mm)</t>
  </si>
  <si>
    <t xml:space="preserve">Current cost of debt</t>
  </si>
  <si>
    <t xml:space="preserve">Median FY2024–FY2025 filed interest expense divided by average filed current plus long-term debt.</t>
  </si>
  <si>
    <t xml:space="preserve">Segment-to-net-income reconciliation check (USD mm)</t>
  </si>
  <si>
    <t xml:space="preserve">Effective tax rate</t>
  </si>
  <si>
    <t xml:space="preserve">Consolidated net income (USD mm)</t>
  </si>
  <si>
    <t xml:space="preserve">Debt weight</t>
  </si>
  <si>
    <t xml:space="preserve">Operating NOPAT after financing adjustment (USD mm)</t>
  </si>
  <si>
    <t xml:space="preserve">Equity weight</t>
  </si>
  <si>
    <t xml:space="preserve">Consolidated depreciation and depletion (USD mm)</t>
  </si>
  <si>
    <t xml:space="preserve">Cost of equity — CAPM</t>
  </si>
  <si>
    <t xml:space="preserve">Risk-free rate + beta × equity-risk premium.</t>
  </si>
  <si>
    <t xml:space="preserve">Total cash CapEx (Non-GAAP, USD mm)</t>
  </si>
  <si>
    <t xml:space="preserve">Weighted average cost of capital</t>
  </si>
  <si>
    <t xml:space="preserve">CAPM cost of equity uses risk-free rate 0.0528, beta 0.175, ERP 0.0838, current market capitalization, filed debt, and effective tax rate as of 2026-10-03.</t>
  </si>
  <si>
    <t xml:space="preserve">Operating working-capital investment (USD mm)</t>
  </si>
  <si>
    <t xml:space="preserve">Terminal FCFF growth</t>
  </si>
  <si>
    <t xml:space="preserve">Analyst input: 2.5% perpetual FCFF growth, editable and required to remain below WACC.</t>
  </si>
  <si>
    <t xml:space="preserve">Historical FCFF (USD mm)</t>
  </si>
  <si>
    <t xml:space="preserve">XOM 2026 Brent earnings sensitivity (USD mm / $1/bbl)</t>
  </si>
  <si>
    <t xml:space="preserve">XOM 2026 Henry Hub earnings sensitivity (USD mm / $0.10/MMBtu)</t>
  </si>
  <si>
    <t xml:space="preserve">Total proved reserves (BBOE)</t>
  </si>
  <si>
    <t xml:space="preserve">XOM 2026 TTF earnings sensitivity (USD mm / $0.10/MMBtu)</t>
  </si>
  <si>
    <t xml:space="preserve">Proved developed reserves (BBOE)</t>
  </si>
  <si>
    <t xml:space="preserve">Proved undeveloped reserves (BBOE)</t>
  </si>
  <si>
    <t xml:space="preserve">Developed + undeveloped reserve check (BBOE)</t>
  </si>
  <si>
    <t xml:space="preserve">Forecast schedule — production and volume</t>
  </si>
  <si>
    <t xml:space="preserve">Crude production (thousand bbl/day)</t>
  </si>
  <si>
    <t xml:space="preserve">Other liquid volume residual (thousand bbl/day)</t>
  </si>
  <si>
    <t xml:space="preserve">Natural gas production (MMcf/day)</t>
  </si>
  <si>
    <t xml:space="preserve">Crude realized price (USD/bbl)</t>
  </si>
  <si>
    <t xml:space="preserve">NGL realized price (USD/bbl)</t>
  </si>
  <si>
    <t xml:space="preserve">Bitumen realized price (USD/bbl)</t>
  </si>
  <si>
    <t xml:space="preserve">Natural gas realized price (USD/Mcf)</t>
  </si>
  <si>
    <t xml:space="preserve">Segment earnings, reinvestment, and free cash flow</t>
  </si>
  <si>
    <t xml:space="preserve">Upstream production revenue proxy (USD mm)</t>
  </si>
  <si>
    <t xml:space="preserve">Upstream production costs (USD mm)</t>
  </si>
  <si>
    <t xml:space="preserve">Upstream production gross margin proxy (USD mm)</t>
  </si>
  <si>
    <t xml:space="preserve">Upstream GAAP earnings forecast (USD mm)</t>
  </si>
  <si>
    <t xml:space="preserve">Energy Products earnings (USD mm)</t>
  </si>
  <si>
    <t xml:space="preserve">Chemical Products earnings (USD mm)</t>
  </si>
  <si>
    <t xml:space="preserve">Specialty Products earnings (USD mm)</t>
  </si>
  <si>
    <t xml:space="preserve">Unlevered NOPAT (USD mm)</t>
  </si>
  <si>
    <t xml:space="preserve">Consolidated revenue scale (USD mm)</t>
  </si>
  <si>
    <t xml:space="preserve">Depreciation and depletion (USD mm)</t>
  </si>
  <si>
    <t xml:space="preserve">Cash CapEx (USD mm)</t>
  </si>
  <si>
    <t xml:space="preserve">Working-capital investment (USD mm)</t>
  </si>
  <si>
    <t xml:space="preserve">Unlevered free cash flow (USD mm)</t>
  </si>
  <si>
    <t xml:space="preserve">Discount factor</t>
  </si>
  <si>
    <t xml:space="preserve">Present value of FCFF (USD mm)</t>
  </si>
  <si>
    <t xml:space="preserve">Beginning proved reserves (BBOE)</t>
  </si>
  <si>
    <t xml:space="preserve">Annual oil-equivalent production (BBOE)</t>
  </si>
  <si>
    <t xml:space="preserve">Reserve additions under editable replacement ratio (BBOE)</t>
  </si>
  <si>
    <t xml:space="preserve">Ending proved reserves (BBOE)</t>
  </si>
  <si>
    <t xml:space="preserve">Reserve life (years)</t>
  </si>
  <si>
    <t xml:space="preserve">Reserve roll-forward check (BBOE)</t>
  </si>
  <si>
    <t xml:space="preserve">Modeled Brent earnings sensitivity check (USD mm per $1/bbl)</t>
  </si>
  <si>
    <t xml:space="preserve">Filed XOM FY2026 Brent sensitivity (USD mm per $1/bbl)</t>
  </si>
  <si>
    <t xml:space="preserve">Enterprise-to-common-equity DCF valuation</t>
  </si>
  <si>
    <t xml:space="preserve">PV of five-year FCFF</t>
  </si>
  <si>
    <t xml:space="preserve">Terminal value (Gordon growth)</t>
  </si>
  <si>
    <t xml:space="preserve">PV of terminal value</t>
  </si>
  <si>
    <t xml:space="preserve">Enterprise value</t>
  </si>
  <si>
    <t xml:space="preserve">Common equity value</t>
  </si>
  <si>
    <t xml:space="preserve">Implied value per diluted share</t>
  </si>
  <si>
    <t xml:space="preserve">Upside / (downside)</t>
  </si>
  <si>
    <t xml:space="preserve">Implied value per share sensitivity — WACC vs. terminal growth</t>
  </si>
  <si>
    <t xml:space="preserve">Fiscal year</t>
  </si>
  <si>
    <t xml:space="preserve">Source/model field</t>
  </si>
  <si>
    <t xml:space="preserve">Canonical value</t>
  </si>
  <si>
    <t xml:space="preserve">Reported value</t>
  </si>
  <si>
    <t xml:space="preserve">Unit</t>
  </si>
  <si>
    <t xml:space="preserve">Scale</t>
  </si>
  <si>
    <t xml:space="preserve">Source type</t>
  </si>
  <si>
    <t xml:space="preserve">Normalization / source note</t>
  </si>
  <si>
    <t xml:space="preserve">SEC concept</t>
  </si>
  <si>
    <t xml:space="preserve">Filed label</t>
  </si>
  <si>
    <t xml:space="preserve">SEC statement/table</t>
  </si>
  <si>
    <t xml:space="preserve">Fiscal period</t>
  </si>
  <si>
    <t xml:space="preserve">Accession</t>
  </si>
  <si>
    <t xml:space="preserve">Filed date</t>
  </si>
  <si>
    <t xml:space="preserve">Report date</t>
  </si>
  <si>
    <t xml:space="preserve">energy.weighted_average_diluted_shares</t>
  </si>
  <si>
    <t xml:space="preserve">shares</t>
  </si>
  <si>
    <t xml:space="preserve">millions</t>
  </si>
  <si>
    <t xml:space="preserve">sec_native</t>
  </si>
  <si>
    <t xml:space="preserve">filed_xom_10k_energy_table_value_normalized</t>
  </si>
  <si>
    <t xml:space="preserve">EnergyWeightedAverageDilutedShares</t>
  </si>
  <si>
    <t xml:space="preserve">Weighted-average common shares outstanding (diluted)</t>
  </si>
  <si>
    <t xml:space="preserve">SEC 10-K Note 2, weighted-average common shares outstanding</t>
  </si>
  <si>
    <t xml:space="preserve">FY 2023</t>
  </si>
  <si>
    <t xml:space="preserve">0000034088-26-000045</t>
  </si>
  <si>
    <t xml:space="preserve">2026-02-18</t>
  </si>
  <si>
    <t xml:space="preserve">2023-12-31</t>
  </si>
  <si>
    <t xml:space="preserve">energy.current_debt</t>
  </si>
  <si>
    <t xml:space="preserve">USD</t>
  </si>
  <si>
    <t xml:space="preserve">EnergyCurrentDebt</t>
  </si>
  <si>
    <t xml:space="preserve">Current notes and loans payable</t>
  </si>
  <si>
    <t xml:space="preserve">SEC 10-K consolidated balance sheet, interest-bearing debt line</t>
  </si>
  <si>
    <t xml:space="preserve">0000034088-25-000010</t>
  </si>
  <si>
    <t xml:space="preserve">2025-02-19</t>
  </si>
  <si>
    <t xml:space="preserve">energy.long_term_debt</t>
  </si>
  <si>
    <t xml:space="preserve">EnergyLongTermDebt</t>
  </si>
  <si>
    <t xml:space="preserve">Long-term debt</t>
  </si>
  <si>
    <t xml:space="preserve">energy.interest_bearing_debt</t>
  </si>
  <si>
    <t xml:space="preserve">derived</t>
  </si>
  <si>
    <t xml:space="preserve">derived_from_filed_energy_components</t>
  </si>
  <si>
    <t xml:space="preserve">energy.crude_oil_production</t>
  </si>
  <si>
    <t xml:space="preserve">barrels per day</t>
  </si>
  <si>
    <t xml:space="preserve">thousands</t>
  </si>
  <si>
    <t xml:space="preserve">EnergyTotalCrudeOilProduction</t>
  </si>
  <si>
    <t xml:space="preserve">Total crude oil production</t>
  </si>
  <si>
    <t xml:space="preserve">SEC 10-K supplemental production table; total includes consolidated subsidiaries and the issuer's proportionate share of equity companies</t>
  </si>
  <si>
    <t xml:space="preserve">energy.ngl_production</t>
  </si>
  <si>
    <t xml:space="preserve">EnergyTotalNGLProduction</t>
  </si>
  <si>
    <t xml:space="preserve">Total natural gas liquids production</t>
  </si>
  <si>
    <t xml:space="preserve">energy.bitumen_production</t>
  </si>
  <si>
    <t xml:space="preserve">EnergyBitumenProduction</t>
  </si>
  <si>
    <t xml:space="preserve">Bitumen production, consolidated subsidiaries</t>
  </si>
  <si>
    <t xml:space="preserve">SEC 10-K supplemental production table, consolidated-subsidiary regional row</t>
  </si>
  <si>
    <t xml:space="preserve">energy.synthetic_oil_production</t>
  </si>
  <si>
    <t xml:space="preserve">EnergySyntheticOilProduction</t>
  </si>
  <si>
    <t xml:space="preserve">Synthetic oil production, consolidated subsidiaries</t>
  </si>
  <si>
    <t xml:space="preserve">energy.liquids_production</t>
  </si>
  <si>
    <t xml:space="preserve">EnergyTotalLiquidsProduction</t>
  </si>
  <si>
    <t xml:space="preserve">Total liquids production</t>
  </si>
  <si>
    <t xml:space="preserve">SEC 10-K supplemental production table; total includes the issuer's reported share of equity-company production</t>
  </si>
  <si>
    <t xml:space="preserve">energy.natural_gas_production_available_for_sale</t>
  </si>
  <si>
    <t xml:space="preserve">cubic feet per day</t>
  </si>
  <si>
    <t xml:space="preserve">EnergyTotalNaturalGasProduction</t>
  </si>
  <si>
    <t xml:space="preserve">Total natural gas production available for sale</t>
  </si>
  <si>
    <t xml:space="preserve">energy.oil_equivalent_production</t>
  </si>
  <si>
    <t xml:space="preserve">barrels of oil equivalent per day</t>
  </si>
  <si>
    <t xml:space="preserve">EnergyOilEquivalentProduction</t>
  </si>
  <si>
    <t xml:space="preserve">Oil-equivalent production</t>
  </si>
  <si>
    <t xml:space="preserve">energy.average_crude_price</t>
  </si>
  <si>
    <t xml:space="preserve">USD per barrel</t>
  </si>
  <si>
    <t xml:space="preserve">actual</t>
  </si>
  <si>
    <t xml:space="preserve">EnergyTotalCrudePrice</t>
  </si>
  <si>
    <t xml:space="preserve">Crude oil, per barrel</t>
  </si>
  <si>
    <t xml:space="preserve">SEC 10-K Production Prices and Production Costs table; total row combines consolidated subsidiaries and equity companies</t>
  </si>
  <si>
    <t xml:space="preserve">energy.average_ngl_price</t>
  </si>
  <si>
    <t xml:space="preserve">EnergyTotalNGLPrice</t>
  </si>
  <si>
    <t xml:space="preserve">NGL, per barrel</t>
  </si>
  <si>
    <t xml:space="preserve">energy.average_bitumen_price</t>
  </si>
  <si>
    <t xml:space="preserve">EnergyTotalBitumenPrice</t>
  </si>
  <si>
    <t xml:space="preserve">Bitumen, per barrel</t>
  </si>
  <si>
    <t xml:space="preserve">SEC 10-K Production Prices and Production Costs table; total row combines reported production scopes</t>
  </si>
  <si>
    <t xml:space="preserve">energy.average_synthetic_oil_price</t>
  </si>
  <si>
    <t xml:space="preserve">EnergyTotalSyntheticOilPrice</t>
  </si>
  <si>
    <t xml:space="preserve">Synthetic oil, per barrel</t>
  </si>
  <si>
    <t xml:space="preserve">energy.average_natural_gas_price</t>
  </si>
  <si>
    <t xml:space="preserve">USD per thousand cubic feet</t>
  </si>
  <si>
    <t xml:space="preserve">EnergyTotalNaturalGasPrice</t>
  </si>
  <si>
    <t xml:space="preserve">Natural gas, per thousand cubic feet</t>
  </si>
  <si>
    <t xml:space="preserve">energy.average_production_cost_per_oil_equivalent_barrel</t>
  </si>
  <si>
    <t xml:space="preserve">USD per barrel of oil equivalent</t>
  </si>
  <si>
    <t xml:space="preserve">EnergyProductionCostPerOilEquivalentBarrel</t>
  </si>
  <si>
    <t xml:space="preserve">Average production costs, per oil-equivalent barrel - total</t>
  </si>
  <si>
    <t xml:space="preserve">energy.proved_oil_equivalent_reserves</t>
  </si>
  <si>
    <t xml:space="preserve">barrels of oil equivalent</t>
  </si>
  <si>
    <t xml:space="preserve">EnergyTotalProvedOilEquivalentReserves</t>
  </si>
  <si>
    <t xml:space="preserve">Total proved reserves at December 31, 2023</t>
  </si>
  <si>
    <t xml:space="preserve">SEC 10-K supplemental proved-reserves table, total oil-equivalent column</t>
  </si>
  <si>
    <t xml:space="preserve">energy.proved_developed_oil_equivalent_reserves</t>
  </si>
  <si>
    <t xml:space="preserve">EnergyDevelopedOilEquivalentReservesConsolidated</t>
  </si>
  <si>
    <t xml:space="preserve">Consolidated subsidiaries: developed oil-equivalent reserves</t>
  </si>
  <si>
    <t xml:space="preserve">SEC 10-K supplemental proved-reserves table; ownership scope and final oil-equivalent column preserved</t>
  </si>
  <si>
    <t xml:space="preserve">EnergyDevelopedOilEquivalentReservesEquity</t>
  </si>
  <si>
    <t xml:space="preserve">Equity companies: developed oil-equivalent reserves</t>
  </si>
  <si>
    <t xml:space="preserve">energy.proved_undeveloped_oil_equivalent_reserves</t>
  </si>
  <si>
    <t xml:space="preserve">EnergyUndevelopedOilEquivalentReservesConsolidated</t>
  </si>
  <si>
    <t xml:space="preserve">Consolidated subsidiaries: undeveloped oil-equivalent reserves</t>
  </si>
  <si>
    <t xml:space="preserve">EnergyUndevelopedOilEquivalentReservesEquity</t>
  </si>
  <si>
    <t xml:space="preserve">Equity companies: undeveloped oil-equivalent reserves</t>
  </si>
  <si>
    <t xml:space="preserve">energy.upstream_earnings_gaap</t>
  </si>
  <si>
    <t xml:space="preserve">EnergyUpstreamEarningsGAAP</t>
  </si>
  <si>
    <t xml:space="preserve">Upstream segment earnings (U.S. GAAP), parent-company share</t>
  </si>
  <si>
    <t xml:space="preserve">SEC 10-K MD&amp;A, Upstream Financial Results, U.S. GAAP earnings table</t>
  </si>
  <si>
    <t xml:space="preserve">energy.energy_products_earnings_gaap</t>
  </si>
  <si>
    <t xml:space="preserve">EnergyProductsEarningsGAAP</t>
  </si>
  <si>
    <t xml:space="preserve">Energy Products segment earnings (U.S. GAAP), parent-company share</t>
  </si>
  <si>
    <t xml:space="preserve">SEC 10-K MD&amp;A, Energy Products Financial Results, U.S. GAAP earnings table</t>
  </si>
  <si>
    <t xml:space="preserve">energy.chemical_products_earnings_gaap</t>
  </si>
  <si>
    <t xml:space="preserve">EnergyChemicalProductsEarningsGAAP</t>
  </si>
  <si>
    <t xml:space="preserve">Chemical Products segment earnings (U.S. GAAP), parent-company share</t>
  </si>
  <si>
    <t xml:space="preserve">SEC 10-K MD&amp;A, Chemical Products Financial Results, U.S. GAAP earnings table</t>
  </si>
  <si>
    <t xml:space="preserve">energy.specialty_products_earnings_gaap</t>
  </si>
  <si>
    <t xml:space="preserve">EnergySpecialtyProductsEarningsGAAP</t>
  </si>
  <si>
    <t xml:space="preserve">Specialty Products segment earnings (U.S. GAAP), parent-company share</t>
  </si>
  <si>
    <t xml:space="preserve">SEC 10-K MD&amp;A, Specialty Products Financial Results, U.S. GAAP earnings table</t>
  </si>
  <si>
    <t xml:space="preserve">energy.corporate_financing_earnings_gaap</t>
  </si>
  <si>
    <t xml:space="preserve">EnergyCorporateFinancingEarningsGAAP</t>
  </si>
  <si>
    <t xml:space="preserve">Corporate and Financing earnings (U.S. GAAP)</t>
  </si>
  <si>
    <t xml:space="preserve">SEC 10-K Corporate and Financing earnings table, U.S. GAAP</t>
  </si>
  <si>
    <t xml:space="preserve">energy.upstream_depreciation_and_depletion</t>
  </si>
  <si>
    <t xml:space="preserve">EnergyUpstreamDandD</t>
  </si>
  <si>
    <t xml:space="preserve">Upstream segment depreciation and depletion; U.S. plus non-U.S.</t>
  </si>
  <si>
    <t xml:space="preserve">SEC 10-K Note 3 segment table; U.S. and non-U.S. amounts summed</t>
  </si>
  <si>
    <t xml:space="preserve">energy.energy_products_depreciation_and_depletion</t>
  </si>
  <si>
    <t xml:space="preserve">EnergyEnergyProductsDandD</t>
  </si>
  <si>
    <t xml:space="preserve">EnergyProducts segment depreciation and depletion; U.S. plus non-U.S.</t>
  </si>
  <si>
    <t xml:space="preserve">energy.chemical_products_depreciation_and_depletion</t>
  </si>
  <si>
    <t xml:space="preserve">EnergyChemicalProductsDandD</t>
  </si>
  <si>
    <t xml:space="preserve">ChemicalProducts segment depreciation and depletion; U.S. plus non-U.S.</t>
  </si>
  <si>
    <t xml:space="preserve">energy.specialty_products_depreciation_and_depletion</t>
  </si>
  <si>
    <t xml:space="preserve">EnergySpecialtyProductsDandD</t>
  </si>
  <si>
    <t xml:space="preserve">SpecialtyProducts segment depreciation and depletion; U.S. plus non-U.S.</t>
  </si>
  <si>
    <t xml:space="preserve">energy.upstream_ppe_additions_including_noncash</t>
  </si>
  <si>
    <t xml:space="preserve">EnergyUpstreamPPEAdditions</t>
  </si>
  <si>
    <t xml:space="preserve">Upstream segment PP&amp;E additions; U.S. plus non-U.S.</t>
  </si>
  <si>
    <t xml:space="preserve">SEC 10-K Note 3 segment table; U.S. and non-U.S. amounts summed; includes non-cash additions where disclosed</t>
  </si>
  <si>
    <t xml:space="preserve">energy.energy_products_ppe_additions_including_noncash</t>
  </si>
  <si>
    <t xml:space="preserve">EnergyEnergyProductsPPEAdditions</t>
  </si>
  <si>
    <t xml:space="preserve">EnergyProducts segment PP&amp;E additions; U.S. plus non-U.S.</t>
  </si>
  <si>
    <t xml:space="preserve">energy.chemical_products_ppe_additions_including_noncash</t>
  </si>
  <si>
    <t xml:space="preserve">EnergyChemicalProductsPPEAdditions</t>
  </si>
  <si>
    <t xml:space="preserve">ChemicalProducts segment PP&amp;E additions; U.S. plus non-U.S.</t>
  </si>
  <si>
    <t xml:space="preserve">energy.specialty_products_ppe_additions_including_noncash</t>
  </si>
  <si>
    <t xml:space="preserve">EnergySpecialtyProductsPPEAdditions</t>
  </si>
  <si>
    <t xml:space="preserve">SpecialtyProducts segment PP&amp;E additions; U.S. plus non-U.S.</t>
  </si>
  <si>
    <t xml:space="preserve">energy.cash_capex</t>
  </si>
  <si>
    <t xml:space="preserve">EnergyCashCapex</t>
  </si>
  <si>
    <t xml:space="preserve">Total Cash Capex (Non-GAAP)</t>
  </si>
  <si>
    <t xml:space="preserve">SEC 10-K MD&amp;A Cash Capital Expenditures reconciliation</t>
  </si>
  <si>
    <t xml:space="preserve">energy.operating_working_capital_investment</t>
  </si>
  <si>
    <t xml:space="preserve">EnergyOperationalReceivablesCashImpact</t>
  </si>
  <si>
    <t xml:space="preserve">Notes and accounts receivable reduction/(increase)</t>
  </si>
  <si>
    <t xml:space="preserve">SEC 10-K consolidated cash-flow statement, operational working-capital component</t>
  </si>
  <si>
    <t xml:space="preserve">EnergyOperationalInventoryCashImpact</t>
  </si>
  <si>
    <t xml:space="preserve">Inventories reduction/(increase)</t>
  </si>
  <si>
    <t xml:space="preserve">EnergyOperationalOtherCurrentAssetsCashImpact</t>
  </si>
  <si>
    <t xml:space="preserve">Other current assets reduction/(increase)</t>
  </si>
  <si>
    <t xml:space="preserve">EnergyOperationalPayablesCashImpact</t>
  </si>
  <si>
    <t xml:space="preserve">Accounts and other payables increase/(reduction)</t>
  </si>
  <si>
    <t xml:space="preserve">energy.corporate_interest_revenue</t>
  </si>
  <si>
    <t xml:space="preserve">EnergyCorporateInterestRevenue</t>
  </si>
  <si>
    <t xml:space="preserve">Corporate and Financing interest revenue</t>
  </si>
  <si>
    <t xml:space="preserve">SEC 10-K Note 3 Corporate and Financing interest-revenue footnote</t>
  </si>
  <si>
    <t xml:space="preserve">energy.brent_2026_earnings_sensitivity</t>
  </si>
  <si>
    <t xml:space="preserve">missing</t>
  </si>
  <si>
    <t xml:space="preserve">forward_sensitivity_available_only_for_latest_base_year</t>
  </si>
  <si>
    <t xml:space="preserve">Energy2026BrentEarningsSensitivity</t>
  </si>
  <si>
    <t xml:space="preserve">energy.henry_hub_2026_earnings_sensitivity</t>
  </si>
  <si>
    <t xml:space="preserve">Energy2026HenryHubEarningsSensitivity</t>
  </si>
  <si>
    <t xml:space="preserve">energy.ttf_2026_earnings_sensitivity</t>
  </si>
  <si>
    <t xml:space="preserve">Energy2026TTFEarningsSensitivity</t>
  </si>
  <si>
    <t xml:space="preserve">revenue</t>
  </si>
  <si>
    <t xml:space="preserve">preferred_direct</t>
  </si>
  <si>
    <t xml:space="preserve">RevenueFromContractWithCustomerExcludingAssessedTax</t>
  </si>
  <si>
    <t xml:space="preserve">Total Revenue</t>
  </si>
  <si>
    <t xml:space="preserve">IncomeStatement</t>
  </si>
  <si>
    <t xml:space="preserve">0000034088-24-000018</t>
  </si>
  <si>
    <t xml:space="preserve">2024-02-28</t>
  </si>
  <si>
    <t xml:space="preserve">net income</t>
  </si>
  <si>
    <t xml:space="preserve">NetIncomeLoss</t>
  </si>
  <si>
    <t xml:space="preserve">Net Income (Loss) Attributable to Parent</t>
  </si>
  <si>
    <t xml:space="preserve">2025-12-31</t>
  </si>
  <si>
    <t xml:space="preserve">interest expense</t>
  </si>
  <si>
    <t xml:space="preserve">InterestExpense</t>
  </si>
  <si>
    <t xml:space="preserve">Interest Expense</t>
  </si>
  <si>
    <t xml:space="preserve">tax rate</t>
  </si>
  <si>
    <t xml:space="preserve">income_tax_expense_over_pretax_income</t>
  </si>
  <si>
    <t xml:space="preserve">IncomeTaxExpenseBenefit</t>
  </si>
  <si>
    <t xml:space="preserve">Income Tax Expense (Benefit)</t>
  </si>
  <si>
    <t xml:space="preserve">IncomeLossFromContinuingOperationsBeforeIncomeTaxesExtraordinaryItemsNoncontrollingInterest</t>
  </si>
  <si>
    <t xml:space="preserve">Income (Loss) from Continuing Operations before Income Taxes, Noncontrolling Interest</t>
  </si>
  <si>
    <t xml:space="preserve">depreciation and depletion</t>
  </si>
  <si>
    <t xml:space="preserve">DepreciationDepletionAndAmortization</t>
  </si>
  <si>
    <t xml:space="preserve">Depreciation, Depletion and Amortization</t>
  </si>
  <si>
    <t xml:space="preserve">CashFlowStatement</t>
  </si>
  <si>
    <t xml:space="preserve">CFO</t>
  </si>
  <si>
    <t xml:space="preserve">NetCashProvidedByUsedInOperatingActivities</t>
  </si>
  <si>
    <t xml:space="preserve">Net Cash Provided by (Used in) Operating Activities</t>
  </si>
  <si>
    <t xml:space="preserve">cash</t>
  </si>
  <si>
    <t xml:space="preserve">CashAndCashEquivalentsAtCarryingValue</t>
  </si>
  <si>
    <t xml:space="preserve">Cash and Cash Equivalents, at Carrying Value</t>
  </si>
  <si>
    <t xml:space="preserve">BalanceSheet</t>
  </si>
  <si>
    <t xml:space="preserve">2024-12-31</t>
  </si>
  <si>
    <t xml:space="preserve">current debt</t>
  </si>
  <si>
    <t xml:space="preserve">long-term debt</t>
  </si>
  <si>
    <t xml:space="preserve">total debt</t>
  </si>
  <si>
    <t xml:space="preserve">marketable securities</t>
  </si>
  <si>
    <t xml:space="preserve">missing_or_inconsistent_marketable_securities_inputs</t>
  </si>
  <si>
    <t xml:space="preserve">No separate marketable securities current balance was reported in annual XBRL facts or statement rows</t>
  </si>
  <si>
    <t xml:space="preserve">CompanyFacts</t>
  </si>
  <si>
    <t xml:space="preserve">preferred equity</t>
  </si>
  <si>
    <t xml:space="preserve">not_applicable</t>
  </si>
  <si>
    <t xml:space="preserve">no_preferred_stock_fact_disclosed_in_filed_10k</t>
  </si>
  <si>
    <t xml:space="preserve">preferred_equity</t>
  </si>
  <si>
    <t xml:space="preserve">Preferred equity not reported as outstanding in annual XBRL facts</t>
  </si>
  <si>
    <t xml:space="preserve">noncontrolling interest</t>
  </si>
  <si>
    <t xml:space="preserve">MinorityInterest</t>
  </si>
  <si>
    <t xml:space="preserve">Stockholders' Equity Attributable to Noncontrolling Interest</t>
  </si>
  <si>
    <t xml:space="preserve">weighted-average diluted shares</t>
  </si>
  <si>
    <t xml:space="preserve">FY 2024</t>
  </si>
  <si>
    <t xml:space="preserve">Total proved reserves at December 31, 2024</t>
  </si>
  <si>
    <t xml:space="preserve">FY 2025</t>
  </si>
  <si>
    <t xml:space="preserve">Total proved reserves at December 31, 2025</t>
  </si>
  <si>
    <t xml:space="preserve">millions per USD/barrel</t>
  </si>
  <si>
    <t xml:space="preserve">2026 Brent earnings sensitivity per $1/barrel</t>
  </si>
  <si>
    <t xml:space="preserve">SEC 10-K Item 7A, issuer-provided 2026 after-tax earnings sensitivity; excludes derivatives where stated</t>
  </si>
  <si>
    <t xml:space="preserve">FY 2026</t>
  </si>
  <si>
    <t xml:space="preserve">2026-12-31</t>
  </si>
  <si>
    <t xml:space="preserve">millions per USD/MMBtu</t>
  </si>
  <si>
    <t xml:space="preserve">2026 Henry Hub earnings sensitivity per $0.10/MMBtu</t>
  </si>
  <si>
    <t xml:space="preserve">2026 TTF earnings sensitivity per $0.10/MMBtu</t>
  </si>
  <si>
    <t xml:space="preserve">Assumption</t>
  </si>
  <si>
    <t xml:space="preserve">crudePriceChange</t>
  </si>
  <si>
    <t xml:space="preserve">analyst_input_or_market</t>
  </si>
  <si>
    <t xml:space="preserve">nglPriceChange</t>
  </si>
  <si>
    <t xml:space="preserve">bitumenPriceChange</t>
  </si>
  <si>
    <t xml:space="preserve">syntheticOilPriceChange</t>
  </si>
  <si>
    <t xml:space="preserve">naturalGasPriceChange</t>
  </si>
  <si>
    <t xml:space="preserve">productionGrowth</t>
  </si>
  <si>
    <t xml:space="preserve">Analyst input: 0.0% annual liquids and gas production growth; the historical period includes acquisitions and large project start-ups.</t>
  </si>
  <si>
    <t xml:space="preserve">productionCostChangePerBoe</t>
  </si>
  <si>
    <t xml:space="preserve">energyProductsEarningsGrowth</t>
  </si>
  <si>
    <t xml:space="preserve">chemicalProductsEarningsGrowth</t>
  </si>
  <si>
    <t xml:space="preserve">specialtyProductsEarningsGrowth</t>
  </si>
  <si>
    <t xml:space="preserve">corporateOperatingEarningsGrowth</t>
  </si>
  <si>
    <t xml:space="preserve">revenueGrowth</t>
  </si>
  <si>
    <t xml:space="preserve">cashCapexPctRevenue</t>
  </si>
  <si>
    <t xml:space="preserve">depreciationPctRevenue</t>
  </si>
  <si>
    <t xml:space="preserve">workingCapitalInvestmentPctRevenue</t>
  </si>
  <si>
    <t xml:space="preserve">reserveReplacementRatio</t>
  </si>
  <si>
    <t xml:space="preserve">upstreamEarningsConversionFactor</t>
  </si>
  <si>
    <t xml:space="preserve">costOfDebt</t>
  </si>
  <si>
    <t xml:space="preserve">wacc</t>
  </si>
  <si>
    <t xml:space="preserve">marketableSecurities</t>
  </si>
  <si>
    <t xml:space="preserve">terminalGrowthRate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</si>
</sst>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_-* #,##0.00_-;\-* #,##0.00_-;_-* \-??_-;_-@_-"/>
    <numFmt numFmtId="166" formatCode="_-\$* #,##0.00_-;&quot;-$&quot;* #,##0.00_-;_-\$* \-??_-;_-@_-"/>
    <numFmt numFmtId="167" formatCode="0%"/>
    <numFmt numFmtId="168" formatCode="#,##0.0;[RED]\(#,##0.0\);\-"/>
    <numFmt numFmtId="169" formatCode="\$0.00;[RED]&quot;($&quot;0.00\);\-"/>
    <numFmt numFmtId="170" formatCode="0.0%;[RED]\(0.0%\);0.0%"/>
    <numFmt numFmtId="171" formatCode="\$#,##0.00;[RED]&quot;($&quot;#,##0.00\);\-"/>
    <numFmt numFmtId="172" formatCode="0.0\x;[RED]\(0.0&quot;x)&quot;;\-"/>
    <numFmt numFmtId="173" formatCode="#,##0.00;[RED]\(#,##0.00\);\-"/>
  </numFmts>
  <fonts count="24">
    <font>
      <sz val="11"/>
      <color theme="1"/>
      <name val="Aptos Narrow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2"/>
      <color theme="1"/>
      <name val="Aptos Narrow"/>
      <family val="2"/>
      <charset val="1"/>
    </font>
    <font>
      <sz val="8"/>
      <name val="Arial"/>
      <family val="2"/>
      <charset val="1"/>
    </font>
    <font>
      <sz val="11"/>
      <color rgb="FF000000"/>
      <name val="Aptos Narrow"/>
      <family val="2"/>
      <charset val="1"/>
    </font>
    <font>
      <b val="true"/>
      <sz val="12"/>
      <color theme="1"/>
      <name val="Aptos Narrow"/>
      <family val="2"/>
      <charset val="1"/>
    </font>
    <font>
      <sz val="10"/>
      <color rgb="FF000000"/>
      <name val="Times New Roman"/>
      <family val="1"/>
      <charset val="1"/>
    </font>
    <font>
      <sz val="9"/>
      <color theme="1"/>
      <name val="Arial"/>
      <family val="2"/>
      <charset val="1"/>
    </font>
    <font>
      <sz val="8"/>
      <color theme="1"/>
      <name val="Arial"/>
      <family val="2"/>
      <charset val="1"/>
    </font>
    <font>
      <sz val="10"/>
      <color rgb="FF000000"/>
      <name val="Aptos Narrow"/>
      <family val="2"/>
      <charset val="1"/>
    </font>
    <font>
      <sz val="10"/>
      <color theme="1"/>
      <name val="Trebuchet MS"/>
      <family val="2"/>
      <charset val="1"/>
    </font>
    <font>
      <sz val="9"/>
      <color rgb="FF000000"/>
      <name val="Arial"/>
      <family val="2"/>
      <charset val="1"/>
    </font>
    <font>
      <b val="true"/>
      <sz val="16"/>
      <color rgb="FFFFFFFF"/>
      <name val="Arial"/>
      <family val="0"/>
      <charset val="1"/>
    </font>
    <font>
      <sz val="9"/>
      <color rgb="FF404040"/>
      <name val="Arial"/>
      <family val="0"/>
      <charset val="1"/>
    </font>
    <font>
      <b val="true"/>
      <sz val="10"/>
      <color rgb="FF17365D"/>
      <name val="Arial"/>
      <family val="0"/>
      <charset val="1"/>
    </font>
    <font>
      <b val="true"/>
      <sz val="9"/>
      <color rgb="FFFFFFFF"/>
      <name val="Arial"/>
      <family val="0"/>
      <charset val="1"/>
    </font>
    <font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7365D"/>
        <bgColor rgb="FF333399"/>
      </patternFill>
    </fill>
    <fill>
      <patternFill patternType="solid">
        <fgColor rgb="FFD9EAF7"/>
        <bgColor rgb="FFE2F0D9"/>
      </patternFill>
    </fill>
    <fill>
      <patternFill patternType="solid">
        <fgColor rgb="FF365F91"/>
        <bgColor rgb="FF333399"/>
      </patternFill>
    </fill>
    <fill>
      <patternFill patternType="solid">
        <fgColor rgb="FFFFF2CC"/>
        <bgColor rgb="FFE2F0D9"/>
      </patternFill>
    </fill>
    <fill>
      <patternFill patternType="solid">
        <fgColor rgb="FFE2F0D9"/>
        <bgColor rgb="FFD9EAF7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/>
      <diagonal/>
    </border>
  </borders>
  <cellStyleXfs count="5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5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6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3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3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1" fillId="6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9" fillId="4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3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AFE" xfId="20"/>
    <cellStyle name="Comma 2" xfId="21"/>
    <cellStyle name="Comma 3" xfId="22"/>
    <cellStyle name="Comma 4" xfId="23"/>
    <cellStyle name="Comma 4 2" xfId="24"/>
    <cellStyle name="Comma 5" xfId="25"/>
    <cellStyle name="Comma 6" xfId="26"/>
    <cellStyle name="Currency 2" xfId="27"/>
    <cellStyle name="Currency 4" xfId="28"/>
    <cellStyle name="HeaderCellStyle" xfId="29"/>
    <cellStyle name="Normal 10" xfId="30"/>
    <cellStyle name="Normal 17" xfId="31"/>
    <cellStyle name="Normal 18" xfId="32"/>
    <cellStyle name="Normal 2" xfId="33"/>
    <cellStyle name="Normal 2 2" xfId="34"/>
    <cellStyle name="Normal 2 2 2" xfId="35"/>
    <cellStyle name="Normal 2 3" xfId="36"/>
    <cellStyle name="Normal 3" xfId="37"/>
    <cellStyle name="Normal 3 2 3" xfId="38"/>
    <cellStyle name="Normal 3 2 3 2" xfId="39"/>
    <cellStyle name="Normal 4" xfId="40"/>
    <cellStyle name="Normal 5" xfId="41"/>
    <cellStyle name="Normal 5 2" xfId="42"/>
    <cellStyle name="Normal 5 3" xfId="43"/>
    <cellStyle name="Normal 5 4" xfId="44"/>
    <cellStyle name="Normal 6" xfId="45"/>
    <cellStyle name="Normal 7" xfId="46"/>
    <cellStyle name="Normal 8" xfId="47"/>
    <cellStyle name="Normal_Ch01 Pics v2.2" xfId="48"/>
    <cellStyle name="Percent 2" xfId="49"/>
    <cellStyle name="Percent 3" xfId="50"/>
  </cellStyles>
  <dxfs count="8">
    <dxf>
      <fill>
        <patternFill patternType="solid">
          <fgColor rgb="FFD9EA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17365D"/>
          <bgColor rgb="FF000000"/>
        </patternFill>
      </fill>
    </dxf>
    <dxf>
      <fill>
        <patternFill patternType="solid">
          <fgColor rgb="FF365F91"/>
          <bgColor rgb="FF000000"/>
        </patternFill>
      </fill>
    </dxf>
    <dxf>
      <fill>
        <patternFill patternType="solid">
          <fgColor rgb="FFE2F0D9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F0D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365F91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 pitchFamily="0" charset="1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M107"/>
  <sheetViews>
    <sheetView showFormulas="false" showGridLines="false" showRowColHeaders="true" showZeros="true" rightToLeft="false" tabSelected="true" showOutlineSymbols="true" defaultGridColor="true" view="normal" topLeftCell="A1" colorId="64" zoomScale="85" zoomScaleNormal="85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58"/>
    <col collapsed="false" customWidth="true" hidden="false" outlineLevel="0" max="9" min="2" style="0" width="15"/>
    <col collapsed="false" customWidth="true" hidden="false" outlineLevel="0" max="10" min="10" style="0" width="3"/>
    <col collapsed="false" customWidth="true" hidden="false" outlineLevel="0" max="11" min="11" style="0" width="47"/>
    <col collapsed="false" customWidth="true" hidden="false" outlineLevel="0" max="12" min="12" style="0" width="17"/>
    <col collapsed="false" customWidth="true" hidden="false" outlineLevel="0" max="13" min="13" style="0" width="76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3" customFormat="false" ht="15" hidden="false" customHeight="fals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</row>
    <row r="4" customFormat="false" ht="15" hidden="false" customHeight="false" outlineLevel="0" collapsed="false">
      <c r="A4" s="3" t="s">
        <v>3</v>
      </c>
      <c r="B4" s="4" t="s">
        <v>4</v>
      </c>
      <c r="C4" s="4" t="s">
        <v>5</v>
      </c>
      <c r="D4" s="4" t="s">
        <v>6</v>
      </c>
      <c r="E4" s="5" t="s">
        <v>7</v>
      </c>
      <c r="F4" s="5" t="s">
        <v>8</v>
      </c>
      <c r="G4" s="5" t="s">
        <v>9</v>
      </c>
      <c r="H4" s="5" t="s">
        <v>10</v>
      </c>
      <c r="I4" s="5" t="s">
        <v>11</v>
      </c>
      <c r="J4" s="3"/>
      <c r="K4" s="6" t="s">
        <v>12</v>
      </c>
      <c r="L4" s="3"/>
      <c r="M4" s="3"/>
    </row>
    <row r="5" customFormat="false" ht="15" hidden="false" customHeight="false" outlineLevel="0" collapsed="false">
      <c r="A5" s="7" t="s">
        <v>13</v>
      </c>
      <c r="B5" s="8" t="n">
        <v>1682</v>
      </c>
      <c r="C5" s="8" t="n">
        <v>2068</v>
      </c>
      <c r="D5" s="8" t="n">
        <v>2262</v>
      </c>
      <c r="K5" s="9" t="s">
        <v>14</v>
      </c>
    </row>
    <row r="6" customFormat="false" ht="25.5" hidden="false" customHeight="true" outlineLevel="0" collapsed="false">
      <c r="A6" s="7" t="s">
        <v>15</v>
      </c>
      <c r="B6" s="8" t="n">
        <v>345</v>
      </c>
      <c r="C6" s="8" t="n">
        <v>483</v>
      </c>
      <c r="D6" s="8" t="n">
        <v>612</v>
      </c>
      <c r="K6" s="10" t="s">
        <v>16</v>
      </c>
      <c r="L6" s="11" t="n">
        <v>0</v>
      </c>
      <c r="M6" s="12" t="s">
        <v>17</v>
      </c>
    </row>
    <row r="7" customFormat="false" ht="15" hidden="false" customHeight="true" outlineLevel="0" collapsed="false">
      <c r="A7" s="7" t="s">
        <v>18</v>
      </c>
      <c r="B7" s="8" t="n">
        <v>355</v>
      </c>
      <c r="C7" s="8" t="n">
        <v>374</v>
      </c>
      <c r="D7" s="8" t="n">
        <v>385</v>
      </c>
      <c r="K7" s="10" t="s">
        <v>19</v>
      </c>
      <c r="L7" s="11" t="n">
        <v>0</v>
      </c>
      <c r="M7" s="12" t="s">
        <v>20</v>
      </c>
    </row>
    <row r="8" customFormat="false" ht="15" hidden="false" customHeight="true" outlineLevel="0" collapsed="false">
      <c r="A8" s="7" t="s">
        <v>21</v>
      </c>
      <c r="B8" s="8" t="n">
        <v>67</v>
      </c>
      <c r="C8" s="8" t="n">
        <v>62</v>
      </c>
      <c r="D8" s="8" t="n">
        <v>68</v>
      </c>
      <c r="K8" s="10" t="s">
        <v>22</v>
      </c>
      <c r="L8" s="11" t="n">
        <v>0</v>
      </c>
      <c r="M8" s="12" t="s">
        <v>23</v>
      </c>
    </row>
    <row r="9" customFormat="false" ht="15" hidden="false" customHeight="true" outlineLevel="0" collapsed="false">
      <c r="A9" s="13" t="s">
        <v>24</v>
      </c>
      <c r="B9" s="8" t="n">
        <v>2449</v>
      </c>
      <c r="C9" s="8" t="n">
        <v>2987</v>
      </c>
      <c r="D9" s="8" t="n">
        <v>3329</v>
      </c>
      <c r="K9" s="10" t="s">
        <v>25</v>
      </c>
      <c r="L9" s="11" t="n">
        <v>0</v>
      </c>
      <c r="M9" s="12" t="s">
        <v>26</v>
      </c>
    </row>
    <row r="10" customFormat="false" ht="25.5" hidden="false" customHeight="true" outlineLevel="0" collapsed="false">
      <c r="A10" s="7" t="s">
        <v>27</v>
      </c>
      <c r="B10" s="14" t="n">
        <f aca="false">B9-SUM(B5:B8)</f>
        <v>0</v>
      </c>
      <c r="C10" s="14" t="n">
        <f aca="false">C9-SUM(C5:C8)</f>
        <v>0</v>
      </c>
      <c r="D10" s="14" t="n">
        <f aca="false">D9-SUM(D5:D8)</f>
        <v>2</v>
      </c>
      <c r="K10" s="10" t="s">
        <v>28</v>
      </c>
      <c r="L10" s="11" t="n">
        <v>0</v>
      </c>
      <c r="M10" s="12" t="s">
        <v>29</v>
      </c>
    </row>
    <row r="11" customFormat="false" ht="15" hidden="false" customHeight="false" outlineLevel="0" collapsed="false">
      <c r="A11" s="7" t="s">
        <v>30</v>
      </c>
      <c r="B11" s="8" t="n">
        <v>7734</v>
      </c>
      <c r="C11" s="8" t="n">
        <v>8078</v>
      </c>
      <c r="D11" s="8" t="n">
        <v>8442</v>
      </c>
      <c r="K11" s="10" t="s">
        <v>31</v>
      </c>
      <c r="L11" s="15" t="n">
        <v>0</v>
      </c>
    </row>
    <row r="12" customFormat="false" ht="15" hidden="false" customHeight="false" outlineLevel="0" collapsed="false">
      <c r="A12" s="13" t="s">
        <v>32</v>
      </c>
      <c r="B12" s="8" t="n">
        <v>3738</v>
      </c>
      <c r="C12" s="8" t="n">
        <v>4333</v>
      </c>
      <c r="D12" s="8" t="n">
        <v>4736</v>
      </c>
      <c r="K12" s="10" t="s">
        <v>33</v>
      </c>
      <c r="L12" s="15" t="n">
        <v>0</v>
      </c>
    </row>
    <row r="13" customFormat="false" ht="15" hidden="false" customHeight="true" outlineLevel="0" collapsed="false">
      <c r="A13" s="7" t="s">
        <v>34</v>
      </c>
      <c r="B13" s="14" t="n">
        <f aca="false">B12-(B9+B11/6)</f>
        <v>0</v>
      </c>
      <c r="C13" s="14" t="n">
        <f aca="false">C12-(C9+C11/6)</f>
        <v>-0.33333333333303</v>
      </c>
      <c r="D13" s="14" t="n">
        <f aca="false">D12-(D9+D11/6)</f>
        <v>0</v>
      </c>
      <c r="K13" s="10" t="s">
        <v>35</v>
      </c>
      <c r="L13" s="11" t="n">
        <v>0</v>
      </c>
      <c r="M13" s="12" t="s">
        <v>36</v>
      </c>
    </row>
    <row r="14" customFormat="false" ht="15" hidden="false" customHeight="true" outlineLevel="0" collapsed="false">
      <c r="K14" s="10" t="s">
        <v>37</v>
      </c>
      <c r="L14" s="15" t="n">
        <v>0</v>
      </c>
      <c r="M14" s="12" t="s">
        <v>38</v>
      </c>
    </row>
    <row r="15" customFormat="false" ht="15" hidden="false" customHeight="true" outlineLevel="0" collapsed="false">
      <c r="A15" s="7" t="s">
        <v>39</v>
      </c>
      <c r="B15" s="16" t="n">
        <v>77.92</v>
      </c>
      <c r="C15" s="16" t="n">
        <v>76.23</v>
      </c>
      <c r="D15" s="16" t="n">
        <v>65.18</v>
      </c>
      <c r="K15" s="10" t="s">
        <v>40</v>
      </c>
      <c r="L15" s="15" t="n">
        <v>0</v>
      </c>
      <c r="M15" s="12" t="s">
        <v>41</v>
      </c>
    </row>
    <row r="16" customFormat="false" ht="25.5" hidden="false" customHeight="true" outlineLevel="0" collapsed="false">
      <c r="A16" s="7" t="s">
        <v>42</v>
      </c>
      <c r="B16" s="16" t="n">
        <v>28.66</v>
      </c>
      <c r="C16" s="16" t="n">
        <v>27.16</v>
      </c>
      <c r="D16" s="16" t="n">
        <v>23.64</v>
      </c>
      <c r="K16" s="10" t="s">
        <v>43</v>
      </c>
      <c r="L16" s="15" t="n">
        <v>0</v>
      </c>
      <c r="M16" s="12" t="s">
        <v>44</v>
      </c>
    </row>
    <row r="17" customFormat="false" ht="25.5" hidden="false" customHeight="true" outlineLevel="0" collapsed="false">
      <c r="A17" s="7" t="s">
        <v>45</v>
      </c>
      <c r="B17" s="16" t="n">
        <v>49.64</v>
      </c>
      <c r="C17" s="16" t="n">
        <v>54.02</v>
      </c>
      <c r="D17" s="16" t="n">
        <v>46.13</v>
      </c>
      <c r="K17" s="10" t="s">
        <v>46</v>
      </c>
      <c r="L17" s="15" t="n">
        <v>0</v>
      </c>
      <c r="M17" s="12" t="s">
        <v>47</v>
      </c>
    </row>
    <row r="18" customFormat="false" ht="25.5" hidden="false" customHeight="true" outlineLevel="0" collapsed="false">
      <c r="A18" s="7" t="s">
        <v>48</v>
      </c>
      <c r="B18" s="16" t="n">
        <v>77.56</v>
      </c>
      <c r="C18" s="16" t="n">
        <v>74.16</v>
      </c>
      <c r="D18" s="16" t="n">
        <v>63.61</v>
      </c>
      <c r="K18" s="10" t="s">
        <v>49</v>
      </c>
      <c r="L18" s="15" t="n">
        <v>0</v>
      </c>
      <c r="M18" s="12" t="s">
        <v>50</v>
      </c>
    </row>
    <row r="19" customFormat="false" ht="39" hidden="false" customHeight="true" outlineLevel="0" collapsed="false">
      <c r="A19" s="7" t="s">
        <v>51</v>
      </c>
      <c r="B19" s="16" t="n">
        <v>6.05</v>
      </c>
      <c r="C19" s="16" t="n">
        <v>4.53</v>
      </c>
      <c r="D19" s="16" t="n">
        <v>4.28</v>
      </c>
      <c r="K19" s="10" t="s">
        <v>52</v>
      </c>
      <c r="L19" s="15" t="n">
        <v>0.0733641317562252</v>
      </c>
      <c r="M19" s="12" t="s">
        <v>53</v>
      </c>
    </row>
    <row r="20" customFormat="false" ht="39" hidden="false" customHeight="true" outlineLevel="0" collapsed="false">
      <c r="A20" s="7" t="s">
        <v>54</v>
      </c>
      <c r="B20" s="16" t="n">
        <v>10.63</v>
      </c>
      <c r="C20" s="16" t="n">
        <v>10.53</v>
      </c>
      <c r="D20" s="16" t="n">
        <v>10.2</v>
      </c>
      <c r="K20" s="10" t="s">
        <v>55</v>
      </c>
      <c r="L20" s="15" t="n">
        <v>0.0670566528884248</v>
      </c>
      <c r="M20" s="12" t="s">
        <v>56</v>
      </c>
    </row>
    <row r="21" customFormat="false" ht="39" hidden="false" customHeight="true" outlineLevel="0" collapsed="false">
      <c r="K21" s="10" t="s">
        <v>57</v>
      </c>
      <c r="L21" s="15" t="n">
        <v>0.0123482944553111</v>
      </c>
      <c r="M21" s="12" t="s">
        <v>58</v>
      </c>
    </row>
    <row r="22" customFormat="false" ht="25.5" hidden="false" customHeight="true" outlineLevel="0" collapsed="false">
      <c r="A22" s="7" t="s">
        <v>59</v>
      </c>
      <c r="B22" s="14" t="n">
        <f aca="false">B5*B15*365/1000+B6*B16*365/1000+B7*B17*365/1000+B8*B18*365/1000+(B9-SUM(B5:B8))*B15*365/1000+B11*B19*365/1000</f>
        <v>76853.8744</v>
      </c>
      <c r="C22" s="14" t="n">
        <f aca="false">C5*C15*365/1000+C6*C16*365/1000+C7*C17*365/1000+C8*C18*365/1000+(C9-SUM(C5:C8))*C15*365/1000+C11*C19*365/1000</f>
        <v>84737.1809</v>
      </c>
      <c r="D22" s="14" t="n">
        <f aca="false">D5*D15*365/1000+D6*D16*365/1000+D7*D17*365/1000+D8*D18*365/1000+(D9-SUM(D5:D8))*D15*365/1000+D11*D19*365/1000</f>
        <v>80392.15885</v>
      </c>
      <c r="K22" s="10" t="s">
        <v>60</v>
      </c>
      <c r="L22" s="15" t="n">
        <v>1</v>
      </c>
      <c r="M22" s="12" t="s">
        <v>61</v>
      </c>
    </row>
    <row r="23" customFormat="false" ht="39" hidden="false" customHeight="true" outlineLevel="0" collapsed="false">
      <c r="A23" s="7" t="s">
        <v>62</v>
      </c>
      <c r="B23" s="14" t="n">
        <f aca="false">B12*B20*365/1000</f>
        <v>14503.2531</v>
      </c>
      <c r="C23" s="14" t="n">
        <f aca="false">C12*C20*365/1000</f>
        <v>16653.66885</v>
      </c>
      <c r="D23" s="14" t="n">
        <f aca="false">D12*D20*365/1000</f>
        <v>17632.128</v>
      </c>
      <c r="K23" s="10" t="s">
        <v>63</v>
      </c>
      <c r="L23" s="17" t="n">
        <f aca="false">D25/D24</f>
        <v>0.340248398714737</v>
      </c>
      <c r="M23" s="12" t="s">
        <v>64</v>
      </c>
    </row>
    <row r="24" customFormat="false" ht="15" hidden="false" customHeight="false" outlineLevel="0" collapsed="false">
      <c r="A24" s="13" t="s">
        <v>65</v>
      </c>
      <c r="B24" s="14" t="n">
        <f aca="false">B22-B23</f>
        <v>62350.6213</v>
      </c>
      <c r="C24" s="14" t="n">
        <f aca="false">C22-C23</f>
        <v>68083.51205</v>
      </c>
      <c r="D24" s="14" t="n">
        <f aca="false">D22-D23</f>
        <v>62760.03085</v>
      </c>
      <c r="K24" s="10" t="s">
        <v>66</v>
      </c>
      <c r="L24" s="18" t="n">
        <v>164.01</v>
      </c>
    </row>
    <row r="25" customFormat="false" ht="15" hidden="false" customHeight="false" outlineLevel="0" collapsed="false">
      <c r="A25" s="13" t="s">
        <v>67</v>
      </c>
      <c r="B25" s="8" t="n">
        <v>21308</v>
      </c>
      <c r="C25" s="8" t="n">
        <v>25390</v>
      </c>
      <c r="D25" s="8" t="n">
        <v>21354</v>
      </c>
      <c r="K25" s="10" t="s">
        <v>68</v>
      </c>
      <c r="L25" s="19" t="n">
        <v>674394.669056</v>
      </c>
    </row>
    <row r="26" customFormat="false" ht="15" hidden="false" customHeight="false" outlineLevel="0" collapsed="false">
      <c r="K26" s="10" t="s">
        <v>69</v>
      </c>
      <c r="L26" s="19" t="n">
        <v>4111.91196</v>
      </c>
    </row>
    <row r="27" customFormat="false" ht="15" hidden="false" customHeight="false" outlineLevel="0" collapsed="false">
      <c r="K27" s="10" t="s">
        <v>70</v>
      </c>
      <c r="L27" s="19" t="n">
        <v>10681</v>
      </c>
    </row>
    <row r="28" customFormat="false" ht="15" hidden="false" customHeight="false" outlineLevel="0" collapsed="false">
      <c r="A28" s="7" t="s">
        <v>71</v>
      </c>
      <c r="B28" s="8" t="n">
        <v>12142</v>
      </c>
      <c r="C28" s="8" t="n">
        <v>4033</v>
      </c>
      <c r="D28" s="8" t="n">
        <v>7423</v>
      </c>
      <c r="K28" s="10" t="s">
        <v>72</v>
      </c>
      <c r="L28" s="19" t="n">
        <v>43537</v>
      </c>
    </row>
    <row r="29" customFormat="false" ht="39" hidden="false" customHeight="true" outlineLevel="0" collapsed="false">
      <c r="A29" s="7" t="s">
        <v>73</v>
      </c>
      <c r="B29" s="8" t="n">
        <v>1637</v>
      </c>
      <c r="C29" s="8" t="n">
        <v>2577</v>
      </c>
      <c r="D29" s="8" t="n">
        <v>800</v>
      </c>
      <c r="K29" s="10" t="s">
        <v>74</v>
      </c>
      <c r="L29" s="19" t="n">
        <v>0</v>
      </c>
      <c r="M29" s="12" t="s">
        <v>75</v>
      </c>
    </row>
    <row r="30" customFormat="false" ht="15" hidden="false" customHeight="false" outlineLevel="0" collapsed="false">
      <c r="A30" s="7" t="s">
        <v>76</v>
      </c>
      <c r="B30" s="8" t="n">
        <v>2714</v>
      </c>
      <c r="C30" s="8" t="n">
        <v>3052</v>
      </c>
      <c r="D30" s="8" t="n">
        <v>2857</v>
      </c>
      <c r="K30" s="10" t="s">
        <v>77</v>
      </c>
      <c r="L30" s="19" t="n">
        <v>7240</v>
      </c>
    </row>
    <row r="31" customFormat="false" ht="15" hidden="false" customHeight="false" outlineLevel="0" collapsed="false">
      <c r="A31" s="7" t="s">
        <v>78</v>
      </c>
      <c r="B31" s="8" t="n">
        <v>-1791</v>
      </c>
      <c r="C31" s="8" t="n">
        <v>-1372</v>
      </c>
      <c r="D31" s="8" t="n">
        <v>-3590</v>
      </c>
      <c r="K31" s="10" t="s">
        <v>79</v>
      </c>
      <c r="L31" s="19" t="n">
        <v>0</v>
      </c>
    </row>
    <row r="32" customFormat="false" ht="15" hidden="false" customHeight="false" outlineLevel="0" collapsed="false">
      <c r="A32" s="7" t="s">
        <v>80</v>
      </c>
      <c r="B32" s="8" t="n">
        <v>1628</v>
      </c>
      <c r="C32" s="8" t="n">
        <v>1600</v>
      </c>
      <c r="D32" s="8" t="n">
        <v>1212</v>
      </c>
    </row>
    <row r="33" customFormat="false" ht="15" hidden="false" customHeight="false" outlineLevel="0" collapsed="false">
      <c r="A33" s="7" t="s">
        <v>81</v>
      </c>
      <c r="B33" s="8" t="n">
        <v>849</v>
      </c>
      <c r="C33" s="8" t="n">
        <v>996</v>
      </c>
      <c r="D33" s="8" t="n">
        <v>603</v>
      </c>
      <c r="K33" s="10" t="s">
        <v>82</v>
      </c>
      <c r="L33" s="15" t="n">
        <v>0.0527699995040894</v>
      </c>
    </row>
    <row r="34" customFormat="false" ht="15" hidden="false" customHeight="false" outlineLevel="0" collapsed="false">
      <c r="A34" s="7" t="s">
        <v>83</v>
      </c>
      <c r="B34" s="20" t="n">
        <v>0.292310024060777</v>
      </c>
      <c r="C34" s="20" t="n">
        <v>0.282569107687271</v>
      </c>
      <c r="D34" s="20" t="n">
        <v>0.278763206358438</v>
      </c>
      <c r="K34" s="10" t="s">
        <v>84</v>
      </c>
      <c r="L34" s="15" t="n">
        <v>0.0838371068129586</v>
      </c>
    </row>
    <row r="35" customFormat="false" ht="15" hidden="false" customHeight="false" outlineLevel="0" collapsed="false">
      <c r="A35" s="13" t="s">
        <v>85</v>
      </c>
      <c r="B35" s="14" t="n">
        <f aca="false">B31-(B32-B33)*(1-B34)</f>
        <v>-2342.29049125665</v>
      </c>
      <c r="C35" s="14" t="n">
        <f aca="false">C31-(C32-C33)*(1-C34)</f>
        <v>-1805.32825895689</v>
      </c>
      <c r="D35" s="14" t="n">
        <f aca="false">D31-(D32-D33)*(1-D34)</f>
        <v>-4029.23320732771</v>
      </c>
      <c r="K35" s="10" t="s">
        <v>86</v>
      </c>
      <c r="L35" s="21" t="n">
        <v>0.175</v>
      </c>
    </row>
    <row r="36" customFormat="false" ht="25.5" hidden="false" customHeight="true" outlineLevel="0" collapsed="false">
      <c r="A36" s="7" t="s">
        <v>87</v>
      </c>
      <c r="B36" s="8" t="n">
        <v>344582</v>
      </c>
      <c r="C36" s="8" t="n">
        <v>349585</v>
      </c>
      <c r="D36" s="8" t="n">
        <v>332238</v>
      </c>
      <c r="K36" s="10" t="s">
        <v>88</v>
      </c>
      <c r="L36" s="15" t="n">
        <v>0.019032786076935</v>
      </c>
      <c r="M36" s="12" t="s">
        <v>89</v>
      </c>
    </row>
    <row r="37" customFormat="false" ht="15" hidden="false" customHeight="false" outlineLevel="0" collapsed="false">
      <c r="A37" s="13" t="s">
        <v>90</v>
      </c>
      <c r="B37" s="14" t="n">
        <f aca="false">SUM(B25,B28:B31)-B38</f>
        <v>0</v>
      </c>
      <c r="C37" s="14" t="n">
        <f aca="false">SUM(C25,C28:C31)-C38</f>
        <v>0</v>
      </c>
      <c r="D37" s="14" t="n">
        <f aca="false">SUM(D25,D28:D31)-D38</f>
        <v>0</v>
      </c>
      <c r="K37" s="10" t="s">
        <v>91</v>
      </c>
      <c r="L37" s="15" t="n">
        <v>0.282569107687271</v>
      </c>
    </row>
    <row r="38" customFormat="false" ht="15" hidden="false" customHeight="false" outlineLevel="0" collapsed="false">
      <c r="A38" s="13" t="s">
        <v>92</v>
      </c>
      <c r="B38" s="8" t="n">
        <v>36010</v>
      </c>
      <c r="C38" s="8" t="n">
        <v>33680</v>
      </c>
      <c r="D38" s="8" t="n">
        <v>28844</v>
      </c>
      <c r="K38" s="10" t="s">
        <v>93</v>
      </c>
      <c r="L38" s="15" t="n">
        <v>0.0606422614804641</v>
      </c>
    </row>
    <row r="39" customFormat="false" ht="15" hidden="false" customHeight="false" outlineLevel="0" collapsed="false">
      <c r="A39" s="7" t="s">
        <v>94</v>
      </c>
      <c r="B39" s="14" t="n">
        <f aca="false">SUM(B25,B28:B30,B35)</f>
        <v>35458.7095087434</v>
      </c>
      <c r="C39" s="14" t="n">
        <f aca="false">SUM(C25,C28:C30,C35)</f>
        <v>33246.6717410431</v>
      </c>
      <c r="D39" s="14" t="n">
        <f aca="false">SUM(D25,D28:D30,D35)</f>
        <v>28404.7667926723</v>
      </c>
      <c r="K39" s="10" t="s">
        <v>95</v>
      </c>
      <c r="L39" s="15" t="n">
        <v>0.939357738519536</v>
      </c>
    </row>
    <row r="40" customFormat="false" ht="15" hidden="false" customHeight="false" outlineLevel="0" collapsed="false">
      <c r="A40" s="7" t="s">
        <v>96</v>
      </c>
      <c r="B40" s="8" t="n">
        <v>20641</v>
      </c>
      <c r="C40" s="8" t="n">
        <v>23442</v>
      </c>
      <c r="D40" s="8" t="n">
        <v>25993</v>
      </c>
      <c r="K40" s="10" t="s">
        <v>97</v>
      </c>
      <c r="L40" s="17" t="n">
        <f aca="false">L33+L35*L34</f>
        <v>0.0674414931963571</v>
      </c>
      <c r="M40" s="12" t="s">
        <v>98</v>
      </c>
    </row>
    <row r="41" customFormat="false" ht="23.85" hidden="false" customHeight="false" outlineLevel="0" collapsed="false">
      <c r="A41" s="7" t="s">
        <v>99</v>
      </c>
      <c r="B41" s="8" t="n">
        <v>23228</v>
      </c>
      <c r="C41" s="8" t="n">
        <v>25647</v>
      </c>
      <c r="D41" s="8" t="n">
        <v>28997</v>
      </c>
      <c r="K41" s="10" t="s">
        <v>100</v>
      </c>
      <c r="L41" s="17" t="n">
        <f aca="false">L39*L40+L38*L36*(1-L37)</f>
        <v>0.064179740946637</v>
      </c>
      <c r="M41" s="12" t="s">
        <v>101</v>
      </c>
    </row>
    <row r="42" customFormat="false" ht="25.5" hidden="false" customHeight="true" outlineLevel="0" collapsed="false">
      <c r="A42" s="7" t="s">
        <v>102</v>
      </c>
      <c r="B42" s="8" t="n">
        <v>4255</v>
      </c>
      <c r="C42" s="8" t="n">
        <v>1826</v>
      </c>
      <c r="D42" s="8" t="n">
        <v>7728</v>
      </c>
      <c r="K42" s="10" t="s">
        <v>103</v>
      </c>
      <c r="L42" s="15" t="n">
        <v>0.025</v>
      </c>
      <c r="M42" s="12" t="s">
        <v>104</v>
      </c>
    </row>
    <row r="43" customFormat="false" ht="15" hidden="false" customHeight="false" outlineLevel="0" collapsed="false">
      <c r="A43" s="13" t="s">
        <v>105</v>
      </c>
      <c r="B43" s="14" t="n">
        <f aca="false">B39+B40-B41-B42</f>
        <v>28616.7095087433</v>
      </c>
      <c r="C43" s="14" t="n">
        <f aca="false">C39+C40-C41-C42</f>
        <v>29215.6717410431</v>
      </c>
      <c r="D43" s="14" t="n">
        <f aca="false">D39+D40-D41-D42</f>
        <v>17672.7667926723</v>
      </c>
      <c r="K43" s="10" t="s">
        <v>106</v>
      </c>
      <c r="L43" s="8" t="n">
        <v>700</v>
      </c>
    </row>
    <row r="44" customFormat="false" ht="15" hidden="false" customHeight="false" outlineLevel="0" collapsed="false">
      <c r="K44" s="10" t="s">
        <v>107</v>
      </c>
      <c r="L44" s="8" t="n">
        <v>90</v>
      </c>
    </row>
    <row r="45" customFormat="false" ht="15" hidden="false" customHeight="false" outlineLevel="0" collapsed="false">
      <c r="A45" s="7" t="s">
        <v>108</v>
      </c>
      <c r="B45" s="22" t="n">
        <v>16.928</v>
      </c>
      <c r="C45" s="22" t="n">
        <v>19.949</v>
      </c>
      <c r="D45" s="22" t="n">
        <v>19.311</v>
      </c>
      <c r="K45" s="10" t="s">
        <v>109</v>
      </c>
      <c r="L45" s="8" t="n">
        <v>20</v>
      </c>
    </row>
    <row r="46" customFormat="false" ht="15" hidden="false" customHeight="false" outlineLevel="0" collapsed="false">
      <c r="A46" s="7" t="s">
        <v>110</v>
      </c>
      <c r="B46" s="22" t="n">
        <v>10.676</v>
      </c>
      <c r="C46" s="22" t="n">
        <v>12.599</v>
      </c>
      <c r="D46" s="22" t="n">
        <v>12.304</v>
      </c>
    </row>
    <row r="47" customFormat="false" ht="15" hidden="false" customHeight="false" outlineLevel="0" collapsed="false">
      <c r="A47" s="7" t="s">
        <v>111</v>
      </c>
      <c r="B47" s="22" t="n">
        <v>6.252</v>
      </c>
      <c r="C47" s="22" t="n">
        <v>7.35</v>
      </c>
      <c r="D47" s="22" t="n">
        <v>7.007</v>
      </c>
    </row>
    <row r="48" customFormat="false" ht="15" hidden="false" customHeight="false" outlineLevel="0" collapsed="false">
      <c r="A48" s="13" t="s">
        <v>112</v>
      </c>
    </row>
    <row r="50" customFormat="false" ht="15" hidden="false" customHeight="false" outlineLevel="0" collapsed="false">
      <c r="A50" s="3" t="s">
        <v>113</v>
      </c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</row>
    <row r="51" customFormat="false" ht="15" hidden="false" customHeight="false" outlineLevel="0" collapsed="false">
      <c r="A51" s="7" t="s">
        <v>114</v>
      </c>
      <c r="E51" s="14" t="n">
        <f aca="false">D5*(1+$L$11)^1</f>
        <v>2262</v>
      </c>
      <c r="F51" s="14" t="n">
        <f aca="false">D5*(1+$L$11)^2</f>
        <v>2262</v>
      </c>
      <c r="G51" s="14" t="n">
        <f aca="false">D5*(1+$L$11)^3</f>
        <v>2262</v>
      </c>
      <c r="H51" s="14" t="n">
        <f aca="false">D5*(1+$L$11)^4</f>
        <v>2262</v>
      </c>
      <c r="I51" s="14" t="n">
        <f aca="false">D5*(1+$L$11)^5</f>
        <v>2262</v>
      </c>
    </row>
    <row r="52" customFormat="false" ht="15" hidden="false" customHeight="false" outlineLevel="0" collapsed="false">
      <c r="A52" s="7" t="s">
        <v>15</v>
      </c>
      <c r="E52" s="14" t="n">
        <f aca="false">D6*(1+$L$11)^1</f>
        <v>612</v>
      </c>
      <c r="F52" s="14" t="n">
        <f aca="false">D6*(1+$L$11)^2</f>
        <v>612</v>
      </c>
      <c r="G52" s="14" t="n">
        <f aca="false">D6*(1+$L$11)^3</f>
        <v>612</v>
      </c>
      <c r="H52" s="14" t="n">
        <f aca="false">D6*(1+$L$11)^4</f>
        <v>612</v>
      </c>
      <c r="I52" s="14" t="n">
        <f aca="false">D6*(1+$L$11)^5</f>
        <v>612</v>
      </c>
    </row>
    <row r="53" customFormat="false" ht="15" hidden="false" customHeight="false" outlineLevel="0" collapsed="false">
      <c r="A53" s="7" t="s">
        <v>18</v>
      </c>
      <c r="E53" s="14" t="n">
        <f aca="false">D7*(1+$L$11)^1</f>
        <v>385</v>
      </c>
      <c r="F53" s="14" t="n">
        <f aca="false">D7*(1+$L$11)^2</f>
        <v>385</v>
      </c>
      <c r="G53" s="14" t="n">
        <f aca="false">D7*(1+$L$11)^3</f>
        <v>385</v>
      </c>
      <c r="H53" s="14" t="n">
        <f aca="false">D7*(1+$L$11)^4</f>
        <v>385</v>
      </c>
      <c r="I53" s="14" t="n">
        <f aca="false">D7*(1+$L$11)^5</f>
        <v>385</v>
      </c>
    </row>
    <row r="54" customFormat="false" ht="15" hidden="false" customHeight="false" outlineLevel="0" collapsed="false">
      <c r="A54" s="7" t="s">
        <v>21</v>
      </c>
      <c r="E54" s="14" t="n">
        <f aca="false">D8*(1+$L$11)^1</f>
        <v>68</v>
      </c>
      <c r="F54" s="14" t="n">
        <f aca="false">D8*(1+$L$11)^2</f>
        <v>68</v>
      </c>
      <c r="G54" s="14" t="n">
        <f aca="false">D8*(1+$L$11)^3</f>
        <v>68</v>
      </c>
      <c r="H54" s="14" t="n">
        <f aca="false">D8*(1+$L$11)^4</f>
        <v>68</v>
      </c>
      <c r="I54" s="14" t="n">
        <f aca="false">D8*(1+$L$11)^5</f>
        <v>68</v>
      </c>
    </row>
    <row r="55" customFormat="false" ht="15" hidden="false" customHeight="false" outlineLevel="0" collapsed="false">
      <c r="A55" s="7" t="s">
        <v>115</v>
      </c>
      <c r="E55" s="14" t="n">
        <f aca="false">(D9-SUM(D5:D8))*(1+$L$11)^1</f>
        <v>2</v>
      </c>
      <c r="F55" s="14" t="n">
        <f aca="false">(D9-SUM(D5:D8))*(1+$L$11)^2</f>
        <v>2</v>
      </c>
      <c r="G55" s="14" t="n">
        <f aca="false">(D9-SUM(D5:D8))*(1+$L$11)^3</f>
        <v>2</v>
      </c>
      <c r="H55" s="14" t="n">
        <f aca="false">(D9-SUM(D5:D8))*(1+$L$11)^4</f>
        <v>2</v>
      </c>
      <c r="I55" s="14" t="n">
        <f aca="false">(D9-SUM(D5:D8))*(1+$L$11)^5</f>
        <v>2</v>
      </c>
    </row>
    <row r="56" customFormat="false" ht="15" hidden="false" customHeight="false" outlineLevel="0" collapsed="false">
      <c r="A56" s="13" t="s">
        <v>24</v>
      </c>
      <c r="E56" s="14" t="n">
        <f aca="false">SUM(E51:E55)</f>
        <v>3329</v>
      </c>
      <c r="F56" s="14" t="n">
        <f aca="false">SUM(F51:F55)</f>
        <v>3329</v>
      </c>
      <c r="G56" s="14" t="n">
        <f aca="false">SUM(G51:G55)</f>
        <v>3329</v>
      </c>
      <c r="H56" s="14" t="n">
        <f aca="false">SUM(H51:H55)</f>
        <v>3329</v>
      </c>
      <c r="I56" s="14" t="n">
        <f aca="false">SUM(I51:I55)</f>
        <v>3329</v>
      </c>
    </row>
    <row r="57" customFormat="false" ht="15" hidden="false" customHeight="false" outlineLevel="0" collapsed="false">
      <c r="A57" s="7" t="s">
        <v>116</v>
      </c>
      <c r="E57" s="14" t="n">
        <f aca="false">D11*(1+$L$12)^1</f>
        <v>8442</v>
      </c>
      <c r="F57" s="14" t="n">
        <f aca="false">D11*(1+$L$12)^2</f>
        <v>8442</v>
      </c>
      <c r="G57" s="14" t="n">
        <f aca="false">D11*(1+$L$12)^3</f>
        <v>8442</v>
      </c>
      <c r="H57" s="14" t="n">
        <f aca="false">D11*(1+$L$12)^4</f>
        <v>8442</v>
      </c>
      <c r="I57" s="14" t="n">
        <f aca="false">D11*(1+$L$12)^5</f>
        <v>8442</v>
      </c>
    </row>
    <row r="58" customFormat="false" ht="15" hidden="false" customHeight="false" outlineLevel="0" collapsed="false">
      <c r="A58" s="13" t="s">
        <v>32</v>
      </c>
      <c r="E58" s="14" t="n">
        <f aca="false">E56+E57/6</f>
        <v>4736</v>
      </c>
      <c r="F58" s="14" t="n">
        <f aca="false">F56+F57/6</f>
        <v>4736</v>
      </c>
      <c r="G58" s="14" t="n">
        <f aca="false">G56+G57/6</f>
        <v>4736</v>
      </c>
      <c r="H58" s="14" t="n">
        <f aca="false">H56+H57/6</f>
        <v>4736</v>
      </c>
      <c r="I58" s="14" t="n">
        <f aca="false">I56+I57/6</f>
        <v>4736</v>
      </c>
    </row>
    <row r="59" customFormat="false" ht="15" hidden="false" customHeight="false" outlineLevel="0" collapsed="false">
      <c r="A59" s="7" t="s">
        <v>117</v>
      </c>
      <c r="E59" s="23" t="n">
        <f aca="false">D15+$L$6*1</f>
        <v>65.18</v>
      </c>
      <c r="F59" s="23" t="n">
        <f aca="false">D15+$L$6*2</f>
        <v>65.18</v>
      </c>
      <c r="G59" s="23" t="n">
        <f aca="false">D15+$L$6*3</f>
        <v>65.18</v>
      </c>
      <c r="H59" s="23" t="n">
        <f aca="false">D15+$L$6*4</f>
        <v>65.18</v>
      </c>
      <c r="I59" s="23" t="n">
        <f aca="false">D15+$L$6*5</f>
        <v>65.18</v>
      </c>
    </row>
    <row r="60" customFormat="false" ht="15" hidden="false" customHeight="false" outlineLevel="0" collapsed="false">
      <c r="A60" s="7" t="s">
        <v>118</v>
      </c>
      <c r="E60" s="23" t="n">
        <f aca="false">D16+$L$7*1</f>
        <v>23.64</v>
      </c>
      <c r="F60" s="23" t="n">
        <f aca="false">D16+$L$7*2</f>
        <v>23.64</v>
      </c>
      <c r="G60" s="23" t="n">
        <f aca="false">D16+$L$7*3</f>
        <v>23.64</v>
      </c>
      <c r="H60" s="23" t="n">
        <f aca="false">D16+$L$7*4</f>
        <v>23.64</v>
      </c>
      <c r="I60" s="23" t="n">
        <f aca="false">D16+$L$7*5</f>
        <v>23.64</v>
      </c>
    </row>
    <row r="61" customFormat="false" ht="15" hidden="false" customHeight="false" outlineLevel="0" collapsed="false">
      <c r="A61" s="7" t="s">
        <v>119</v>
      </c>
      <c r="E61" s="23" t="n">
        <f aca="false">D17+$L$8*1</f>
        <v>46.13</v>
      </c>
      <c r="F61" s="23" t="n">
        <f aca="false">D17+$L$8*2</f>
        <v>46.13</v>
      </c>
      <c r="G61" s="23" t="n">
        <f aca="false">D17+$L$8*3</f>
        <v>46.13</v>
      </c>
      <c r="H61" s="23" t="n">
        <f aca="false">D17+$L$8*4</f>
        <v>46.13</v>
      </c>
      <c r="I61" s="23" t="n">
        <f aca="false">D17+$L$8*5</f>
        <v>46.13</v>
      </c>
    </row>
    <row r="62" customFormat="false" ht="15" hidden="false" customHeight="false" outlineLevel="0" collapsed="false">
      <c r="A62" s="7" t="s">
        <v>48</v>
      </c>
      <c r="E62" s="23" t="n">
        <f aca="false">D18+$L$9*1</f>
        <v>63.61</v>
      </c>
      <c r="F62" s="23" t="n">
        <f aca="false">D18+$L$9*2</f>
        <v>63.61</v>
      </c>
      <c r="G62" s="23" t="n">
        <f aca="false">D18+$L$9*3</f>
        <v>63.61</v>
      </c>
      <c r="H62" s="23" t="n">
        <f aca="false">D18+$L$9*4</f>
        <v>63.61</v>
      </c>
      <c r="I62" s="23" t="n">
        <f aca="false">D18+$L$9*5</f>
        <v>63.61</v>
      </c>
    </row>
    <row r="63" customFormat="false" ht="15" hidden="false" customHeight="false" outlineLevel="0" collapsed="false">
      <c r="A63" s="7" t="s">
        <v>120</v>
      </c>
      <c r="E63" s="23" t="n">
        <f aca="false">D19+$L$10*1</f>
        <v>4.28</v>
      </c>
      <c r="F63" s="23" t="n">
        <f aca="false">D19+$L$10*2</f>
        <v>4.28</v>
      </c>
      <c r="G63" s="23" t="n">
        <f aca="false">D19+$L$10*3</f>
        <v>4.28</v>
      </c>
      <c r="H63" s="23" t="n">
        <f aca="false">D19+$L$10*4</f>
        <v>4.28</v>
      </c>
      <c r="I63" s="23" t="n">
        <f aca="false">D19+$L$10*5</f>
        <v>4.28</v>
      </c>
    </row>
    <row r="64" customFormat="false" ht="15" hidden="false" customHeight="false" outlineLevel="0" collapsed="false">
      <c r="A64" s="7" t="s">
        <v>54</v>
      </c>
      <c r="E64" s="23" t="n">
        <f aca="false">D20+$L$13*1</f>
        <v>10.2</v>
      </c>
      <c r="F64" s="23" t="n">
        <f aca="false">D20+$L$13*2</f>
        <v>10.2</v>
      </c>
      <c r="G64" s="23" t="n">
        <f aca="false">D20+$L$13*3</f>
        <v>10.2</v>
      </c>
      <c r="H64" s="23" t="n">
        <f aca="false">D20+$L$13*4</f>
        <v>10.2</v>
      </c>
      <c r="I64" s="23" t="n">
        <f aca="false">D20+$L$13*5</f>
        <v>10.2</v>
      </c>
    </row>
    <row r="65" customFormat="false" ht="15" hidden="false" customHeight="false" outlineLevel="0" collapsed="false">
      <c r="A65" s="3" t="s">
        <v>121</v>
      </c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</row>
    <row r="66" customFormat="false" ht="15" hidden="false" customHeight="false" outlineLevel="0" collapsed="false">
      <c r="A66" s="7" t="s">
        <v>122</v>
      </c>
      <c r="E66" s="14" t="n">
        <f aca="false">E51*E59*365/1000+E52*E60*365/1000+E53*E61*365/1000+E54*E62*365/1000+E55*E59*365/1000+E57*E63*365/1000</f>
        <v>80392.15885</v>
      </c>
      <c r="F66" s="14" t="n">
        <f aca="false">F51*F59*365/1000+F52*F60*365/1000+F53*F61*365/1000+F54*F62*365/1000+F55*F59*365/1000+F57*F63*365/1000</f>
        <v>80392.15885</v>
      </c>
      <c r="G66" s="14" t="n">
        <f aca="false">G51*G59*365/1000+G52*G60*365/1000+G53*G61*365/1000+G54*G62*365/1000+G55*G59*365/1000+G57*G63*365/1000</f>
        <v>80392.15885</v>
      </c>
      <c r="H66" s="14" t="n">
        <f aca="false">H51*H59*365/1000+H52*H60*365/1000+H53*H61*365/1000+H54*H62*365/1000+H55*H59*365/1000+H57*H63*365/1000</f>
        <v>80392.15885</v>
      </c>
      <c r="I66" s="14" t="n">
        <f aca="false">I51*I59*365/1000+I52*I60*365/1000+I53*I61*365/1000+I54*I62*365/1000+I55*I59*365/1000+I57*I63*365/1000</f>
        <v>80392.15885</v>
      </c>
    </row>
    <row r="67" customFormat="false" ht="15" hidden="false" customHeight="false" outlineLevel="0" collapsed="false">
      <c r="A67" s="7" t="s">
        <v>123</v>
      </c>
      <c r="E67" s="14" t="n">
        <f aca="false">E58*E64*365/1000</f>
        <v>17632.128</v>
      </c>
      <c r="F67" s="14" t="n">
        <f aca="false">F58*F64*365/1000</f>
        <v>17632.128</v>
      </c>
      <c r="G67" s="14" t="n">
        <f aca="false">G58*G64*365/1000</f>
        <v>17632.128</v>
      </c>
      <c r="H67" s="14" t="n">
        <f aca="false">H58*H64*365/1000</f>
        <v>17632.128</v>
      </c>
      <c r="I67" s="14" t="n">
        <f aca="false">I58*I64*365/1000</f>
        <v>17632.128</v>
      </c>
    </row>
    <row r="68" customFormat="false" ht="15" hidden="false" customHeight="false" outlineLevel="0" collapsed="false">
      <c r="A68" s="13" t="s">
        <v>124</v>
      </c>
      <c r="E68" s="14" t="n">
        <f aca="false">E66-E67</f>
        <v>62760.03085</v>
      </c>
      <c r="F68" s="14" t="n">
        <f aca="false">F66-F67</f>
        <v>62760.03085</v>
      </c>
      <c r="G68" s="14" t="n">
        <f aca="false">G66-G67</f>
        <v>62760.03085</v>
      </c>
      <c r="H68" s="14" t="n">
        <f aca="false">H66-H67</f>
        <v>62760.03085</v>
      </c>
      <c r="I68" s="14" t="n">
        <f aca="false">I66-I67</f>
        <v>62760.03085</v>
      </c>
    </row>
    <row r="69" customFormat="false" ht="15" hidden="false" customHeight="false" outlineLevel="0" collapsed="false">
      <c r="A69" s="13" t="s">
        <v>125</v>
      </c>
      <c r="E69" s="14" t="n">
        <f aca="false">$D$25+(E68-$D$24)*$L$23</f>
        <v>21354</v>
      </c>
      <c r="F69" s="14" t="n">
        <f aca="false">$D$25+(F68-$D$24)*$L$23</f>
        <v>21354</v>
      </c>
      <c r="G69" s="14" t="n">
        <f aca="false">$D$25+(G68-$D$24)*$L$23</f>
        <v>21354</v>
      </c>
      <c r="H69" s="14" t="n">
        <f aca="false">$D$25+(H68-$D$24)*$L$23</f>
        <v>21354</v>
      </c>
      <c r="I69" s="14" t="n">
        <f aca="false">$D$25+(I68-$D$24)*$L$23</f>
        <v>21354</v>
      </c>
    </row>
    <row r="70" customFormat="false" ht="15" hidden="false" customHeight="false" outlineLevel="0" collapsed="false">
      <c r="A70" s="7" t="s">
        <v>126</v>
      </c>
      <c r="E70" s="14" t="n">
        <f aca="false">$D$28*(1+$L$14)^1</f>
        <v>7423</v>
      </c>
      <c r="F70" s="14" t="n">
        <f aca="false">$D$28*(1+$L$14)^2</f>
        <v>7423</v>
      </c>
      <c r="G70" s="14" t="n">
        <f aca="false">$D$28*(1+$L$14)^3</f>
        <v>7423</v>
      </c>
      <c r="H70" s="14" t="n">
        <f aca="false">$D$28*(1+$L$14)^4</f>
        <v>7423</v>
      </c>
      <c r="I70" s="14" t="n">
        <f aca="false">$D$28*(1+$L$14)^5</f>
        <v>7423</v>
      </c>
    </row>
    <row r="71" customFormat="false" ht="15" hidden="false" customHeight="false" outlineLevel="0" collapsed="false">
      <c r="A71" s="7" t="s">
        <v>127</v>
      </c>
      <c r="E71" s="14" t="n">
        <f aca="false">$D$29*(1+$L$15)^1</f>
        <v>800</v>
      </c>
      <c r="F71" s="14" t="n">
        <f aca="false">$D$29*(1+$L$15)^2</f>
        <v>800</v>
      </c>
      <c r="G71" s="14" t="n">
        <f aca="false">$D$29*(1+$L$15)^3</f>
        <v>800</v>
      </c>
      <c r="H71" s="14" t="n">
        <f aca="false">$D$29*(1+$L$15)^4</f>
        <v>800</v>
      </c>
      <c r="I71" s="14" t="n">
        <f aca="false">$D$29*(1+$L$15)^5</f>
        <v>800</v>
      </c>
    </row>
    <row r="72" customFormat="false" ht="15" hidden="false" customHeight="false" outlineLevel="0" collapsed="false">
      <c r="A72" s="7" t="s">
        <v>128</v>
      </c>
      <c r="E72" s="14" t="n">
        <f aca="false">$D$30*(1+$L$16)^1</f>
        <v>2857</v>
      </c>
      <c r="F72" s="14" t="n">
        <f aca="false">$D$30*(1+$L$16)^2</f>
        <v>2857</v>
      </c>
      <c r="G72" s="14" t="n">
        <f aca="false">$D$30*(1+$L$16)^3</f>
        <v>2857</v>
      </c>
      <c r="H72" s="14" t="n">
        <f aca="false">$D$30*(1+$L$16)^4</f>
        <v>2857</v>
      </c>
      <c r="I72" s="14" t="n">
        <f aca="false">$D$30*(1+$L$16)^5</f>
        <v>2857</v>
      </c>
    </row>
    <row r="73" customFormat="false" ht="15" hidden="false" customHeight="false" outlineLevel="0" collapsed="false">
      <c r="A73" s="7" t="s">
        <v>85</v>
      </c>
      <c r="E73" s="14" t="n">
        <f aca="false">$D$35*(1+$L$17)^1</f>
        <v>-4029.23320732771</v>
      </c>
      <c r="F73" s="14" t="n">
        <f aca="false">$D$35*(1+$L$17)^2</f>
        <v>-4029.23320732771</v>
      </c>
      <c r="G73" s="14" t="n">
        <f aca="false">$D$35*(1+$L$17)^3</f>
        <v>-4029.23320732771</v>
      </c>
      <c r="H73" s="14" t="n">
        <f aca="false">$D$35*(1+$L$17)^4</f>
        <v>-4029.23320732771</v>
      </c>
      <c r="I73" s="14" t="n">
        <f aca="false">$D$35*(1+$L$17)^5</f>
        <v>-4029.23320732771</v>
      </c>
    </row>
    <row r="74" customFormat="false" ht="15" hidden="false" customHeight="false" outlineLevel="0" collapsed="false">
      <c r="A74" s="13" t="s">
        <v>129</v>
      </c>
      <c r="E74" s="14" t="n">
        <f aca="false">SUM(E69:E73)</f>
        <v>28404.7667926723</v>
      </c>
      <c r="F74" s="14" t="n">
        <f aca="false">SUM(F69:F73)</f>
        <v>28404.7667926723</v>
      </c>
      <c r="G74" s="14" t="n">
        <f aca="false">SUM(G69:G73)</f>
        <v>28404.7667926723</v>
      </c>
      <c r="H74" s="14" t="n">
        <f aca="false">SUM(H69:H73)</f>
        <v>28404.7667926723</v>
      </c>
      <c r="I74" s="14" t="n">
        <f aca="false">SUM(I69:I73)</f>
        <v>28404.7667926723</v>
      </c>
    </row>
    <row r="75" customFormat="false" ht="15" hidden="false" customHeight="false" outlineLevel="0" collapsed="false">
      <c r="A75" s="7" t="s">
        <v>130</v>
      </c>
      <c r="E75" s="14" t="n">
        <f aca="false">$D$36*(1+$L$18)^1</f>
        <v>332238</v>
      </c>
      <c r="F75" s="14" t="n">
        <f aca="false">$D$36*(1+$L$18)^2</f>
        <v>332238</v>
      </c>
      <c r="G75" s="14" t="n">
        <f aca="false">$D$36*(1+$L$18)^3</f>
        <v>332238</v>
      </c>
      <c r="H75" s="14" t="n">
        <f aca="false">$D$36*(1+$L$18)^4</f>
        <v>332238</v>
      </c>
      <c r="I75" s="14" t="n">
        <f aca="false">$D$36*(1+$L$18)^5</f>
        <v>332238</v>
      </c>
    </row>
    <row r="76" customFormat="false" ht="15" hidden="false" customHeight="false" outlineLevel="0" collapsed="false">
      <c r="A76" s="7" t="s">
        <v>131</v>
      </c>
      <c r="E76" s="14" t="n">
        <f aca="false">E75*$L$20</f>
        <v>22278.7682423445</v>
      </c>
      <c r="F76" s="14" t="n">
        <f aca="false">F75*$L$20</f>
        <v>22278.7682423445</v>
      </c>
      <c r="G76" s="14" t="n">
        <f aca="false">G75*$L$20</f>
        <v>22278.7682423445</v>
      </c>
      <c r="H76" s="14" t="n">
        <f aca="false">H75*$L$20</f>
        <v>22278.7682423445</v>
      </c>
      <c r="I76" s="14" t="n">
        <f aca="false">I75*$L$20</f>
        <v>22278.7682423445</v>
      </c>
    </row>
    <row r="77" customFormat="false" ht="15" hidden="false" customHeight="false" outlineLevel="0" collapsed="false">
      <c r="A77" s="7" t="s">
        <v>132</v>
      </c>
      <c r="E77" s="14" t="n">
        <f aca="false">E75*$L$19</f>
        <v>24374.3524064248</v>
      </c>
      <c r="F77" s="14" t="n">
        <f aca="false">F75*$L$19</f>
        <v>24374.3524064248</v>
      </c>
      <c r="G77" s="14" t="n">
        <f aca="false">G75*$L$19</f>
        <v>24374.3524064248</v>
      </c>
      <c r="H77" s="14" t="n">
        <f aca="false">H75*$L$19</f>
        <v>24374.3524064248</v>
      </c>
      <c r="I77" s="14" t="n">
        <f aca="false">I75*$L$19</f>
        <v>24374.3524064248</v>
      </c>
    </row>
    <row r="78" customFormat="false" ht="15" hidden="false" customHeight="false" outlineLevel="0" collapsed="false">
      <c r="A78" s="7" t="s">
        <v>133</v>
      </c>
      <c r="E78" s="14" t="n">
        <f aca="false">E75*$L$21</f>
        <v>4102.57265324364</v>
      </c>
      <c r="F78" s="14" t="n">
        <f aca="false">F75*$L$21</f>
        <v>4102.57265324364</v>
      </c>
      <c r="G78" s="14" t="n">
        <f aca="false">G75*$L$21</f>
        <v>4102.57265324364</v>
      </c>
      <c r="H78" s="14" t="n">
        <f aca="false">H75*$L$21</f>
        <v>4102.57265324364</v>
      </c>
      <c r="I78" s="14" t="n">
        <f aca="false">I75*$L$21</f>
        <v>4102.57265324364</v>
      </c>
    </row>
    <row r="79" customFormat="false" ht="15" hidden="false" customHeight="false" outlineLevel="0" collapsed="false">
      <c r="A79" s="13" t="s">
        <v>134</v>
      </c>
      <c r="E79" s="14" t="n">
        <f aca="false">E74+E76-E77-E78</f>
        <v>22206.6099753484</v>
      </c>
      <c r="F79" s="14" t="n">
        <f aca="false">F74+F76-F77-F78</f>
        <v>22206.6099753484</v>
      </c>
      <c r="G79" s="14" t="n">
        <f aca="false">G74+G76-G77-G78</f>
        <v>22206.6099753484</v>
      </c>
      <c r="H79" s="14" t="n">
        <f aca="false">H74+H76-H77-H78</f>
        <v>22206.6099753484</v>
      </c>
      <c r="I79" s="14" t="n">
        <f aca="false">I74+I76-I77-I78</f>
        <v>22206.6099753484</v>
      </c>
    </row>
    <row r="80" customFormat="false" ht="15" hidden="false" customHeight="false" outlineLevel="0" collapsed="false">
      <c r="A80" s="7" t="s">
        <v>135</v>
      </c>
      <c r="E80" s="17" t="n">
        <f aca="false">1/(1+$L$41)^1</f>
        <v>0.939690882585731</v>
      </c>
      <c r="F80" s="17" t="n">
        <f aca="false">1/(1+$L$41)^2</f>
        <v>0.88301895481475</v>
      </c>
      <c r="G80" s="17" t="n">
        <f aca="false">1/(1+$L$41)^3</f>
        <v>0.829764860989803</v>
      </c>
      <c r="H80" s="17" t="n">
        <f aca="false">1/(1+$L$41)^4</f>
        <v>0.779722474562134</v>
      </c>
      <c r="I80" s="17" t="n">
        <f aca="false">1/(1+$L$41)^5</f>
        <v>0.732698100293222</v>
      </c>
    </row>
    <row r="81" customFormat="false" ht="15" hidden="false" customHeight="false" outlineLevel="0" collapsed="false">
      <c r="A81" s="13" t="s">
        <v>136</v>
      </c>
      <c r="E81" s="14" t="n">
        <f aca="false">E79*E80</f>
        <v>20867.3489269722</v>
      </c>
      <c r="F81" s="14" t="n">
        <f aca="false">F79*F80</f>
        <v>19608.8575304109</v>
      </c>
      <c r="G81" s="14" t="n">
        <f aca="false">G79*G80</f>
        <v>18426.2646392497</v>
      </c>
      <c r="H81" s="14" t="n">
        <f aca="false">H79*H80</f>
        <v>17314.9928816148</v>
      </c>
      <c r="I81" s="14" t="n">
        <f aca="false">I79*I80</f>
        <v>16270.7409428903</v>
      </c>
    </row>
    <row r="82" customFormat="false" ht="15" hidden="false" customHeight="false" outlineLevel="0" collapsed="false">
      <c r="A82" s="7" t="s">
        <v>137</v>
      </c>
      <c r="E82" s="24" t="n">
        <f aca="false">$D$45</f>
        <v>19.311</v>
      </c>
      <c r="F82" s="24" t="n">
        <f aca="false">E85</f>
        <v>19.311</v>
      </c>
      <c r="G82" s="24" t="n">
        <f aca="false">F85</f>
        <v>19.311</v>
      </c>
      <c r="H82" s="24" t="n">
        <f aca="false">G85</f>
        <v>19.311</v>
      </c>
      <c r="I82" s="24" t="n">
        <f aca="false">H85</f>
        <v>19.311</v>
      </c>
    </row>
    <row r="83" customFormat="false" ht="15" hidden="false" customHeight="false" outlineLevel="0" collapsed="false">
      <c r="A83" s="7" t="s">
        <v>138</v>
      </c>
      <c r="E83" s="24" t="n">
        <f aca="false">E58*365/1000000</f>
        <v>1.72864</v>
      </c>
      <c r="F83" s="24" t="n">
        <f aca="false">F58*365/1000000</f>
        <v>1.72864</v>
      </c>
      <c r="G83" s="24" t="n">
        <f aca="false">G58*365/1000000</f>
        <v>1.72864</v>
      </c>
      <c r="H83" s="24" t="n">
        <f aca="false">H58*365/1000000</f>
        <v>1.72864</v>
      </c>
      <c r="I83" s="24" t="n">
        <f aca="false">I58*365/1000000</f>
        <v>1.72864</v>
      </c>
    </row>
    <row r="84" customFormat="false" ht="15" hidden="false" customHeight="false" outlineLevel="0" collapsed="false">
      <c r="A84" s="7" t="s">
        <v>139</v>
      </c>
      <c r="E84" s="24" t="n">
        <f aca="false">E83*$L$22</f>
        <v>1.72864</v>
      </c>
      <c r="F84" s="24" t="n">
        <f aca="false">F83*$L$22</f>
        <v>1.72864</v>
      </c>
      <c r="G84" s="24" t="n">
        <f aca="false">G83*$L$22</f>
        <v>1.72864</v>
      </c>
      <c r="H84" s="24" t="n">
        <f aca="false">H83*$L$22</f>
        <v>1.72864</v>
      </c>
      <c r="I84" s="24" t="n">
        <f aca="false">I83*$L$22</f>
        <v>1.72864</v>
      </c>
    </row>
    <row r="85" customFormat="false" ht="15" hidden="false" customHeight="false" outlineLevel="0" collapsed="false">
      <c r="A85" s="13" t="s">
        <v>140</v>
      </c>
      <c r="E85" s="24" t="n">
        <f aca="false">E82+E84-E83</f>
        <v>19.311</v>
      </c>
      <c r="F85" s="24" t="n">
        <f aca="false">F82+F84-F83</f>
        <v>19.311</v>
      </c>
      <c r="G85" s="24" t="n">
        <f aca="false">G82+G84-G83</f>
        <v>19.311</v>
      </c>
      <c r="H85" s="24" t="n">
        <f aca="false">H82+H84-H83</f>
        <v>19.311</v>
      </c>
      <c r="I85" s="24" t="n">
        <f aca="false">I82+I84-I83</f>
        <v>19.311</v>
      </c>
    </row>
    <row r="86" customFormat="false" ht="15" hidden="false" customHeight="false" outlineLevel="0" collapsed="false">
      <c r="A86" s="7" t="s">
        <v>141</v>
      </c>
      <c r="E86" s="25" t="n">
        <f aca="false">IFERROR(E85/E83,0)</f>
        <v>11.1712097371344</v>
      </c>
      <c r="F86" s="25" t="n">
        <f aca="false">IFERROR(F85/F83,0)</f>
        <v>11.1712097371344</v>
      </c>
      <c r="G86" s="25" t="n">
        <f aca="false">IFERROR(G85/G83,0)</f>
        <v>11.1712097371344</v>
      </c>
      <c r="H86" s="25" t="n">
        <f aca="false">IFERROR(H85/H83,0)</f>
        <v>11.1712097371344</v>
      </c>
      <c r="I86" s="25" t="n">
        <f aca="false">IFERROR(I85/I83,0)</f>
        <v>11.1712097371344</v>
      </c>
    </row>
    <row r="87" customFormat="false" ht="15" hidden="false" customHeight="false" outlineLevel="0" collapsed="false">
      <c r="A87" s="7" t="s">
        <v>142</v>
      </c>
      <c r="E87" s="24" t="n">
        <f aca="false">E85-(E82+E84-E83)</f>
        <v>0</v>
      </c>
      <c r="F87" s="24" t="n">
        <f aca="false">F85-(F82+F84-F83)</f>
        <v>0</v>
      </c>
      <c r="G87" s="24" t="n">
        <f aca="false">G85-(G82+G84-G83)</f>
        <v>0</v>
      </c>
      <c r="H87" s="24" t="n">
        <f aca="false">H85-(H82+H84-H83)</f>
        <v>0</v>
      </c>
      <c r="I87" s="24" t="n">
        <f aca="false">I85-(I82+I84-I83)</f>
        <v>0</v>
      </c>
    </row>
    <row r="88" customFormat="false" ht="15" hidden="false" customHeight="false" outlineLevel="0" collapsed="false">
      <c r="A88" s="13" t="s">
        <v>143</v>
      </c>
      <c r="E88" s="14" t="n">
        <f aca="false">E51*365/1000*$L$23</f>
        <v>280.919285430848</v>
      </c>
      <c r="F88" s="14" t="n">
        <f aca="false">F51*365/1000*$L$23</f>
        <v>280.919285430848</v>
      </c>
      <c r="G88" s="14" t="n">
        <f aca="false">G51*365/1000*$L$23</f>
        <v>280.919285430848</v>
      </c>
      <c r="H88" s="14" t="n">
        <f aca="false">H51*365/1000*$L$23</f>
        <v>280.919285430848</v>
      </c>
      <c r="I88" s="14" t="n">
        <f aca="false">I51*365/1000*$L$23</f>
        <v>280.919285430848</v>
      </c>
    </row>
    <row r="89" customFormat="false" ht="15" hidden="false" customHeight="false" outlineLevel="0" collapsed="false">
      <c r="A89" s="13" t="s">
        <v>144</v>
      </c>
      <c r="E89" s="14" t="n">
        <f aca="false">$L$43</f>
        <v>700</v>
      </c>
      <c r="F89" s="14" t="n">
        <f aca="false">$L$43</f>
        <v>700</v>
      </c>
      <c r="G89" s="14" t="n">
        <f aca="false">$L$43</f>
        <v>700</v>
      </c>
      <c r="H89" s="14" t="n">
        <f aca="false">$L$43</f>
        <v>700</v>
      </c>
      <c r="I89" s="14" t="n">
        <f aca="false">$L$43</f>
        <v>700</v>
      </c>
    </row>
    <row r="90" customFormat="false" ht="15" hidden="false" customHeight="false" outlineLevel="0" collapsed="false">
      <c r="A90" s="3" t="s">
        <v>145</v>
      </c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</row>
    <row r="91" customFormat="false" ht="15" hidden="false" customHeight="false" outlineLevel="0" collapsed="false">
      <c r="A91" s="10" t="s">
        <v>146</v>
      </c>
      <c r="B91" s="14" t="n">
        <f aca="false">SUM(E81:I81)</f>
        <v>92488.204921138</v>
      </c>
    </row>
    <row r="92" customFormat="false" ht="15" hidden="false" customHeight="false" outlineLevel="0" collapsed="false">
      <c r="A92" s="10" t="s">
        <v>147</v>
      </c>
      <c r="B92" s="14" t="n">
        <f aca="false">I79*(1+$L$42)/($L$41-$L$42)</f>
        <v>580957.777534409</v>
      </c>
    </row>
    <row r="93" customFormat="false" ht="15" hidden="false" customHeight="false" outlineLevel="0" collapsed="false">
      <c r="A93" s="10" t="s">
        <v>148</v>
      </c>
      <c r="B93" s="14" t="n">
        <f aca="false">B92*I80</f>
        <v>425666.659950034</v>
      </c>
    </row>
    <row r="94" customFormat="false" ht="15" hidden="false" customHeight="false" outlineLevel="0" collapsed="false">
      <c r="A94" s="10" t="s">
        <v>149</v>
      </c>
      <c r="B94" s="14" t="n">
        <f aca="false">B91+B93</f>
        <v>518154.864871172</v>
      </c>
    </row>
    <row r="95" customFormat="false" ht="15" hidden="false" customHeight="false" outlineLevel="0" collapsed="false">
      <c r="A95" s="10" t="s">
        <v>150</v>
      </c>
      <c r="B95" s="14" t="n">
        <f aca="false">B94+L27+L29-L28-L30-L31</f>
        <v>478058.864871172</v>
      </c>
    </row>
    <row r="96" customFormat="false" ht="15" hidden="false" customHeight="false" outlineLevel="0" collapsed="false">
      <c r="A96" s="10" t="s">
        <v>66</v>
      </c>
      <c r="B96" s="26" t="n">
        <f aca="false">L24</f>
        <v>164.01</v>
      </c>
    </row>
    <row r="97" customFormat="false" ht="15" hidden="false" customHeight="false" outlineLevel="0" collapsed="false">
      <c r="A97" s="10" t="s">
        <v>151</v>
      </c>
      <c r="B97" s="26" t="n">
        <f aca="false">B95/L26</f>
        <v>116.261940800691</v>
      </c>
    </row>
    <row r="98" customFormat="false" ht="15" hidden="false" customHeight="false" outlineLevel="0" collapsed="false">
      <c r="A98" s="10" t="s">
        <v>152</v>
      </c>
      <c r="B98" s="17" t="n">
        <f aca="false">B97/B96-1</f>
        <v>-0.291128950669528</v>
      </c>
    </row>
    <row r="101" customFormat="false" ht="15" hidden="false" customHeight="false" outlineLevel="0" collapsed="false">
      <c r="A101" s="3" t="s">
        <v>153</v>
      </c>
      <c r="B101" s="3"/>
      <c r="C101" s="3"/>
      <c r="D101" s="3"/>
      <c r="E101" s="3"/>
      <c r="F101" s="3"/>
      <c r="G101" s="3"/>
    </row>
    <row r="102" customFormat="false" ht="15" hidden="false" customHeight="false" outlineLevel="0" collapsed="false">
      <c r="C102" s="17" t="n">
        <f aca="false">$L$42+-2*0.005</f>
        <v>0.015</v>
      </c>
      <c r="D102" s="17" t="n">
        <f aca="false">$L$42+-1*0.005</f>
        <v>0.02</v>
      </c>
      <c r="E102" s="17" t="n">
        <f aca="false">$L$42+0*0.005</f>
        <v>0.025</v>
      </c>
      <c r="F102" s="17" t="n">
        <f aca="false">$L$42+1*0.005</f>
        <v>0.03</v>
      </c>
      <c r="G102" s="17" t="n">
        <f aca="false">$L$42+2*0.005</f>
        <v>0.035</v>
      </c>
    </row>
    <row r="103" customFormat="false" ht="15" hidden="false" customHeight="false" outlineLevel="0" collapsed="false">
      <c r="B103" s="17" t="n">
        <f aca="false">$L$41+(-0.01)</f>
        <v>0.054179740946637</v>
      </c>
      <c r="C103" s="26" t="n">
        <f aca="false">($E$79/(1+$B103)^1+$F$79/(1+$B103)^2+$G$79/(1+$B103)^3+$H$79/(1+$B103)^4+$I$79/(1+$B103)^5+$I$79*(1+C$102)/($B103-C$102)/(1+$B103)^5+$L$27+$L$29-$L$28-$L$30-$L$31)/$L$26</f>
        <v>120.828330001309</v>
      </c>
      <c r="D103" s="26" t="n">
        <f aca="false">($E$79/(1+$B103)^1+$F$79/(1+$B103)^2+$G$79/(1+$B103)^3+$H$79/(1+$B103)^4+$I$79/(1+$B103)^5+$I$79*(1+D$102)/($B103-D$102)/(1+$B103)^5+$L$27+$L$29-$L$28-$L$30-$L$31)/$L$26</f>
        <v>137.15582170804</v>
      </c>
      <c r="E103" s="26" t="n">
        <f aca="false">($E$79/(1+$B103)^1+$F$79/(1+$B103)^2+$G$79/(1+$B103)^3+$H$79/(1+$B103)^4+$I$79/(1+$B103)^5+$I$79*(1+E$102)/($B103-E$102)/(1+$B103)^5+$L$27+$L$29-$L$28-$L$30-$L$31)/$L$26</f>
        <v>159.078802331751</v>
      </c>
      <c r="F103" s="26" t="n">
        <f aca="false">($E$79/(1+$B103)^1+$F$79/(1+$B103)^2+$G$79/(1+$B103)^3+$H$79/(1+$B103)^4+$I$79/(1+$B103)^5+$I$79*(1+F$102)/($B103-F$102)/(1+$B103)^5+$L$27+$L$29-$L$28-$L$30-$L$31)/$L$26</f>
        <v>190.068456031943</v>
      </c>
      <c r="G103" s="26" t="n">
        <f aca="false">($E$79/(1+$B103)^1+$F$79/(1+$B103)^2+$G$79/(1+$B103)^3+$H$79/(1+$B103)^4+$I$79/(1+$B103)^5+$I$79*(1+G$102)/($B103-G$102)/(1+$B103)^5+$L$27+$L$29-$L$28-$L$30-$L$31)/$L$26</f>
        <v>237.215603092661</v>
      </c>
    </row>
    <row r="104" customFormat="false" ht="15" hidden="false" customHeight="false" outlineLevel="0" collapsed="false">
      <c r="B104" s="17" t="n">
        <f aca="false">$L$41+(-0.005)</f>
        <v>0.059179740946637</v>
      </c>
      <c r="C104" s="26" t="n">
        <f aca="false">($E$79/(1+$B104)^1+$F$79/(1+$B104)^2+$G$79/(1+$B104)^3+$H$79/(1+$B104)^4+$I$79/(1+$B104)^5+$I$79*(1+C$102)/($B104-C$102)/(1+$B104)^5+$L$27+$L$29-$L$28-$L$30-$L$31)/$L$26</f>
        <v>106.123769432618</v>
      </c>
      <c r="D104" s="26" t="n">
        <f aca="false">($E$79/(1+$B104)^1+$F$79/(1+$B104)^2+$G$79/(1+$B104)^3+$H$79/(1+$B104)^4+$I$79/(1+$B104)^5+$I$79*(1+D$102)/($B104-D$102)/(1+$B104)^5+$L$27+$L$29-$L$28-$L$30-$L$31)/$L$26</f>
        <v>118.51872788012</v>
      </c>
      <c r="E104" s="26" t="n">
        <f aca="false">($E$79/(1+$B104)^1+$F$79/(1+$B104)^2+$G$79/(1+$B104)^3+$H$79/(1+$B104)^4+$I$79/(1+$B104)^5+$I$79*(1+E$102)/($B104-E$102)/(1+$B104)^5+$L$27+$L$29-$L$28-$L$30-$L$31)/$L$26</f>
        <v>134.540091357096</v>
      </c>
      <c r="F104" s="26" t="n">
        <f aca="false">($E$79/(1+$B104)^1+$F$79/(1+$B104)^2+$G$79/(1+$B104)^3+$H$79/(1+$B104)^4+$I$79/(1+$B104)^5+$I$79*(1+F$102)/($B104-F$102)/(1+$B104)^5+$L$27+$L$29-$L$28-$L$30-$L$31)/$L$26</f>
        <v>156.052032528465</v>
      </c>
      <c r="G104" s="26" t="n">
        <f aca="false">($E$79/(1+$B104)^1+$F$79/(1+$B104)^2+$G$79/(1+$B104)^3+$H$79/(1+$B104)^4+$I$79/(1+$B104)^5+$I$79*(1+G$102)/($B104-G$102)/(1+$B104)^5+$L$27+$L$29-$L$28-$L$30-$L$31)/$L$26</f>
        <v>186.460653452874</v>
      </c>
    </row>
    <row r="105" customFormat="false" ht="15" hidden="false" customHeight="false" outlineLevel="0" collapsed="false">
      <c r="B105" s="17" t="n">
        <f aca="false">$L$41+(0)</f>
        <v>0.064179740946637</v>
      </c>
      <c r="C105" s="26" t="n">
        <f aca="false">($E$79/(1+$B105)^1+$F$79/(1+$B105)^2+$G$79/(1+$B105)^3+$H$79/(1+$B105)^4+$I$79/(1+$B105)^5+$I$79*(1+C$102)/($B105-C$102)/(1+$B105)^5+$L$27+$L$29-$L$28-$L$30-$L$31)/$L$26</f>
        <v>94.4079521600567</v>
      </c>
      <c r="D105" s="26" t="n">
        <f aca="false">($E$79/(1+$B105)^1+$F$79/(1+$B105)^2+$G$79/(1+$B105)^3+$H$79/(1+$B105)^4+$I$79/(1+$B105)^5+$I$79*(1+D$102)/($B105-D$102)/(1+$B105)^5+$L$27+$L$29-$L$28-$L$30-$L$31)/$L$26</f>
        <v>104.098294330974</v>
      </c>
      <c r="E105" s="26" t="n">
        <f aca="false">($E$79/(1+$B105)^1+$F$79/(1+$B105)^2+$G$79/(1+$B105)^3+$H$79/(1+$B105)^4+$I$79/(1+$B105)^5+$I$79*(1+E$102)/($B105-E$102)/(1+$B105)^5+$L$27+$L$29-$L$28-$L$30-$L$31)/$L$26</f>
        <v>116.261940800691</v>
      </c>
      <c r="F105" s="26" t="n">
        <f aca="false">($E$79/(1+$B105)^1+$F$79/(1+$B105)^2+$G$79/(1+$B105)^3+$H$79/(1+$B105)^4+$I$79/(1+$B105)^5+$I$79*(1+F$102)/($B105-F$102)/(1+$B105)^5+$L$27+$L$29-$L$28-$L$30-$L$31)/$L$26</f>
        <v>131.984317129919</v>
      </c>
      <c r="G105" s="26" t="n">
        <f aca="false">($E$79/(1+$B105)^1+$F$79/(1+$B105)^2+$G$79/(1+$B105)^3+$H$79/(1+$B105)^4+$I$79/(1+$B105)^5+$I$79*(1+G$102)/($B105-G$102)/(1+$B105)^5+$L$27+$L$29-$L$28-$L$30-$L$31)/$L$26</f>
        <v>153.094807204907</v>
      </c>
    </row>
    <row r="106" customFormat="false" ht="15" hidden="false" customHeight="false" outlineLevel="0" collapsed="false">
      <c r="B106" s="17" t="n">
        <f aca="false">$L$41+(0.005)</f>
        <v>0.069179740946637</v>
      </c>
      <c r="C106" s="26" t="n">
        <f aca="false">($E$79/(1+$B106)^1+$F$79/(1+$B106)^2+$G$79/(1+$B106)^3+$H$79/(1+$B106)^4+$I$79/(1+$B106)^5+$I$79*(1+C$102)/($B106-C$102)/(1+$B106)^5+$L$27+$L$29-$L$28-$L$30-$L$31)/$L$26</f>
        <v>84.8534527105831</v>
      </c>
      <c r="D106" s="26" t="n">
        <f aca="false">($E$79/(1+$B106)^1+$F$79/(1+$B106)^2+$G$79/(1+$B106)^3+$H$79/(1+$B106)^4+$I$79/(1+$B106)^5+$I$79*(1+D$102)/($B106-D$102)/(1+$B106)^5+$L$27+$L$29-$L$28-$L$30-$L$31)/$L$26</f>
        <v>92.60846368377</v>
      </c>
      <c r="E106" s="26" t="n">
        <f aca="false">($E$79/(1+$B106)^1+$F$79/(1+$B106)^2+$G$79/(1+$B106)^3+$H$79/(1+$B106)^4+$I$79/(1+$B106)^5+$I$79*(1+E$102)/($B106-E$102)/(1+$B106)^5+$L$27+$L$29-$L$28-$L$30-$L$31)/$L$26</f>
        <v>102.118806582183</v>
      </c>
      <c r="F106" s="26" t="n">
        <f aca="false">($E$79/(1+$B106)^1+$F$79/(1+$B106)^2+$G$79/(1+$B106)^3+$H$79/(1+$B106)^4+$I$79/(1+$B106)^5+$I$79*(1+F$102)/($B106-F$102)/(1+$B106)^5+$L$27+$L$29-$L$28-$L$30-$L$31)/$L$26</f>
        <v>114.05651185427</v>
      </c>
      <c r="G106" s="26" t="n">
        <f aca="false">($E$79/(1+$B106)^1+$F$79/(1+$B106)^2+$G$79/(1+$B106)^3+$H$79/(1+$B106)^4+$I$79/(1+$B106)^5+$I$79*(1+G$102)/($B106-G$102)/(1+$B106)^5+$L$27+$L$29-$L$28-$L$30-$L$31)/$L$26</f>
        <v>129.486843150271</v>
      </c>
    </row>
    <row r="107" customFormat="false" ht="15" hidden="false" customHeight="false" outlineLevel="0" collapsed="false">
      <c r="B107" s="17" t="n">
        <f aca="false">$L$41+(0.01)</f>
        <v>0.074179740946637</v>
      </c>
      <c r="C107" s="26" t="n">
        <f aca="false">($E$79/(1+$B107)^1+$F$79/(1+$B107)^2+$G$79/(1+$B107)^3+$H$79/(1+$B107)^4+$I$79/(1+$B107)^5+$I$79*(1+C$102)/($B107-C$102)/(1+$B107)^5+$L$27+$L$29-$L$28-$L$30-$L$31)/$L$26</f>
        <v>76.912476215543</v>
      </c>
      <c r="D107" s="26" t="n">
        <f aca="false">($E$79/(1+$B107)^1+$F$79/(1+$B107)^2+$G$79/(1+$B107)^3+$H$79/(1+$B107)^4+$I$79/(1+$B107)^5+$I$79*(1+D$102)/($B107-D$102)/(1+$B107)^5+$L$27+$L$29-$L$28-$L$30-$L$31)/$L$26</f>
        <v>83.2379148765915</v>
      </c>
      <c r="E107" s="26" t="n">
        <f aca="false">($E$79/(1+$B107)^1+$F$79/(1+$B107)^2+$G$79/(1+$B107)^3+$H$79/(1+$B107)^4+$I$79/(1+$B107)^5+$I$79*(1+E$102)/($B107-E$102)/(1+$B107)^5+$L$27+$L$29-$L$28-$L$30-$L$31)/$L$26</f>
        <v>90.8495414148621</v>
      </c>
      <c r="F107" s="26" t="n">
        <f aca="false">($E$79/(1+$B107)^1+$F$79/(1+$B107)^2+$G$79/(1+$B107)^3+$H$79/(1+$B107)^4+$I$79/(1+$B107)^5+$I$79*(1+F$102)/($B107-F$102)/(1+$B107)^5+$L$27+$L$29-$L$28-$L$30-$L$31)/$L$26</f>
        <v>100.184045085315</v>
      </c>
      <c r="G107" s="26" t="n">
        <f aca="false">($E$79/(1+$B107)^1+$F$79/(1+$B107)^2+$G$79/(1+$B107)^3+$H$79/(1+$B107)^4+$I$79/(1+$B107)^5+$I$79*(1+G$102)/($B107-G$102)/(1+$B107)^5+$L$27+$L$29-$L$28-$L$30-$L$31)/$L$26</f>
        <v>111.901030988912</v>
      </c>
    </row>
  </sheetData>
  <autoFilter ref="A4:I58"/>
  <mergeCells count="2">
    <mergeCell ref="A1:M1"/>
    <mergeCell ref="A2:M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O20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7382812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48"/>
    <col collapsed="false" customWidth="true" hidden="false" outlineLevel="0" max="3" min="3" style="0" width="20"/>
    <col collapsed="false" customWidth="true" hidden="false" outlineLevel="0" max="4" min="4" style="0" width="18"/>
    <col collapsed="false" customWidth="true" hidden="false" outlineLevel="0" max="6" min="5" style="0" width="20"/>
    <col collapsed="false" customWidth="true" hidden="false" outlineLevel="0" max="7" min="7" style="0" width="22"/>
    <col collapsed="false" customWidth="true" hidden="false" outlineLevel="0" max="8" min="8" style="0" width="50"/>
    <col collapsed="false" customWidth="true" hidden="false" outlineLevel="0" max="9" min="9" style="0" width="42"/>
    <col collapsed="false" customWidth="true" hidden="false" outlineLevel="0" max="10" min="10" style="0" width="52"/>
    <col collapsed="false" customWidth="true" hidden="false" outlineLevel="0" max="11" min="11" style="0" width="54"/>
    <col collapsed="false" customWidth="true" hidden="false" outlineLevel="0" max="12" min="12" style="0" width="16"/>
    <col collapsed="false" customWidth="true" hidden="false" outlineLevel="0" max="13" min="13" style="0" width="24"/>
    <col collapsed="false" customWidth="true" hidden="false" outlineLevel="0" max="15" min="14" style="0" width="15"/>
  </cols>
  <sheetData>
    <row r="1" customFormat="false" ht="15" hidden="false" customHeight="false" outlineLevel="0" collapsed="false">
      <c r="A1" s="27" t="s">
        <v>154</v>
      </c>
      <c r="B1" s="27" t="s">
        <v>155</v>
      </c>
      <c r="C1" s="27" t="s">
        <v>156</v>
      </c>
      <c r="D1" s="27" t="s">
        <v>157</v>
      </c>
      <c r="E1" s="27" t="s">
        <v>158</v>
      </c>
      <c r="F1" s="27" t="s">
        <v>159</v>
      </c>
      <c r="G1" s="27" t="s">
        <v>160</v>
      </c>
      <c r="H1" s="27" t="s">
        <v>161</v>
      </c>
      <c r="I1" s="27" t="s">
        <v>162</v>
      </c>
      <c r="J1" s="27" t="s">
        <v>163</v>
      </c>
      <c r="K1" s="27" t="s">
        <v>164</v>
      </c>
      <c r="L1" s="27" t="s">
        <v>165</v>
      </c>
      <c r="M1" s="27" t="s">
        <v>166</v>
      </c>
      <c r="N1" s="27" t="s">
        <v>167</v>
      </c>
      <c r="O1" s="27" t="s">
        <v>168</v>
      </c>
    </row>
    <row r="2" customFormat="false" ht="24" hidden="false" customHeight="true" outlineLevel="0" collapsed="false">
      <c r="A2" s="28" t="n">
        <v>2023</v>
      </c>
      <c r="B2" s="28" t="s">
        <v>169</v>
      </c>
      <c r="C2" s="28" t="n">
        <v>4052000000</v>
      </c>
      <c r="D2" s="28" t="n">
        <v>4052</v>
      </c>
      <c r="E2" s="28" t="s">
        <v>170</v>
      </c>
      <c r="F2" s="28" t="s">
        <v>171</v>
      </c>
      <c r="G2" s="28" t="s">
        <v>172</v>
      </c>
      <c r="H2" s="29" t="s">
        <v>173</v>
      </c>
      <c r="I2" s="29" t="s">
        <v>174</v>
      </c>
      <c r="J2" s="29" t="s">
        <v>175</v>
      </c>
      <c r="K2" s="29" t="s">
        <v>176</v>
      </c>
      <c r="L2" s="29" t="s">
        <v>177</v>
      </c>
      <c r="M2" s="29" t="s">
        <v>178</v>
      </c>
      <c r="N2" s="29" t="s">
        <v>179</v>
      </c>
      <c r="O2" s="29" t="s">
        <v>180</v>
      </c>
    </row>
    <row r="3" customFormat="false" ht="24" hidden="false" customHeight="true" outlineLevel="0" collapsed="false">
      <c r="A3" s="28" t="n">
        <v>2023</v>
      </c>
      <c r="B3" s="28" t="s">
        <v>181</v>
      </c>
      <c r="C3" s="28" t="n">
        <v>4090000000</v>
      </c>
      <c r="D3" s="28" t="n">
        <v>4090</v>
      </c>
      <c r="E3" s="28" t="s">
        <v>182</v>
      </c>
      <c r="F3" s="28" t="s">
        <v>171</v>
      </c>
      <c r="G3" s="28" t="s">
        <v>172</v>
      </c>
      <c r="H3" s="29" t="s">
        <v>173</v>
      </c>
      <c r="I3" s="29" t="s">
        <v>183</v>
      </c>
      <c r="J3" s="29" t="s">
        <v>184</v>
      </c>
      <c r="K3" s="29" t="s">
        <v>185</v>
      </c>
      <c r="L3" s="29" t="s">
        <v>177</v>
      </c>
      <c r="M3" s="29" t="s">
        <v>186</v>
      </c>
      <c r="N3" s="29" t="s">
        <v>187</v>
      </c>
      <c r="O3" s="29" t="s">
        <v>180</v>
      </c>
    </row>
    <row r="4" customFormat="false" ht="24" hidden="false" customHeight="true" outlineLevel="0" collapsed="false">
      <c r="A4" s="28" t="n">
        <v>2023</v>
      </c>
      <c r="B4" s="28" t="s">
        <v>188</v>
      </c>
      <c r="C4" s="28" t="n">
        <v>37483000000</v>
      </c>
      <c r="D4" s="28" t="n">
        <v>37483</v>
      </c>
      <c r="E4" s="28" t="s">
        <v>182</v>
      </c>
      <c r="F4" s="28" t="s">
        <v>171</v>
      </c>
      <c r="G4" s="28" t="s">
        <v>172</v>
      </c>
      <c r="H4" s="29" t="s">
        <v>173</v>
      </c>
      <c r="I4" s="29" t="s">
        <v>189</v>
      </c>
      <c r="J4" s="29" t="s">
        <v>190</v>
      </c>
      <c r="K4" s="29" t="s">
        <v>185</v>
      </c>
      <c r="L4" s="29" t="s">
        <v>177</v>
      </c>
      <c r="M4" s="29" t="s">
        <v>186</v>
      </c>
      <c r="N4" s="29" t="s">
        <v>187</v>
      </c>
      <c r="O4" s="29" t="s">
        <v>180</v>
      </c>
    </row>
    <row r="5" customFormat="false" ht="24" hidden="false" customHeight="true" outlineLevel="0" collapsed="false">
      <c r="A5" s="28" t="n">
        <v>2023</v>
      </c>
      <c r="B5" s="28" t="s">
        <v>191</v>
      </c>
      <c r="C5" s="28" t="n">
        <v>41573000000</v>
      </c>
      <c r="D5" s="28" t="n">
        <v>4090</v>
      </c>
      <c r="E5" s="28" t="s">
        <v>182</v>
      </c>
      <c r="F5" s="28" t="s">
        <v>171</v>
      </c>
      <c r="G5" s="28" t="s">
        <v>192</v>
      </c>
      <c r="H5" s="29" t="s">
        <v>193</v>
      </c>
      <c r="I5" s="29" t="s">
        <v>183</v>
      </c>
      <c r="J5" s="29" t="s">
        <v>184</v>
      </c>
      <c r="K5" s="29" t="s">
        <v>185</v>
      </c>
      <c r="L5" s="29" t="s">
        <v>177</v>
      </c>
      <c r="M5" s="29" t="s">
        <v>186</v>
      </c>
      <c r="N5" s="29" t="s">
        <v>187</v>
      </c>
      <c r="O5" s="29" t="s">
        <v>180</v>
      </c>
    </row>
    <row r="6" customFormat="false" ht="24" hidden="false" customHeight="true" outlineLevel="0" collapsed="false">
      <c r="A6" s="28" t="n">
        <v>2023</v>
      </c>
      <c r="B6" s="28" t="s">
        <v>191</v>
      </c>
      <c r="C6" s="28" t="n">
        <v>41573000000</v>
      </c>
      <c r="D6" s="28" t="n">
        <v>37483</v>
      </c>
      <c r="E6" s="28" t="s">
        <v>182</v>
      </c>
      <c r="F6" s="28" t="s">
        <v>171</v>
      </c>
      <c r="G6" s="28" t="s">
        <v>192</v>
      </c>
      <c r="H6" s="29" t="s">
        <v>193</v>
      </c>
      <c r="I6" s="29" t="s">
        <v>189</v>
      </c>
      <c r="J6" s="29" t="s">
        <v>190</v>
      </c>
      <c r="K6" s="29" t="s">
        <v>185</v>
      </c>
      <c r="L6" s="29" t="s">
        <v>177</v>
      </c>
      <c r="M6" s="29" t="s">
        <v>186</v>
      </c>
      <c r="N6" s="29" t="s">
        <v>187</v>
      </c>
      <c r="O6" s="29" t="s">
        <v>180</v>
      </c>
    </row>
    <row r="7" customFormat="false" ht="36" hidden="false" customHeight="true" outlineLevel="0" collapsed="false">
      <c r="A7" s="28" t="n">
        <v>2023</v>
      </c>
      <c r="B7" s="28" t="s">
        <v>194</v>
      </c>
      <c r="C7" s="28" t="n">
        <v>1682000</v>
      </c>
      <c r="D7" s="28" t="n">
        <v>1682</v>
      </c>
      <c r="E7" s="28" t="s">
        <v>195</v>
      </c>
      <c r="F7" s="28" t="s">
        <v>196</v>
      </c>
      <c r="G7" s="28" t="s">
        <v>172</v>
      </c>
      <c r="H7" s="29" t="s">
        <v>173</v>
      </c>
      <c r="I7" s="29" t="s">
        <v>197</v>
      </c>
      <c r="J7" s="29" t="s">
        <v>198</v>
      </c>
      <c r="K7" s="29" t="s">
        <v>199</v>
      </c>
      <c r="L7" s="29" t="s">
        <v>177</v>
      </c>
      <c r="M7" s="29" t="s">
        <v>178</v>
      </c>
      <c r="N7" s="29" t="s">
        <v>179</v>
      </c>
      <c r="O7" s="29" t="s">
        <v>180</v>
      </c>
    </row>
    <row r="8" customFormat="false" ht="36" hidden="false" customHeight="true" outlineLevel="0" collapsed="false">
      <c r="A8" s="28" t="n">
        <v>2023</v>
      </c>
      <c r="B8" s="28" t="s">
        <v>200</v>
      </c>
      <c r="C8" s="28" t="n">
        <v>345000</v>
      </c>
      <c r="D8" s="28" t="n">
        <v>345</v>
      </c>
      <c r="E8" s="28" t="s">
        <v>195</v>
      </c>
      <c r="F8" s="28" t="s">
        <v>196</v>
      </c>
      <c r="G8" s="28" t="s">
        <v>172</v>
      </c>
      <c r="H8" s="29" t="s">
        <v>173</v>
      </c>
      <c r="I8" s="29" t="s">
        <v>201</v>
      </c>
      <c r="J8" s="29" t="s">
        <v>202</v>
      </c>
      <c r="K8" s="29" t="s">
        <v>199</v>
      </c>
      <c r="L8" s="29" t="s">
        <v>177</v>
      </c>
      <c r="M8" s="29" t="s">
        <v>178</v>
      </c>
      <c r="N8" s="29" t="s">
        <v>179</v>
      </c>
      <c r="O8" s="29" t="s">
        <v>180</v>
      </c>
    </row>
    <row r="9" customFormat="false" ht="24" hidden="false" customHeight="true" outlineLevel="0" collapsed="false">
      <c r="A9" s="28" t="n">
        <v>2023</v>
      </c>
      <c r="B9" s="28" t="s">
        <v>203</v>
      </c>
      <c r="C9" s="28" t="n">
        <v>355000</v>
      </c>
      <c r="D9" s="28" t="n">
        <v>355</v>
      </c>
      <c r="E9" s="28" t="s">
        <v>195</v>
      </c>
      <c r="F9" s="28" t="s">
        <v>196</v>
      </c>
      <c r="G9" s="28" t="s">
        <v>172</v>
      </c>
      <c r="H9" s="29" t="s">
        <v>173</v>
      </c>
      <c r="I9" s="29" t="s">
        <v>204</v>
      </c>
      <c r="J9" s="29" t="s">
        <v>205</v>
      </c>
      <c r="K9" s="29" t="s">
        <v>206</v>
      </c>
      <c r="L9" s="29" t="s">
        <v>177</v>
      </c>
      <c r="M9" s="29" t="s">
        <v>178</v>
      </c>
      <c r="N9" s="29" t="s">
        <v>179</v>
      </c>
      <c r="O9" s="29" t="s">
        <v>180</v>
      </c>
    </row>
    <row r="10" customFormat="false" ht="24" hidden="false" customHeight="true" outlineLevel="0" collapsed="false">
      <c r="A10" s="28" t="n">
        <v>2023</v>
      </c>
      <c r="B10" s="28" t="s">
        <v>207</v>
      </c>
      <c r="C10" s="28" t="n">
        <v>67000</v>
      </c>
      <c r="D10" s="28" t="n">
        <v>67</v>
      </c>
      <c r="E10" s="28" t="s">
        <v>195</v>
      </c>
      <c r="F10" s="28" t="s">
        <v>196</v>
      </c>
      <c r="G10" s="28" t="s">
        <v>172</v>
      </c>
      <c r="H10" s="29" t="s">
        <v>173</v>
      </c>
      <c r="I10" s="29" t="s">
        <v>208</v>
      </c>
      <c r="J10" s="29" t="s">
        <v>209</v>
      </c>
      <c r="K10" s="29" t="s">
        <v>206</v>
      </c>
      <c r="L10" s="29" t="s">
        <v>177</v>
      </c>
      <c r="M10" s="29" t="s">
        <v>178</v>
      </c>
      <c r="N10" s="29" t="s">
        <v>179</v>
      </c>
      <c r="O10" s="29" t="s">
        <v>180</v>
      </c>
    </row>
    <row r="11" customFormat="false" ht="36" hidden="false" customHeight="true" outlineLevel="0" collapsed="false">
      <c r="A11" s="28" t="n">
        <v>2023</v>
      </c>
      <c r="B11" s="28" t="s">
        <v>210</v>
      </c>
      <c r="C11" s="28" t="n">
        <v>2449000</v>
      </c>
      <c r="D11" s="28" t="n">
        <v>2449</v>
      </c>
      <c r="E11" s="28" t="s">
        <v>195</v>
      </c>
      <c r="F11" s="28" t="s">
        <v>196</v>
      </c>
      <c r="G11" s="28" t="s">
        <v>172</v>
      </c>
      <c r="H11" s="29" t="s">
        <v>173</v>
      </c>
      <c r="I11" s="29" t="s">
        <v>211</v>
      </c>
      <c r="J11" s="29" t="s">
        <v>212</v>
      </c>
      <c r="K11" s="29" t="s">
        <v>213</v>
      </c>
      <c r="L11" s="29" t="s">
        <v>177</v>
      </c>
      <c r="M11" s="29" t="s">
        <v>178</v>
      </c>
      <c r="N11" s="29" t="s">
        <v>179</v>
      </c>
      <c r="O11" s="29" t="s">
        <v>180</v>
      </c>
    </row>
    <row r="12" customFormat="false" ht="36" hidden="false" customHeight="true" outlineLevel="0" collapsed="false">
      <c r="A12" s="28" t="n">
        <v>2023</v>
      </c>
      <c r="B12" s="28" t="s">
        <v>214</v>
      </c>
      <c r="C12" s="28" t="n">
        <v>7734000000</v>
      </c>
      <c r="D12" s="28" t="n">
        <v>7734</v>
      </c>
      <c r="E12" s="28" t="s">
        <v>215</v>
      </c>
      <c r="F12" s="28" t="s">
        <v>171</v>
      </c>
      <c r="G12" s="28" t="s">
        <v>172</v>
      </c>
      <c r="H12" s="29" t="s">
        <v>173</v>
      </c>
      <c r="I12" s="29" t="s">
        <v>216</v>
      </c>
      <c r="J12" s="29" t="s">
        <v>217</v>
      </c>
      <c r="K12" s="29" t="s">
        <v>213</v>
      </c>
      <c r="L12" s="29" t="s">
        <v>177</v>
      </c>
      <c r="M12" s="29" t="s">
        <v>178</v>
      </c>
      <c r="N12" s="29" t="s">
        <v>179</v>
      </c>
      <c r="O12" s="29" t="s">
        <v>180</v>
      </c>
    </row>
    <row r="13" customFormat="false" ht="36" hidden="false" customHeight="true" outlineLevel="0" collapsed="false">
      <c r="A13" s="28" t="n">
        <v>2023</v>
      </c>
      <c r="B13" s="28" t="s">
        <v>218</v>
      </c>
      <c r="C13" s="28" t="n">
        <v>3738000</v>
      </c>
      <c r="D13" s="28" t="n">
        <v>3738</v>
      </c>
      <c r="E13" s="28" t="s">
        <v>219</v>
      </c>
      <c r="F13" s="28" t="s">
        <v>196</v>
      </c>
      <c r="G13" s="28" t="s">
        <v>172</v>
      </c>
      <c r="H13" s="29" t="s">
        <v>173</v>
      </c>
      <c r="I13" s="29" t="s">
        <v>220</v>
      </c>
      <c r="J13" s="29" t="s">
        <v>221</v>
      </c>
      <c r="K13" s="29" t="s">
        <v>213</v>
      </c>
      <c r="L13" s="29" t="s">
        <v>177</v>
      </c>
      <c r="M13" s="29" t="s">
        <v>178</v>
      </c>
      <c r="N13" s="29" t="s">
        <v>179</v>
      </c>
      <c r="O13" s="29" t="s">
        <v>180</v>
      </c>
    </row>
    <row r="14" customFormat="false" ht="36" hidden="false" customHeight="true" outlineLevel="0" collapsed="false">
      <c r="A14" s="28" t="n">
        <v>2023</v>
      </c>
      <c r="B14" s="28" t="s">
        <v>222</v>
      </c>
      <c r="C14" s="28" t="n">
        <v>77.92</v>
      </c>
      <c r="D14" s="28" t="n">
        <v>77.92</v>
      </c>
      <c r="E14" s="28" t="s">
        <v>223</v>
      </c>
      <c r="F14" s="28" t="s">
        <v>224</v>
      </c>
      <c r="G14" s="28" t="s">
        <v>172</v>
      </c>
      <c r="H14" s="29" t="s">
        <v>173</v>
      </c>
      <c r="I14" s="29" t="s">
        <v>225</v>
      </c>
      <c r="J14" s="29" t="s">
        <v>226</v>
      </c>
      <c r="K14" s="29" t="s">
        <v>227</v>
      </c>
      <c r="L14" s="29" t="s">
        <v>177</v>
      </c>
      <c r="M14" s="29" t="s">
        <v>178</v>
      </c>
      <c r="N14" s="29" t="s">
        <v>179</v>
      </c>
      <c r="O14" s="29" t="s">
        <v>180</v>
      </c>
    </row>
    <row r="15" customFormat="false" ht="36" hidden="false" customHeight="true" outlineLevel="0" collapsed="false">
      <c r="A15" s="28" t="n">
        <v>2023</v>
      </c>
      <c r="B15" s="28" t="s">
        <v>228</v>
      </c>
      <c r="C15" s="28" t="n">
        <v>28.66</v>
      </c>
      <c r="D15" s="28" t="n">
        <v>28.66</v>
      </c>
      <c r="E15" s="28" t="s">
        <v>223</v>
      </c>
      <c r="F15" s="28" t="s">
        <v>224</v>
      </c>
      <c r="G15" s="28" t="s">
        <v>172</v>
      </c>
      <c r="H15" s="29" t="s">
        <v>173</v>
      </c>
      <c r="I15" s="29" t="s">
        <v>229</v>
      </c>
      <c r="J15" s="29" t="s">
        <v>230</v>
      </c>
      <c r="K15" s="29" t="s">
        <v>227</v>
      </c>
      <c r="L15" s="29" t="s">
        <v>177</v>
      </c>
      <c r="M15" s="29" t="s">
        <v>178</v>
      </c>
      <c r="N15" s="29" t="s">
        <v>179</v>
      </c>
      <c r="O15" s="29" t="s">
        <v>180</v>
      </c>
    </row>
    <row r="16" customFormat="false" ht="24" hidden="false" customHeight="true" outlineLevel="0" collapsed="false">
      <c r="A16" s="28" t="n">
        <v>2023</v>
      </c>
      <c r="B16" s="28" t="s">
        <v>231</v>
      </c>
      <c r="C16" s="28" t="n">
        <v>49.64</v>
      </c>
      <c r="D16" s="28" t="n">
        <v>49.64</v>
      </c>
      <c r="E16" s="28" t="s">
        <v>223</v>
      </c>
      <c r="F16" s="28" t="s">
        <v>224</v>
      </c>
      <c r="G16" s="28" t="s">
        <v>172</v>
      </c>
      <c r="H16" s="29" t="s">
        <v>173</v>
      </c>
      <c r="I16" s="29" t="s">
        <v>232</v>
      </c>
      <c r="J16" s="29" t="s">
        <v>233</v>
      </c>
      <c r="K16" s="29" t="s">
        <v>234</v>
      </c>
      <c r="L16" s="29" t="s">
        <v>177</v>
      </c>
      <c r="M16" s="29" t="s">
        <v>178</v>
      </c>
      <c r="N16" s="29" t="s">
        <v>179</v>
      </c>
      <c r="O16" s="29" t="s">
        <v>180</v>
      </c>
    </row>
    <row r="17" customFormat="false" ht="24" hidden="false" customHeight="true" outlineLevel="0" collapsed="false">
      <c r="A17" s="28" t="n">
        <v>2023</v>
      </c>
      <c r="B17" s="28" t="s">
        <v>235</v>
      </c>
      <c r="C17" s="28" t="n">
        <v>77.56</v>
      </c>
      <c r="D17" s="28" t="n">
        <v>77.56</v>
      </c>
      <c r="E17" s="28" t="s">
        <v>223</v>
      </c>
      <c r="F17" s="28" t="s">
        <v>224</v>
      </c>
      <c r="G17" s="28" t="s">
        <v>172</v>
      </c>
      <c r="H17" s="29" t="s">
        <v>173</v>
      </c>
      <c r="I17" s="29" t="s">
        <v>236</v>
      </c>
      <c r="J17" s="29" t="s">
        <v>237</v>
      </c>
      <c r="K17" s="29" t="s">
        <v>234</v>
      </c>
      <c r="L17" s="29" t="s">
        <v>177</v>
      </c>
      <c r="M17" s="29" t="s">
        <v>178</v>
      </c>
      <c r="N17" s="29" t="s">
        <v>179</v>
      </c>
      <c r="O17" s="29" t="s">
        <v>180</v>
      </c>
    </row>
    <row r="18" customFormat="false" ht="36" hidden="false" customHeight="true" outlineLevel="0" collapsed="false">
      <c r="A18" s="28" t="n">
        <v>2023</v>
      </c>
      <c r="B18" s="28" t="s">
        <v>238</v>
      </c>
      <c r="C18" s="28" t="n">
        <v>6.05</v>
      </c>
      <c r="D18" s="28" t="n">
        <v>6.05</v>
      </c>
      <c r="E18" s="28" t="s">
        <v>239</v>
      </c>
      <c r="F18" s="28" t="s">
        <v>224</v>
      </c>
      <c r="G18" s="28" t="s">
        <v>172</v>
      </c>
      <c r="H18" s="29" t="s">
        <v>173</v>
      </c>
      <c r="I18" s="29" t="s">
        <v>240</v>
      </c>
      <c r="J18" s="29" t="s">
        <v>241</v>
      </c>
      <c r="K18" s="29" t="s">
        <v>227</v>
      </c>
      <c r="L18" s="29" t="s">
        <v>177</v>
      </c>
      <c r="M18" s="29" t="s">
        <v>178</v>
      </c>
      <c r="N18" s="29" t="s">
        <v>179</v>
      </c>
      <c r="O18" s="29" t="s">
        <v>180</v>
      </c>
    </row>
    <row r="19" customFormat="false" ht="36" hidden="false" customHeight="true" outlineLevel="0" collapsed="false">
      <c r="A19" s="28" t="n">
        <v>2023</v>
      </c>
      <c r="B19" s="28" t="s">
        <v>242</v>
      </c>
      <c r="C19" s="28" t="n">
        <v>10.63</v>
      </c>
      <c r="D19" s="28" t="n">
        <v>10.63</v>
      </c>
      <c r="E19" s="28" t="s">
        <v>243</v>
      </c>
      <c r="F19" s="28" t="s">
        <v>224</v>
      </c>
      <c r="G19" s="28" t="s">
        <v>172</v>
      </c>
      <c r="H19" s="29" t="s">
        <v>173</v>
      </c>
      <c r="I19" s="29" t="s">
        <v>244</v>
      </c>
      <c r="J19" s="29" t="s">
        <v>245</v>
      </c>
      <c r="K19" s="29" t="s">
        <v>227</v>
      </c>
      <c r="L19" s="29" t="s">
        <v>177</v>
      </c>
      <c r="M19" s="29" t="s">
        <v>178</v>
      </c>
      <c r="N19" s="29" t="s">
        <v>179</v>
      </c>
      <c r="O19" s="29" t="s">
        <v>180</v>
      </c>
    </row>
    <row r="20" customFormat="false" ht="24" hidden="false" customHeight="true" outlineLevel="0" collapsed="false">
      <c r="A20" s="28" t="n">
        <v>2023</v>
      </c>
      <c r="B20" s="28" t="s">
        <v>246</v>
      </c>
      <c r="C20" s="28" t="n">
        <v>16928000000</v>
      </c>
      <c r="D20" s="28" t="n">
        <v>16928</v>
      </c>
      <c r="E20" s="28" t="s">
        <v>247</v>
      </c>
      <c r="F20" s="28" t="s">
        <v>171</v>
      </c>
      <c r="G20" s="28" t="s">
        <v>172</v>
      </c>
      <c r="H20" s="29" t="s">
        <v>173</v>
      </c>
      <c r="I20" s="29" t="s">
        <v>248</v>
      </c>
      <c r="J20" s="29" t="s">
        <v>249</v>
      </c>
      <c r="K20" s="29" t="s">
        <v>250</v>
      </c>
      <c r="L20" s="29" t="s">
        <v>177</v>
      </c>
      <c r="M20" s="29" t="s">
        <v>178</v>
      </c>
      <c r="N20" s="29" t="s">
        <v>179</v>
      </c>
      <c r="O20" s="29" t="s">
        <v>180</v>
      </c>
    </row>
    <row r="21" customFormat="false" ht="24" hidden="false" customHeight="true" outlineLevel="0" collapsed="false">
      <c r="A21" s="28" t="n">
        <v>2023</v>
      </c>
      <c r="B21" s="28" t="s">
        <v>251</v>
      </c>
      <c r="C21" s="28" t="n">
        <v>10676000000</v>
      </c>
      <c r="D21" s="28" t="n">
        <v>9327</v>
      </c>
      <c r="E21" s="28" t="s">
        <v>247</v>
      </c>
      <c r="F21" s="28" t="s">
        <v>171</v>
      </c>
      <c r="G21" s="28" t="s">
        <v>192</v>
      </c>
      <c r="H21" s="29" t="s">
        <v>193</v>
      </c>
      <c r="I21" s="29" t="s">
        <v>252</v>
      </c>
      <c r="J21" s="29" t="s">
        <v>253</v>
      </c>
      <c r="K21" s="29" t="s">
        <v>254</v>
      </c>
      <c r="L21" s="29" t="s">
        <v>177</v>
      </c>
      <c r="M21" s="29" t="s">
        <v>178</v>
      </c>
      <c r="N21" s="29" t="s">
        <v>179</v>
      </c>
      <c r="O21" s="29" t="s">
        <v>180</v>
      </c>
    </row>
    <row r="22" customFormat="false" ht="24" hidden="false" customHeight="true" outlineLevel="0" collapsed="false">
      <c r="A22" s="28" t="n">
        <v>2023</v>
      </c>
      <c r="B22" s="28" t="s">
        <v>251</v>
      </c>
      <c r="C22" s="28" t="n">
        <v>10676000000</v>
      </c>
      <c r="D22" s="28" t="n">
        <v>1349</v>
      </c>
      <c r="E22" s="28" t="s">
        <v>247</v>
      </c>
      <c r="F22" s="28" t="s">
        <v>171</v>
      </c>
      <c r="G22" s="28" t="s">
        <v>192</v>
      </c>
      <c r="H22" s="29" t="s">
        <v>193</v>
      </c>
      <c r="I22" s="29" t="s">
        <v>255</v>
      </c>
      <c r="J22" s="29" t="s">
        <v>256</v>
      </c>
      <c r="K22" s="29" t="s">
        <v>254</v>
      </c>
      <c r="L22" s="29" t="s">
        <v>177</v>
      </c>
      <c r="M22" s="29" t="s">
        <v>178</v>
      </c>
      <c r="N22" s="29" t="s">
        <v>179</v>
      </c>
      <c r="O22" s="29" t="s">
        <v>180</v>
      </c>
    </row>
    <row r="23" customFormat="false" ht="24" hidden="false" customHeight="true" outlineLevel="0" collapsed="false">
      <c r="A23" s="28" t="n">
        <v>2023</v>
      </c>
      <c r="B23" s="28" t="s">
        <v>257</v>
      </c>
      <c r="C23" s="28" t="n">
        <v>6252000000</v>
      </c>
      <c r="D23" s="28" t="n">
        <v>4389</v>
      </c>
      <c r="E23" s="28" t="s">
        <v>247</v>
      </c>
      <c r="F23" s="28" t="s">
        <v>171</v>
      </c>
      <c r="G23" s="28" t="s">
        <v>192</v>
      </c>
      <c r="H23" s="29" t="s">
        <v>193</v>
      </c>
      <c r="I23" s="29" t="s">
        <v>258</v>
      </c>
      <c r="J23" s="29" t="s">
        <v>259</v>
      </c>
      <c r="K23" s="29" t="s">
        <v>254</v>
      </c>
      <c r="L23" s="29" t="s">
        <v>177</v>
      </c>
      <c r="M23" s="29" t="s">
        <v>178</v>
      </c>
      <c r="N23" s="29" t="s">
        <v>179</v>
      </c>
      <c r="O23" s="29" t="s">
        <v>180</v>
      </c>
    </row>
    <row r="24" customFormat="false" ht="24" hidden="false" customHeight="true" outlineLevel="0" collapsed="false">
      <c r="A24" s="28" t="n">
        <v>2023</v>
      </c>
      <c r="B24" s="28" t="s">
        <v>257</v>
      </c>
      <c r="C24" s="28" t="n">
        <v>6252000000</v>
      </c>
      <c r="D24" s="28" t="n">
        <v>1863</v>
      </c>
      <c r="E24" s="28" t="s">
        <v>247</v>
      </c>
      <c r="F24" s="28" t="s">
        <v>171</v>
      </c>
      <c r="G24" s="28" t="s">
        <v>192</v>
      </c>
      <c r="H24" s="29" t="s">
        <v>193</v>
      </c>
      <c r="I24" s="29" t="s">
        <v>260</v>
      </c>
      <c r="J24" s="29" t="s">
        <v>261</v>
      </c>
      <c r="K24" s="29" t="s">
        <v>254</v>
      </c>
      <c r="L24" s="29" t="s">
        <v>177</v>
      </c>
      <c r="M24" s="29" t="s">
        <v>178</v>
      </c>
      <c r="N24" s="29" t="s">
        <v>179</v>
      </c>
      <c r="O24" s="29" t="s">
        <v>180</v>
      </c>
    </row>
    <row r="25" customFormat="false" ht="24" hidden="false" customHeight="true" outlineLevel="0" collapsed="false">
      <c r="A25" s="28" t="n">
        <v>2023</v>
      </c>
      <c r="B25" s="28" t="s">
        <v>262</v>
      </c>
      <c r="C25" s="28" t="n">
        <v>21308000000</v>
      </c>
      <c r="D25" s="28" t="n">
        <v>21308</v>
      </c>
      <c r="E25" s="28" t="s">
        <v>182</v>
      </c>
      <c r="F25" s="28" t="s">
        <v>171</v>
      </c>
      <c r="G25" s="28" t="s">
        <v>172</v>
      </c>
      <c r="H25" s="29" t="s">
        <v>173</v>
      </c>
      <c r="I25" s="29" t="s">
        <v>263</v>
      </c>
      <c r="J25" s="29" t="s">
        <v>264</v>
      </c>
      <c r="K25" s="29" t="s">
        <v>265</v>
      </c>
      <c r="L25" s="29" t="s">
        <v>177</v>
      </c>
      <c r="M25" s="29" t="s">
        <v>178</v>
      </c>
      <c r="N25" s="29" t="s">
        <v>179</v>
      </c>
      <c r="O25" s="29" t="s">
        <v>180</v>
      </c>
    </row>
    <row r="26" customFormat="false" ht="24" hidden="false" customHeight="true" outlineLevel="0" collapsed="false">
      <c r="A26" s="28" t="n">
        <v>2023</v>
      </c>
      <c r="B26" s="28" t="s">
        <v>266</v>
      </c>
      <c r="C26" s="28" t="n">
        <v>12142000000</v>
      </c>
      <c r="D26" s="28" t="n">
        <v>12142</v>
      </c>
      <c r="E26" s="28" t="s">
        <v>182</v>
      </c>
      <c r="F26" s="28" t="s">
        <v>171</v>
      </c>
      <c r="G26" s="28" t="s">
        <v>172</v>
      </c>
      <c r="H26" s="29" t="s">
        <v>173</v>
      </c>
      <c r="I26" s="29" t="s">
        <v>267</v>
      </c>
      <c r="J26" s="29" t="s">
        <v>268</v>
      </c>
      <c r="K26" s="29" t="s">
        <v>269</v>
      </c>
      <c r="L26" s="29" t="s">
        <v>177</v>
      </c>
      <c r="M26" s="29" t="s">
        <v>178</v>
      </c>
      <c r="N26" s="29" t="s">
        <v>179</v>
      </c>
      <c r="O26" s="29" t="s">
        <v>180</v>
      </c>
    </row>
    <row r="27" customFormat="false" ht="24" hidden="false" customHeight="true" outlineLevel="0" collapsed="false">
      <c r="A27" s="28" t="n">
        <v>2023</v>
      </c>
      <c r="B27" s="28" t="s">
        <v>270</v>
      </c>
      <c r="C27" s="28" t="n">
        <v>1637000000</v>
      </c>
      <c r="D27" s="28" t="n">
        <v>1637</v>
      </c>
      <c r="E27" s="28" t="s">
        <v>182</v>
      </c>
      <c r="F27" s="28" t="s">
        <v>171</v>
      </c>
      <c r="G27" s="28" t="s">
        <v>172</v>
      </c>
      <c r="H27" s="29" t="s">
        <v>173</v>
      </c>
      <c r="I27" s="29" t="s">
        <v>271</v>
      </c>
      <c r="J27" s="29" t="s">
        <v>272</v>
      </c>
      <c r="K27" s="29" t="s">
        <v>273</v>
      </c>
      <c r="L27" s="29" t="s">
        <v>177</v>
      </c>
      <c r="M27" s="29" t="s">
        <v>178</v>
      </c>
      <c r="N27" s="29" t="s">
        <v>179</v>
      </c>
      <c r="O27" s="29" t="s">
        <v>180</v>
      </c>
    </row>
    <row r="28" customFormat="false" ht="24" hidden="false" customHeight="true" outlineLevel="0" collapsed="false">
      <c r="A28" s="28" t="n">
        <v>2023</v>
      </c>
      <c r="B28" s="28" t="s">
        <v>274</v>
      </c>
      <c r="C28" s="28" t="n">
        <v>2714000000</v>
      </c>
      <c r="D28" s="28" t="n">
        <v>2714</v>
      </c>
      <c r="E28" s="28" t="s">
        <v>182</v>
      </c>
      <c r="F28" s="28" t="s">
        <v>171</v>
      </c>
      <c r="G28" s="28" t="s">
        <v>172</v>
      </c>
      <c r="H28" s="29" t="s">
        <v>173</v>
      </c>
      <c r="I28" s="29" t="s">
        <v>275</v>
      </c>
      <c r="J28" s="29" t="s">
        <v>276</v>
      </c>
      <c r="K28" s="29" t="s">
        <v>277</v>
      </c>
      <c r="L28" s="29" t="s">
        <v>177</v>
      </c>
      <c r="M28" s="29" t="s">
        <v>178</v>
      </c>
      <c r="N28" s="29" t="s">
        <v>179</v>
      </c>
      <c r="O28" s="29" t="s">
        <v>180</v>
      </c>
    </row>
    <row r="29" customFormat="false" ht="24" hidden="false" customHeight="true" outlineLevel="0" collapsed="false">
      <c r="A29" s="28" t="n">
        <v>2023</v>
      </c>
      <c r="B29" s="28" t="s">
        <v>278</v>
      </c>
      <c r="C29" s="28" t="n">
        <v>-1791000000</v>
      </c>
      <c r="D29" s="28" t="n">
        <v>-1791</v>
      </c>
      <c r="E29" s="28" t="s">
        <v>182</v>
      </c>
      <c r="F29" s="28" t="s">
        <v>171</v>
      </c>
      <c r="G29" s="28" t="s">
        <v>172</v>
      </c>
      <c r="H29" s="29" t="s">
        <v>173</v>
      </c>
      <c r="I29" s="29" t="s">
        <v>279</v>
      </c>
      <c r="J29" s="29" t="s">
        <v>280</v>
      </c>
      <c r="K29" s="29" t="s">
        <v>281</v>
      </c>
      <c r="L29" s="29" t="s">
        <v>177</v>
      </c>
      <c r="M29" s="29" t="s">
        <v>178</v>
      </c>
      <c r="N29" s="29" t="s">
        <v>179</v>
      </c>
      <c r="O29" s="29" t="s">
        <v>180</v>
      </c>
    </row>
    <row r="30" customFormat="false" ht="24" hidden="false" customHeight="true" outlineLevel="0" collapsed="false">
      <c r="A30" s="28" t="n">
        <v>2023</v>
      </c>
      <c r="B30" s="28" t="s">
        <v>282</v>
      </c>
      <c r="C30" s="28" t="n">
        <v>16600000000</v>
      </c>
      <c r="D30" s="28" t="n">
        <v>16600</v>
      </c>
      <c r="E30" s="28" t="s">
        <v>182</v>
      </c>
      <c r="F30" s="28" t="s">
        <v>171</v>
      </c>
      <c r="G30" s="28" t="s">
        <v>172</v>
      </c>
      <c r="H30" s="29" t="s">
        <v>173</v>
      </c>
      <c r="I30" s="29" t="s">
        <v>283</v>
      </c>
      <c r="J30" s="29" t="s">
        <v>284</v>
      </c>
      <c r="K30" s="29" t="s">
        <v>285</v>
      </c>
      <c r="L30" s="29" t="s">
        <v>177</v>
      </c>
      <c r="M30" s="29" t="s">
        <v>186</v>
      </c>
      <c r="N30" s="29" t="s">
        <v>187</v>
      </c>
      <c r="O30" s="29" t="s">
        <v>180</v>
      </c>
    </row>
    <row r="31" customFormat="false" ht="24" hidden="false" customHeight="true" outlineLevel="0" collapsed="false">
      <c r="A31" s="28" t="n">
        <v>2023</v>
      </c>
      <c r="B31" s="28" t="s">
        <v>286</v>
      </c>
      <c r="C31" s="28" t="n">
        <v>1562000000</v>
      </c>
      <c r="D31" s="28" t="n">
        <v>1562</v>
      </c>
      <c r="E31" s="28" t="s">
        <v>182</v>
      </c>
      <c r="F31" s="28" t="s">
        <v>171</v>
      </c>
      <c r="G31" s="28" t="s">
        <v>172</v>
      </c>
      <c r="H31" s="29" t="s">
        <v>173</v>
      </c>
      <c r="I31" s="29" t="s">
        <v>287</v>
      </c>
      <c r="J31" s="29" t="s">
        <v>288</v>
      </c>
      <c r="K31" s="29" t="s">
        <v>285</v>
      </c>
      <c r="L31" s="29" t="s">
        <v>177</v>
      </c>
      <c r="M31" s="29" t="s">
        <v>186</v>
      </c>
      <c r="N31" s="29" t="s">
        <v>187</v>
      </c>
      <c r="O31" s="29" t="s">
        <v>180</v>
      </c>
    </row>
    <row r="32" customFormat="false" ht="24" hidden="false" customHeight="true" outlineLevel="0" collapsed="false">
      <c r="A32" s="28" t="n">
        <v>2023</v>
      </c>
      <c r="B32" s="28" t="s">
        <v>289</v>
      </c>
      <c r="C32" s="28" t="n">
        <v>1311000000</v>
      </c>
      <c r="D32" s="28" t="n">
        <v>1311</v>
      </c>
      <c r="E32" s="28" t="s">
        <v>182</v>
      </c>
      <c r="F32" s="28" t="s">
        <v>171</v>
      </c>
      <c r="G32" s="28" t="s">
        <v>172</v>
      </c>
      <c r="H32" s="29" t="s">
        <v>173</v>
      </c>
      <c r="I32" s="29" t="s">
        <v>290</v>
      </c>
      <c r="J32" s="29" t="s">
        <v>291</v>
      </c>
      <c r="K32" s="29" t="s">
        <v>285</v>
      </c>
      <c r="L32" s="29" t="s">
        <v>177</v>
      </c>
      <c r="M32" s="29" t="s">
        <v>186</v>
      </c>
      <c r="N32" s="29" t="s">
        <v>187</v>
      </c>
      <c r="O32" s="29" t="s">
        <v>180</v>
      </c>
    </row>
    <row r="33" customFormat="false" ht="24" hidden="false" customHeight="true" outlineLevel="0" collapsed="false">
      <c r="A33" s="28" t="n">
        <v>2023</v>
      </c>
      <c r="B33" s="28" t="s">
        <v>292</v>
      </c>
      <c r="C33" s="28" t="n">
        <v>315000000</v>
      </c>
      <c r="D33" s="28" t="n">
        <v>315</v>
      </c>
      <c r="E33" s="28" t="s">
        <v>182</v>
      </c>
      <c r="F33" s="28" t="s">
        <v>171</v>
      </c>
      <c r="G33" s="28" t="s">
        <v>172</v>
      </c>
      <c r="H33" s="29" t="s">
        <v>173</v>
      </c>
      <c r="I33" s="29" t="s">
        <v>293</v>
      </c>
      <c r="J33" s="29" t="s">
        <v>294</v>
      </c>
      <c r="K33" s="29" t="s">
        <v>285</v>
      </c>
      <c r="L33" s="29" t="s">
        <v>177</v>
      </c>
      <c r="M33" s="29" t="s">
        <v>186</v>
      </c>
      <c r="N33" s="29" t="s">
        <v>187</v>
      </c>
      <c r="O33" s="29" t="s">
        <v>180</v>
      </c>
    </row>
    <row r="34" customFormat="false" ht="24" hidden="false" customHeight="true" outlineLevel="0" collapsed="false">
      <c r="A34" s="28" t="n">
        <v>2023</v>
      </c>
      <c r="B34" s="28" t="s">
        <v>295</v>
      </c>
      <c r="C34" s="28" t="n">
        <v>18589000000</v>
      </c>
      <c r="D34" s="28" t="n">
        <v>18589</v>
      </c>
      <c r="E34" s="28" t="s">
        <v>182</v>
      </c>
      <c r="F34" s="28" t="s">
        <v>171</v>
      </c>
      <c r="G34" s="28" t="s">
        <v>172</v>
      </c>
      <c r="H34" s="29" t="s">
        <v>173</v>
      </c>
      <c r="I34" s="29" t="s">
        <v>296</v>
      </c>
      <c r="J34" s="29" t="s">
        <v>297</v>
      </c>
      <c r="K34" s="29" t="s">
        <v>298</v>
      </c>
      <c r="L34" s="29" t="s">
        <v>177</v>
      </c>
      <c r="M34" s="29" t="s">
        <v>186</v>
      </c>
      <c r="N34" s="29" t="s">
        <v>187</v>
      </c>
      <c r="O34" s="29" t="s">
        <v>180</v>
      </c>
    </row>
    <row r="35" customFormat="false" ht="24" hidden="false" customHeight="true" outlineLevel="0" collapsed="false">
      <c r="A35" s="28" t="n">
        <v>2023</v>
      </c>
      <c r="B35" s="28" t="s">
        <v>299</v>
      </c>
      <c r="C35" s="28" t="n">
        <v>2561000000</v>
      </c>
      <c r="D35" s="28" t="n">
        <v>2561</v>
      </c>
      <c r="E35" s="28" t="s">
        <v>182</v>
      </c>
      <c r="F35" s="28" t="s">
        <v>171</v>
      </c>
      <c r="G35" s="28" t="s">
        <v>172</v>
      </c>
      <c r="H35" s="29" t="s">
        <v>173</v>
      </c>
      <c r="I35" s="29" t="s">
        <v>300</v>
      </c>
      <c r="J35" s="29" t="s">
        <v>301</v>
      </c>
      <c r="K35" s="29" t="s">
        <v>298</v>
      </c>
      <c r="L35" s="29" t="s">
        <v>177</v>
      </c>
      <c r="M35" s="29" t="s">
        <v>186</v>
      </c>
      <c r="N35" s="29" t="s">
        <v>187</v>
      </c>
      <c r="O35" s="29" t="s">
        <v>180</v>
      </c>
    </row>
    <row r="36" customFormat="false" ht="24" hidden="false" customHeight="true" outlineLevel="0" collapsed="false">
      <c r="A36" s="28" t="n">
        <v>2023</v>
      </c>
      <c r="B36" s="28" t="s">
        <v>302</v>
      </c>
      <c r="C36" s="28" t="n">
        <v>2375000000</v>
      </c>
      <c r="D36" s="28" t="n">
        <v>2375</v>
      </c>
      <c r="E36" s="28" t="s">
        <v>182</v>
      </c>
      <c r="F36" s="28" t="s">
        <v>171</v>
      </c>
      <c r="G36" s="28" t="s">
        <v>172</v>
      </c>
      <c r="H36" s="29" t="s">
        <v>173</v>
      </c>
      <c r="I36" s="29" t="s">
        <v>303</v>
      </c>
      <c r="J36" s="29" t="s">
        <v>304</v>
      </c>
      <c r="K36" s="29" t="s">
        <v>298</v>
      </c>
      <c r="L36" s="29" t="s">
        <v>177</v>
      </c>
      <c r="M36" s="29" t="s">
        <v>186</v>
      </c>
      <c r="N36" s="29" t="s">
        <v>187</v>
      </c>
      <c r="O36" s="29" t="s">
        <v>180</v>
      </c>
    </row>
    <row r="37" customFormat="false" ht="24" hidden="false" customHeight="true" outlineLevel="0" collapsed="false">
      <c r="A37" s="28" t="n">
        <v>2023</v>
      </c>
      <c r="B37" s="28" t="s">
        <v>305</v>
      </c>
      <c r="C37" s="28" t="n">
        <v>451000000</v>
      </c>
      <c r="D37" s="28" t="n">
        <v>451</v>
      </c>
      <c r="E37" s="28" t="s">
        <v>182</v>
      </c>
      <c r="F37" s="28" t="s">
        <v>171</v>
      </c>
      <c r="G37" s="28" t="s">
        <v>172</v>
      </c>
      <c r="H37" s="29" t="s">
        <v>173</v>
      </c>
      <c r="I37" s="29" t="s">
        <v>306</v>
      </c>
      <c r="J37" s="29" t="s">
        <v>307</v>
      </c>
      <c r="K37" s="29" t="s">
        <v>298</v>
      </c>
      <c r="L37" s="29" t="s">
        <v>177</v>
      </c>
      <c r="M37" s="29" t="s">
        <v>186</v>
      </c>
      <c r="N37" s="29" t="s">
        <v>187</v>
      </c>
      <c r="O37" s="29" t="s">
        <v>180</v>
      </c>
    </row>
    <row r="38" customFormat="false" ht="15" hidden="false" customHeight="true" outlineLevel="0" collapsed="false">
      <c r="A38" s="28" t="n">
        <v>2023</v>
      </c>
      <c r="B38" s="28" t="s">
        <v>308</v>
      </c>
      <c r="C38" s="28" t="n">
        <v>23228000000</v>
      </c>
      <c r="D38" s="28" t="n">
        <v>23228</v>
      </c>
      <c r="E38" s="28" t="s">
        <v>182</v>
      </c>
      <c r="F38" s="28" t="s">
        <v>171</v>
      </c>
      <c r="G38" s="28" t="s">
        <v>172</v>
      </c>
      <c r="H38" s="29" t="s">
        <v>173</v>
      </c>
      <c r="I38" s="29" t="s">
        <v>309</v>
      </c>
      <c r="J38" s="29" t="s">
        <v>310</v>
      </c>
      <c r="K38" s="29" t="s">
        <v>311</v>
      </c>
      <c r="L38" s="29" t="s">
        <v>177</v>
      </c>
      <c r="M38" s="29" t="s">
        <v>186</v>
      </c>
      <c r="N38" s="29" t="s">
        <v>187</v>
      </c>
      <c r="O38" s="29" t="s">
        <v>180</v>
      </c>
    </row>
    <row r="39" customFormat="false" ht="24" hidden="false" customHeight="true" outlineLevel="0" collapsed="false">
      <c r="A39" s="28" t="n">
        <v>2023</v>
      </c>
      <c r="B39" s="28" t="s">
        <v>312</v>
      </c>
      <c r="C39" s="28" t="n">
        <v>4255000000</v>
      </c>
      <c r="D39" s="28" t="n">
        <v>4370</v>
      </c>
      <c r="E39" s="28" t="s">
        <v>182</v>
      </c>
      <c r="F39" s="28" t="s">
        <v>171</v>
      </c>
      <c r="G39" s="28" t="s">
        <v>192</v>
      </c>
      <c r="H39" s="29" t="s">
        <v>193</v>
      </c>
      <c r="I39" s="29" t="s">
        <v>313</v>
      </c>
      <c r="J39" s="29" t="s">
        <v>314</v>
      </c>
      <c r="K39" s="29" t="s">
        <v>315</v>
      </c>
      <c r="L39" s="29" t="s">
        <v>177</v>
      </c>
      <c r="M39" s="29" t="s">
        <v>178</v>
      </c>
      <c r="N39" s="29" t="s">
        <v>179</v>
      </c>
      <c r="O39" s="29" t="s">
        <v>180</v>
      </c>
    </row>
    <row r="40" customFormat="false" ht="24" hidden="false" customHeight="true" outlineLevel="0" collapsed="false">
      <c r="A40" s="28" t="n">
        <v>2023</v>
      </c>
      <c r="B40" s="28" t="s">
        <v>312</v>
      </c>
      <c r="C40" s="28" t="n">
        <v>4255000000</v>
      </c>
      <c r="D40" s="28" t="n">
        <v>-3472</v>
      </c>
      <c r="E40" s="28" t="s">
        <v>182</v>
      </c>
      <c r="F40" s="28" t="s">
        <v>171</v>
      </c>
      <c r="G40" s="28" t="s">
        <v>192</v>
      </c>
      <c r="H40" s="29" t="s">
        <v>193</v>
      </c>
      <c r="I40" s="29" t="s">
        <v>316</v>
      </c>
      <c r="J40" s="29" t="s">
        <v>317</v>
      </c>
      <c r="K40" s="29" t="s">
        <v>315</v>
      </c>
      <c r="L40" s="29" t="s">
        <v>177</v>
      </c>
      <c r="M40" s="29" t="s">
        <v>178</v>
      </c>
      <c r="N40" s="29" t="s">
        <v>179</v>
      </c>
      <c r="O40" s="29" t="s">
        <v>180</v>
      </c>
    </row>
    <row r="41" customFormat="false" ht="24" hidden="false" customHeight="true" outlineLevel="0" collapsed="false">
      <c r="A41" s="28" t="n">
        <v>2023</v>
      </c>
      <c r="B41" s="28" t="s">
        <v>312</v>
      </c>
      <c r="C41" s="28" t="n">
        <v>4255000000</v>
      </c>
      <c r="D41" s="28" t="n">
        <v>-426</v>
      </c>
      <c r="E41" s="28" t="s">
        <v>182</v>
      </c>
      <c r="F41" s="28" t="s">
        <v>171</v>
      </c>
      <c r="G41" s="28" t="s">
        <v>192</v>
      </c>
      <c r="H41" s="29" t="s">
        <v>193</v>
      </c>
      <c r="I41" s="29" t="s">
        <v>318</v>
      </c>
      <c r="J41" s="29" t="s">
        <v>319</v>
      </c>
      <c r="K41" s="29" t="s">
        <v>315</v>
      </c>
      <c r="L41" s="29" t="s">
        <v>177</v>
      </c>
      <c r="M41" s="29" t="s">
        <v>178</v>
      </c>
      <c r="N41" s="29" t="s">
        <v>179</v>
      </c>
      <c r="O41" s="29" t="s">
        <v>180</v>
      </c>
    </row>
    <row r="42" customFormat="false" ht="24" hidden="false" customHeight="true" outlineLevel="0" collapsed="false">
      <c r="A42" s="28" t="n">
        <v>2023</v>
      </c>
      <c r="B42" s="28" t="s">
        <v>312</v>
      </c>
      <c r="C42" s="28" t="n">
        <v>4255000000</v>
      </c>
      <c r="D42" s="28" t="n">
        <v>-4727</v>
      </c>
      <c r="E42" s="28" t="s">
        <v>182</v>
      </c>
      <c r="F42" s="28" t="s">
        <v>171</v>
      </c>
      <c r="G42" s="28" t="s">
        <v>192</v>
      </c>
      <c r="H42" s="29" t="s">
        <v>193</v>
      </c>
      <c r="I42" s="29" t="s">
        <v>320</v>
      </c>
      <c r="J42" s="29" t="s">
        <v>321</v>
      </c>
      <c r="K42" s="29" t="s">
        <v>315</v>
      </c>
      <c r="L42" s="29" t="s">
        <v>177</v>
      </c>
      <c r="M42" s="29" t="s">
        <v>178</v>
      </c>
      <c r="N42" s="29" t="s">
        <v>179</v>
      </c>
      <c r="O42" s="29" t="s">
        <v>180</v>
      </c>
    </row>
    <row r="43" customFormat="false" ht="24" hidden="false" customHeight="true" outlineLevel="0" collapsed="false">
      <c r="A43" s="28" t="n">
        <v>2023</v>
      </c>
      <c r="B43" s="28" t="s">
        <v>322</v>
      </c>
      <c r="C43" s="28" t="n">
        <v>1628000000</v>
      </c>
      <c r="D43" s="28" t="n">
        <v>1628</v>
      </c>
      <c r="E43" s="28" t="s">
        <v>182</v>
      </c>
      <c r="F43" s="28" t="s">
        <v>171</v>
      </c>
      <c r="G43" s="28" t="s">
        <v>172</v>
      </c>
      <c r="H43" s="29" t="s">
        <v>173</v>
      </c>
      <c r="I43" s="29" t="s">
        <v>323</v>
      </c>
      <c r="J43" s="29" t="s">
        <v>324</v>
      </c>
      <c r="K43" s="29" t="s">
        <v>325</v>
      </c>
      <c r="L43" s="29" t="s">
        <v>177</v>
      </c>
      <c r="M43" s="29" t="s">
        <v>178</v>
      </c>
      <c r="N43" s="29" t="s">
        <v>179</v>
      </c>
      <c r="O43" s="29" t="s">
        <v>180</v>
      </c>
    </row>
    <row r="44" customFormat="false" ht="24" hidden="false" customHeight="true" outlineLevel="0" collapsed="false">
      <c r="A44" s="28" t="n">
        <v>2023</v>
      </c>
      <c r="B44" s="28" t="s">
        <v>326</v>
      </c>
      <c r="C44" s="28"/>
      <c r="D44" s="28"/>
      <c r="E44" s="28"/>
      <c r="F44" s="28"/>
      <c r="G44" s="28" t="s">
        <v>327</v>
      </c>
      <c r="H44" s="29" t="s">
        <v>328</v>
      </c>
      <c r="I44" s="29" t="s">
        <v>329</v>
      </c>
      <c r="J44" s="29"/>
      <c r="K44" s="29"/>
      <c r="L44" s="29"/>
      <c r="M44" s="29"/>
      <c r="N44" s="29"/>
      <c r="O44" s="29"/>
    </row>
    <row r="45" customFormat="false" ht="24" hidden="false" customHeight="true" outlineLevel="0" collapsed="false">
      <c r="A45" s="28" t="n">
        <v>2023</v>
      </c>
      <c r="B45" s="28" t="s">
        <v>330</v>
      </c>
      <c r="C45" s="28"/>
      <c r="D45" s="28"/>
      <c r="E45" s="28"/>
      <c r="F45" s="28"/>
      <c r="G45" s="28" t="s">
        <v>327</v>
      </c>
      <c r="H45" s="29" t="s">
        <v>328</v>
      </c>
      <c r="I45" s="29" t="s">
        <v>331</v>
      </c>
      <c r="J45" s="29"/>
      <c r="K45" s="29"/>
      <c r="L45" s="29"/>
      <c r="M45" s="29"/>
      <c r="N45" s="29"/>
      <c r="O45" s="29"/>
    </row>
    <row r="46" customFormat="false" ht="24" hidden="false" customHeight="true" outlineLevel="0" collapsed="false">
      <c r="A46" s="28" t="n">
        <v>2023</v>
      </c>
      <c r="B46" s="28" t="s">
        <v>332</v>
      </c>
      <c r="C46" s="28"/>
      <c r="D46" s="28"/>
      <c r="E46" s="28"/>
      <c r="F46" s="28"/>
      <c r="G46" s="28" t="s">
        <v>327</v>
      </c>
      <c r="H46" s="29" t="s">
        <v>328</v>
      </c>
      <c r="I46" s="29" t="s">
        <v>333</v>
      </c>
      <c r="J46" s="29"/>
      <c r="K46" s="29"/>
      <c r="L46" s="29"/>
      <c r="M46" s="29"/>
      <c r="N46" s="29"/>
      <c r="O46" s="29"/>
    </row>
    <row r="47" customFormat="false" ht="24" hidden="false" customHeight="true" outlineLevel="0" collapsed="false">
      <c r="A47" s="28" t="n">
        <v>2023</v>
      </c>
      <c r="B47" s="28" t="s">
        <v>334</v>
      </c>
      <c r="C47" s="28" t="n">
        <v>344582000000</v>
      </c>
      <c r="D47" s="28" t="n">
        <v>344582000000</v>
      </c>
      <c r="E47" s="28" t="s">
        <v>182</v>
      </c>
      <c r="F47" s="28" t="s">
        <v>224</v>
      </c>
      <c r="G47" s="28" t="s">
        <v>172</v>
      </c>
      <c r="H47" s="29" t="s">
        <v>335</v>
      </c>
      <c r="I47" s="29" t="s">
        <v>336</v>
      </c>
      <c r="J47" s="29" t="s">
        <v>337</v>
      </c>
      <c r="K47" s="29" t="s">
        <v>338</v>
      </c>
      <c r="L47" s="29" t="s">
        <v>177</v>
      </c>
      <c r="M47" s="29" t="s">
        <v>339</v>
      </c>
      <c r="N47" s="29" t="s">
        <v>340</v>
      </c>
      <c r="O47" s="29" t="s">
        <v>180</v>
      </c>
    </row>
    <row r="48" customFormat="false" ht="15" hidden="false" customHeight="true" outlineLevel="0" collapsed="false">
      <c r="A48" s="28" t="n">
        <v>2023</v>
      </c>
      <c r="B48" s="28" t="s">
        <v>341</v>
      </c>
      <c r="C48" s="28" t="n">
        <v>36010000000</v>
      </c>
      <c r="D48" s="28" t="n">
        <v>36010000000</v>
      </c>
      <c r="E48" s="28" t="s">
        <v>182</v>
      </c>
      <c r="F48" s="28" t="s">
        <v>224</v>
      </c>
      <c r="G48" s="28" t="s">
        <v>172</v>
      </c>
      <c r="H48" s="29" t="s">
        <v>335</v>
      </c>
      <c r="I48" s="29" t="s">
        <v>342</v>
      </c>
      <c r="J48" s="29" t="s">
        <v>343</v>
      </c>
      <c r="K48" s="29" t="s">
        <v>338</v>
      </c>
      <c r="L48" s="29" t="s">
        <v>177</v>
      </c>
      <c r="M48" s="29" t="s">
        <v>178</v>
      </c>
      <c r="N48" s="29" t="s">
        <v>179</v>
      </c>
      <c r="O48" s="29" t="s">
        <v>344</v>
      </c>
    </row>
    <row r="49" customFormat="false" ht="15" hidden="false" customHeight="true" outlineLevel="0" collapsed="false">
      <c r="A49" s="28" t="n">
        <v>2023</v>
      </c>
      <c r="B49" s="28" t="s">
        <v>345</v>
      </c>
      <c r="C49" s="28" t="n">
        <v>849000000</v>
      </c>
      <c r="D49" s="28" t="n">
        <v>849000000</v>
      </c>
      <c r="E49" s="28" t="s">
        <v>182</v>
      </c>
      <c r="F49" s="28" t="s">
        <v>224</v>
      </c>
      <c r="G49" s="28" t="s">
        <v>172</v>
      </c>
      <c r="H49" s="29" t="s">
        <v>335</v>
      </c>
      <c r="I49" s="29" t="s">
        <v>346</v>
      </c>
      <c r="J49" s="29" t="s">
        <v>347</v>
      </c>
      <c r="K49" s="29" t="s">
        <v>338</v>
      </c>
      <c r="L49" s="29" t="s">
        <v>177</v>
      </c>
      <c r="M49" s="29" t="s">
        <v>178</v>
      </c>
      <c r="N49" s="29" t="s">
        <v>179</v>
      </c>
      <c r="O49" s="29" t="s">
        <v>344</v>
      </c>
    </row>
    <row r="50" customFormat="false" ht="15" hidden="false" customHeight="true" outlineLevel="0" collapsed="false">
      <c r="A50" s="28" t="n">
        <v>2023</v>
      </c>
      <c r="B50" s="28" t="s">
        <v>348</v>
      </c>
      <c r="C50" s="28" t="n">
        <v>0.292310024060777</v>
      </c>
      <c r="D50" s="28" t="n">
        <v>15429000000</v>
      </c>
      <c r="E50" s="28" t="s">
        <v>182</v>
      </c>
      <c r="F50" s="28" t="s">
        <v>224</v>
      </c>
      <c r="G50" s="28" t="s">
        <v>192</v>
      </c>
      <c r="H50" s="29" t="s">
        <v>349</v>
      </c>
      <c r="I50" s="29" t="s">
        <v>350</v>
      </c>
      <c r="J50" s="29" t="s">
        <v>351</v>
      </c>
      <c r="K50" s="29" t="s">
        <v>338</v>
      </c>
      <c r="L50" s="29" t="s">
        <v>177</v>
      </c>
      <c r="M50" s="29" t="s">
        <v>178</v>
      </c>
      <c r="N50" s="29" t="s">
        <v>179</v>
      </c>
      <c r="O50" s="29" t="s">
        <v>344</v>
      </c>
    </row>
    <row r="51" customFormat="false" ht="36" hidden="false" customHeight="true" outlineLevel="0" collapsed="false">
      <c r="A51" s="28" t="n">
        <v>2023</v>
      </c>
      <c r="B51" s="28" t="s">
        <v>348</v>
      </c>
      <c r="C51" s="28" t="n">
        <v>0.292310024060777</v>
      </c>
      <c r="D51" s="28" t="n">
        <v>52783000000</v>
      </c>
      <c r="E51" s="28" t="s">
        <v>182</v>
      </c>
      <c r="F51" s="28" t="s">
        <v>224</v>
      </c>
      <c r="G51" s="28" t="s">
        <v>192</v>
      </c>
      <c r="H51" s="29" t="s">
        <v>349</v>
      </c>
      <c r="I51" s="29" t="s">
        <v>352</v>
      </c>
      <c r="J51" s="29" t="s">
        <v>353</v>
      </c>
      <c r="K51" s="29" t="s">
        <v>338</v>
      </c>
      <c r="L51" s="29" t="s">
        <v>177</v>
      </c>
      <c r="M51" s="29" t="s">
        <v>178</v>
      </c>
      <c r="N51" s="29" t="s">
        <v>179</v>
      </c>
      <c r="O51" s="29" t="s">
        <v>344</v>
      </c>
    </row>
    <row r="52" customFormat="false" ht="15" hidden="false" customHeight="true" outlineLevel="0" collapsed="false">
      <c r="A52" s="28" t="n">
        <v>2023</v>
      </c>
      <c r="B52" s="28" t="s">
        <v>354</v>
      </c>
      <c r="C52" s="28" t="n">
        <v>20641000000</v>
      </c>
      <c r="D52" s="28" t="n">
        <v>20641000000</v>
      </c>
      <c r="E52" s="28" t="s">
        <v>182</v>
      </c>
      <c r="F52" s="28" t="s">
        <v>224</v>
      </c>
      <c r="G52" s="28" t="s">
        <v>172</v>
      </c>
      <c r="H52" s="29" t="s">
        <v>335</v>
      </c>
      <c r="I52" s="29" t="s">
        <v>355</v>
      </c>
      <c r="J52" s="29" t="s">
        <v>356</v>
      </c>
      <c r="K52" s="29" t="s">
        <v>357</v>
      </c>
      <c r="L52" s="29" t="s">
        <v>177</v>
      </c>
      <c r="M52" s="29" t="s">
        <v>178</v>
      </c>
      <c r="N52" s="29" t="s">
        <v>179</v>
      </c>
      <c r="O52" s="29" t="s">
        <v>344</v>
      </c>
    </row>
    <row r="53" customFormat="false" ht="15" hidden="false" customHeight="true" outlineLevel="0" collapsed="false">
      <c r="A53" s="28" t="n">
        <v>2023</v>
      </c>
      <c r="B53" s="28" t="s">
        <v>358</v>
      </c>
      <c r="C53" s="28" t="n">
        <v>55369000000</v>
      </c>
      <c r="D53" s="28" t="n">
        <v>55369000000</v>
      </c>
      <c r="E53" s="28" t="s">
        <v>182</v>
      </c>
      <c r="F53" s="28" t="s">
        <v>224</v>
      </c>
      <c r="G53" s="28" t="s">
        <v>172</v>
      </c>
      <c r="H53" s="29" t="s">
        <v>335</v>
      </c>
      <c r="I53" s="29" t="s">
        <v>359</v>
      </c>
      <c r="J53" s="29" t="s">
        <v>360</v>
      </c>
      <c r="K53" s="29" t="s">
        <v>357</v>
      </c>
      <c r="L53" s="29" t="s">
        <v>177</v>
      </c>
      <c r="M53" s="29" t="s">
        <v>178</v>
      </c>
      <c r="N53" s="29" t="s">
        <v>179</v>
      </c>
      <c r="O53" s="29" t="s">
        <v>344</v>
      </c>
    </row>
    <row r="54" customFormat="false" ht="15" hidden="false" customHeight="true" outlineLevel="0" collapsed="false">
      <c r="A54" s="28" t="n">
        <v>2023</v>
      </c>
      <c r="B54" s="28" t="s">
        <v>361</v>
      </c>
      <c r="C54" s="28" t="n">
        <v>31539000000</v>
      </c>
      <c r="D54" s="28" t="n">
        <v>31539000000</v>
      </c>
      <c r="E54" s="28" t="s">
        <v>182</v>
      </c>
      <c r="F54" s="28" t="s">
        <v>224</v>
      </c>
      <c r="G54" s="28" t="s">
        <v>172</v>
      </c>
      <c r="H54" s="29" t="s">
        <v>335</v>
      </c>
      <c r="I54" s="29" t="s">
        <v>362</v>
      </c>
      <c r="J54" s="29" t="s">
        <v>363</v>
      </c>
      <c r="K54" s="29" t="s">
        <v>364</v>
      </c>
      <c r="L54" s="29" t="s">
        <v>177</v>
      </c>
      <c r="M54" s="29" t="s">
        <v>186</v>
      </c>
      <c r="N54" s="29" t="s">
        <v>187</v>
      </c>
      <c r="O54" s="29" t="s">
        <v>365</v>
      </c>
    </row>
    <row r="55" customFormat="false" ht="24" hidden="false" customHeight="true" outlineLevel="0" collapsed="false">
      <c r="A55" s="28" t="n">
        <v>2023</v>
      </c>
      <c r="B55" s="28" t="s">
        <v>366</v>
      </c>
      <c r="C55" s="28" t="n">
        <v>4090000000</v>
      </c>
      <c r="D55" s="28" t="n">
        <v>4090</v>
      </c>
      <c r="E55" s="28" t="s">
        <v>182</v>
      </c>
      <c r="F55" s="28" t="s">
        <v>171</v>
      </c>
      <c r="G55" s="28" t="s">
        <v>172</v>
      </c>
      <c r="H55" s="29" t="s">
        <v>173</v>
      </c>
      <c r="I55" s="29" t="s">
        <v>183</v>
      </c>
      <c r="J55" s="29" t="s">
        <v>184</v>
      </c>
      <c r="K55" s="29" t="s">
        <v>185</v>
      </c>
      <c r="L55" s="29" t="s">
        <v>177</v>
      </c>
      <c r="M55" s="29" t="s">
        <v>186</v>
      </c>
      <c r="N55" s="29" t="s">
        <v>187</v>
      </c>
      <c r="O55" s="29" t="s">
        <v>180</v>
      </c>
    </row>
    <row r="56" customFormat="false" ht="24" hidden="false" customHeight="true" outlineLevel="0" collapsed="false">
      <c r="A56" s="28" t="n">
        <v>2023</v>
      </c>
      <c r="B56" s="28" t="s">
        <v>367</v>
      </c>
      <c r="C56" s="28" t="n">
        <v>37483000000</v>
      </c>
      <c r="D56" s="28" t="n">
        <v>37483</v>
      </c>
      <c r="E56" s="28" t="s">
        <v>182</v>
      </c>
      <c r="F56" s="28" t="s">
        <v>171</v>
      </c>
      <c r="G56" s="28" t="s">
        <v>172</v>
      </c>
      <c r="H56" s="29" t="s">
        <v>173</v>
      </c>
      <c r="I56" s="29" t="s">
        <v>189</v>
      </c>
      <c r="J56" s="29" t="s">
        <v>190</v>
      </c>
      <c r="K56" s="29" t="s">
        <v>185</v>
      </c>
      <c r="L56" s="29" t="s">
        <v>177</v>
      </c>
      <c r="M56" s="29" t="s">
        <v>186</v>
      </c>
      <c r="N56" s="29" t="s">
        <v>187</v>
      </c>
      <c r="O56" s="29" t="s">
        <v>180</v>
      </c>
    </row>
    <row r="57" customFormat="false" ht="24" hidden="false" customHeight="true" outlineLevel="0" collapsed="false">
      <c r="A57" s="28" t="n">
        <v>2023</v>
      </c>
      <c r="B57" s="28" t="s">
        <v>368</v>
      </c>
      <c r="C57" s="28" t="n">
        <v>41573000000</v>
      </c>
      <c r="D57" s="28" t="n">
        <v>4090</v>
      </c>
      <c r="E57" s="28" t="s">
        <v>182</v>
      </c>
      <c r="F57" s="28" t="s">
        <v>171</v>
      </c>
      <c r="G57" s="28" t="s">
        <v>192</v>
      </c>
      <c r="H57" s="29" t="s">
        <v>193</v>
      </c>
      <c r="I57" s="29" t="s">
        <v>183</v>
      </c>
      <c r="J57" s="29" t="s">
        <v>184</v>
      </c>
      <c r="K57" s="29" t="s">
        <v>185</v>
      </c>
      <c r="L57" s="29" t="s">
        <v>177</v>
      </c>
      <c r="M57" s="29" t="s">
        <v>186</v>
      </c>
      <c r="N57" s="29" t="s">
        <v>187</v>
      </c>
      <c r="O57" s="29" t="s">
        <v>180</v>
      </c>
    </row>
    <row r="58" customFormat="false" ht="24" hidden="false" customHeight="true" outlineLevel="0" collapsed="false">
      <c r="A58" s="28" t="n">
        <v>2023</v>
      </c>
      <c r="B58" s="28" t="s">
        <v>368</v>
      </c>
      <c r="C58" s="28" t="n">
        <v>41573000000</v>
      </c>
      <c r="D58" s="28" t="n">
        <v>37483</v>
      </c>
      <c r="E58" s="28" t="s">
        <v>182</v>
      </c>
      <c r="F58" s="28" t="s">
        <v>171</v>
      </c>
      <c r="G58" s="28" t="s">
        <v>192</v>
      </c>
      <c r="H58" s="29" t="s">
        <v>193</v>
      </c>
      <c r="I58" s="29" t="s">
        <v>189</v>
      </c>
      <c r="J58" s="29" t="s">
        <v>190</v>
      </c>
      <c r="K58" s="29" t="s">
        <v>185</v>
      </c>
      <c r="L58" s="29" t="s">
        <v>177</v>
      </c>
      <c r="M58" s="29" t="s">
        <v>186</v>
      </c>
      <c r="N58" s="29" t="s">
        <v>187</v>
      </c>
      <c r="O58" s="29" t="s">
        <v>180</v>
      </c>
    </row>
    <row r="59" customFormat="false" ht="24" hidden="false" customHeight="true" outlineLevel="0" collapsed="false">
      <c r="A59" s="28" t="n">
        <v>2023</v>
      </c>
      <c r="B59" s="28" t="s">
        <v>369</v>
      </c>
      <c r="C59" s="28"/>
      <c r="D59" s="28"/>
      <c r="E59" s="28" t="s">
        <v>182</v>
      </c>
      <c r="F59" s="28" t="s">
        <v>224</v>
      </c>
      <c r="G59" s="28" t="s">
        <v>327</v>
      </c>
      <c r="H59" s="29" t="s">
        <v>370</v>
      </c>
      <c r="I59" s="29"/>
      <c r="J59" s="29" t="s">
        <v>371</v>
      </c>
      <c r="K59" s="29" t="s">
        <v>372</v>
      </c>
      <c r="L59" s="29" t="s">
        <v>177</v>
      </c>
      <c r="M59" s="29" t="s">
        <v>339</v>
      </c>
      <c r="N59" s="29" t="s">
        <v>340</v>
      </c>
      <c r="O59" s="29" t="s">
        <v>180</v>
      </c>
    </row>
    <row r="60" customFormat="false" ht="24" hidden="false" customHeight="true" outlineLevel="0" collapsed="false">
      <c r="A60" s="28" t="n">
        <v>2023</v>
      </c>
      <c r="B60" s="28" t="s">
        <v>373</v>
      </c>
      <c r="C60" s="28"/>
      <c r="D60" s="28"/>
      <c r="E60" s="28" t="s">
        <v>182</v>
      </c>
      <c r="F60" s="28" t="s">
        <v>224</v>
      </c>
      <c r="G60" s="28" t="s">
        <v>374</v>
      </c>
      <c r="H60" s="29" t="s">
        <v>375</v>
      </c>
      <c r="I60" s="29" t="s">
        <v>376</v>
      </c>
      <c r="J60" s="29" t="s">
        <v>377</v>
      </c>
      <c r="K60" s="29" t="s">
        <v>372</v>
      </c>
      <c r="L60" s="29" t="s">
        <v>177</v>
      </c>
      <c r="M60" s="29" t="s">
        <v>339</v>
      </c>
      <c r="N60" s="29" t="s">
        <v>340</v>
      </c>
      <c r="O60" s="29" t="s">
        <v>180</v>
      </c>
    </row>
    <row r="61" customFormat="false" ht="24" hidden="false" customHeight="true" outlineLevel="0" collapsed="false">
      <c r="A61" s="28" t="n">
        <v>2023</v>
      </c>
      <c r="B61" s="28" t="s">
        <v>378</v>
      </c>
      <c r="C61" s="28" t="n">
        <v>7736000000</v>
      </c>
      <c r="D61" s="28" t="n">
        <v>7736000000</v>
      </c>
      <c r="E61" s="28" t="s">
        <v>182</v>
      </c>
      <c r="F61" s="28" t="s">
        <v>224</v>
      </c>
      <c r="G61" s="28" t="s">
        <v>172</v>
      </c>
      <c r="H61" s="29" t="s">
        <v>335</v>
      </c>
      <c r="I61" s="29" t="s">
        <v>379</v>
      </c>
      <c r="J61" s="29" t="s">
        <v>380</v>
      </c>
      <c r="K61" s="29" t="s">
        <v>364</v>
      </c>
      <c r="L61" s="29" t="s">
        <v>177</v>
      </c>
      <c r="M61" s="29" t="s">
        <v>186</v>
      </c>
      <c r="N61" s="29" t="s">
        <v>187</v>
      </c>
      <c r="O61" s="29" t="s">
        <v>365</v>
      </c>
    </row>
    <row r="62" customFormat="false" ht="24" hidden="false" customHeight="true" outlineLevel="0" collapsed="false">
      <c r="A62" s="28" t="n">
        <v>2023</v>
      </c>
      <c r="B62" s="28" t="s">
        <v>381</v>
      </c>
      <c r="C62" s="28" t="n">
        <v>4052000000</v>
      </c>
      <c r="D62" s="28" t="n">
        <v>4052</v>
      </c>
      <c r="E62" s="28" t="s">
        <v>170</v>
      </c>
      <c r="F62" s="28" t="s">
        <v>171</v>
      </c>
      <c r="G62" s="28" t="s">
        <v>172</v>
      </c>
      <c r="H62" s="29" t="s">
        <v>173</v>
      </c>
      <c r="I62" s="29" t="s">
        <v>174</v>
      </c>
      <c r="J62" s="29" t="s">
        <v>175</v>
      </c>
      <c r="K62" s="29" t="s">
        <v>176</v>
      </c>
      <c r="L62" s="29" t="s">
        <v>177</v>
      </c>
      <c r="M62" s="29" t="s">
        <v>178</v>
      </c>
      <c r="N62" s="29" t="s">
        <v>179</v>
      </c>
      <c r="O62" s="29" t="s">
        <v>180</v>
      </c>
    </row>
    <row r="63" customFormat="false" ht="24" hidden="false" customHeight="true" outlineLevel="0" collapsed="false">
      <c r="A63" s="28" t="n">
        <v>2024</v>
      </c>
      <c r="B63" s="28" t="s">
        <v>169</v>
      </c>
      <c r="C63" s="28" t="n">
        <v>4298000000</v>
      </c>
      <c r="D63" s="28" t="n">
        <v>4298</v>
      </c>
      <c r="E63" s="28" t="s">
        <v>170</v>
      </c>
      <c r="F63" s="28" t="s">
        <v>171</v>
      </c>
      <c r="G63" s="28" t="s">
        <v>172</v>
      </c>
      <c r="H63" s="29" t="s">
        <v>173</v>
      </c>
      <c r="I63" s="29" t="s">
        <v>174</v>
      </c>
      <c r="J63" s="29" t="s">
        <v>175</v>
      </c>
      <c r="K63" s="29" t="s">
        <v>176</v>
      </c>
      <c r="L63" s="29" t="s">
        <v>382</v>
      </c>
      <c r="M63" s="29" t="s">
        <v>178</v>
      </c>
      <c r="N63" s="29" t="s">
        <v>179</v>
      </c>
      <c r="O63" s="29" t="s">
        <v>365</v>
      </c>
    </row>
    <row r="64" customFormat="false" ht="24" hidden="false" customHeight="true" outlineLevel="0" collapsed="false">
      <c r="A64" s="28" t="n">
        <v>2024</v>
      </c>
      <c r="B64" s="28" t="s">
        <v>181</v>
      </c>
      <c r="C64" s="28" t="n">
        <v>4955000000</v>
      </c>
      <c r="D64" s="28" t="n">
        <v>4955</v>
      </c>
      <c r="E64" s="28" t="s">
        <v>182</v>
      </c>
      <c r="F64" s="28" t="s">
        <v>171</v>
      </c>
      <c r="G64" s="28" t="s">
        <v>172</v>
      </c>
      <c r="H64" s="29" t="s">
        <v>173</v>
      </c>
      <c r="I64" s="29" t="s">
        <v>183</v>
      </c>
      <c r="J64" s="29" t="s">
        <v>184</v>
      </c>
      <c r="K64" s="29" t="s">
        <v>185</v>
      </c>
      <c r="L64" s="29" t="s">
        <v>382</v>
      </c>
      <c r="M64" s="29" t="s">
        <v>178</v>
      </c>
      <c r="N64" s="29" t="s">
        <v>179</v>
      </c>
      <c r="O64" s="29" t="s">
        <v>365</v>
      </c>
    </row>
    <row r="65" customFormat="false" ht="24" hidden="false" customHeight="true" outlineLevel="0" collapsed="false">
      <c r="A65" s="28" t="n">
        <v>2024</v>
      </c>
      <c r="B65" s="28" t="s">
        <v>188</v>
      </c>
      <c r="C65" s="28" t="n">
        <v>36755000000</v>
      </c>
      <c r="D65" s="28" t="n">
        <v>36755</v>
      </c>
      <c r="E65" s="28" t="s">
        <v>182</v>
      </c>
      <c r="F65" s="28" t="s">
        <v>171</v>
      </c>
      <c r="G65" s="28" t="s">
        <v>172</v>
      </c>
      <c r="H65" s="29" t="s">
        <v>173</v>
      </c>
      <c r="I65" s="29" t="s">
        <v>189</v>
      </c>
      <c r="J65" s="29" t="s">
        <v>190</v>
      </c>
      <c r="K65" s="29" t="s">
        <v>185</v>
      </c>
      <c r="L65" s="29" t="s">
        <v>382</v>
      </c>
      <c r="M65" s="29" t="s">
        <v>178</v>
      </c>
      <c r="N65" s="29" t="s">
        <v>179</v>
      </c>
      <c r="O65" s="29" t="s">
        <v>365</v>
      </c>
    </row>
    <row r="66" customFormat="false" ht="24" hidden="false" customHeight="true" outlineLevel="0" collapsed="false">
      <c r="A66" s="28" t="n">
        <v>2024</v>
      </c>
      <c r="B66" s="28" t="s">
        <v>191</v>
      </c>
      <c r="C66" s="28" t="n">
        <v>41710000000</v>
      </c>
      <c r="D66" s="28" t="n">
        <v>4955</v>
      </c>
      <c r="E66" s="28" t="s">
        <v>182</v>
      </c>
      <c r="F66" s="28" t="s">
        <v>171</v>
      </c>
      <c r="G66" s="28" t="s">
        <v>192</v>
      </c>
      <c r="H66" s="29" t="s">
        <v>193</v>
      </c>
      <c r="I66" s="29" t="s">
        <v>183</v>
      </c>
      <c r="J66" s="29" t="s">
        <v>184</v>
      </c>
      <c r="K66" s="29" t="s">
        <v>185</v>
      </c>
      <c r="L66" s="29" t="s">
        <v>382</v>
      </c>
      <c r="M66" s="29" t="s">
        <v>178</v>
      </c>
      <c r="N66" s="29" t="s">
        <v>179</v>
      </c>
      <c r="O66" s="29" t="s">
        <v>365</v>
      </c>
    </row>
    <row r="67" customFormat="false" ht="24" hidden="false" customHeight="true" outlineLevel="0" collapsed="false">
      <c r="A67" s="28" t="n">
        <v>2024</v>
      </c>
      <c r="B67" s="28" t="s">
        <v>191</v>
      </c>
      <c r="C67" s="28" t="n">
        <v>41710000000</v>
      </c>
      <c r="D67" s="28" t="n">
        <v>36755</v>
      </c>
      <c r="E67" s="28" t="s">
        <v>182</v>
      </c>
      <c r="F67" s="28" t="s">
        <v>171</v>
      </c>
      <c r="G67" s="28" t="s">
        <v>192</v>
      </c>
      <c r="H67" s="29" t="s">
        <v>193</v>
      </c>
      <c r="I67" s="29" t="s">
        <v>189</v>
      </c>
      <c r="J67" s="29" t="s">
        <v>190</v>
      </c>
      <c r="K67" s="29" t="s">
        <v>185</v>
      </c>
      <c r="L67" s="29" t="s">
        <v>382</v>
      </c>
      <c r="M67" s="29" t="s">
        <v>178</v>
      </c>
      <c r="N67" s="29" t="s">
        <v>179</v>
      </c>
      <c r="O67" s="29" t="s">
        <v>365</v>
      </c>
    </row>
    <row r="68" customFormat="false" ht="36" hidden="false" customHeight="true" outlineLevel="0" collapsed="false">
      <c r="A68" s="28" t="n">
        <v>2024</v>
      </c>
      <c r="B68" s="28" t="s">
        <v>194</v>
      </c>
      <c r="C68" s="28" t="n">
        <v>2068000</v>
      </c>
      <c r="D68" s="28" t="n">
        <v>2068</v>
      </c>
      <c r="E68" s="28" t="s">
        <v>195</v>
      </c>
      <c r="F68" s="28" t="s">
        <v>196</v>
      </c>
      <c r="G68" s="28" t="s">
        <v>172</v>
      </c>
      <c r="H68" s="29" t="s">
        <v>173</v>
      </c>
      <c r="I68" s="29" t="s">
        <v>197</v>
      </c>
      <c r="J68" s="29" t="s">
        <v>198</v>
      </c>
      <c r="K68" s="29" t="s">
        <v>199</v>
      </c>
      <c r="L68" s="29" t="s">
        <v>382</v>
      </c>
      <c r="M68" s="29" t="s">
        <v>178</v>
      </c>
      <c r="N68" s="29" t="s">
        <v>179</v>
      </c>
      <c r="O68" s="29" t="s">
        <v>365</v>
      </c>
    </row>
    <row r="69" customFormat="false" ht="36" hidden="false" customHeight="true" outlineLevel="0" collapsed="false">
      <c r="A69" s="28" t="n">
        <v>2024</v>
      </c>
      <c r="B69" s="28" t="s">
        <v>200</v>
      </c>
      <c r="C69" s="28" t="n">
        <v>483000</v>
      </c>
      <c r="D69" s="28" t="n">
        <v>483</v>
      </c>
      <c r="E69" s="28" t="s">
        <v>195</v>
      </c>
      <c r="F69" s="28" t="s">
        <v>196</v>
      </c>
      <c r="G69" s="28" t="s">
        <v>172</v>
      </c>
      <c r="H69" s="29" t="s">
        <v>173</v>
      </c>
      <c r="I69" s="29" t="s">
        <v>201</v>
      </c>
      <c r="J69" s="29" t="s">
        <v>202</v>
      </c>
      <c r="K69" s="29" t="s">
        <v>199</v>
      </c>
      <c r="L69" s="29" t="s">
        <v>382</v>
      </c>
      <c r="M69" s="29" t="s">
        <v>178</v>
      </c>
      <c r="N69" s="29" t="s">
        <v>179</v>
      </c>
      <c r="O69" s="29" t="s">
        <v>365</v>
      </c>
    </row>
    <row r="70" customFormat="false" ht="24" hidden="false" customHeight="true" outlineLevel="0" collapsed="false">
      <c r="A70" s="28" t="n">
        <v>2024</v>
      </c>
      <c r="B70" s="28" t="s">
        <v>203</v>
      </c>
      <c r="C70" s="28" t="n">
        <v>374000</v>
      </c>
      <c r="D70" s="28" t="n">
        <v>374</v>
      </c>
      <c r="E70" s="28" t="s">
        <v>195</v>
      </c>
      <c r="F70" s="28" t="s">
        <v>196</v>
      </c>
      <c r="G70" s="28" t="s">
        <v>172</v>
      </c>
      <c r="H70" s="29" t="s">
        <v>173</v>
      </c>
      <c r="I70" s="29" t="s">
        <v>204</v>
      </c>
      <c r="J70" s="29" t="s">
        <v>205</v>
      </c>
      <c r="K70" s="29" t="s">
        <v>206</v>
      </c>
      <c r="L70" s="29" t="s">
        <v>382</v>
      </c>
      <c r="M70" s="29" t="s">
        <v>178</v>
      </c>
      <c r="N70" s="29" t="s">
        <v>179</v>
      </c>
      <c r="O70" s="29" t="s">
        <v>365</v>
      </c>
    </row>
    <row r="71" customFormat="false" ht="24" hidden="false" customHeight="true" outlineLevel="0" collapsed="false">
      <c r="A71" s="28" t="n">
        <v>2024</v>
      </c>
      <c r="B71" s="28" t="s">
        <v>207</v>
      </c>
      <c r="C71" s="28" t="n">
        <v>62000</v>
      </c>
      <c r="D71" s="28" t="n">
        <v>62</v>
      </c>
      <c r="E71" s="28" t="s">
        <v>195</v>
      </c>
      <c r="F71" s="28" t="s">
        <v>196</v>
      </c>
      <c r="G71" s="28" t="s">
        <v>172</v>
      </c>
      <c r="H71" s="29" t="s">
        <v>173</v>
      </c>
      <c r="I71" s="29" t="s">
        <v>208</v>
      </c>
      <c r="J71" s="29" t="s">
        <v>209</v>
      </c>
      <c r="K71" s="29" t="s">
        <v>206</v>
      </c>
      <c r="L71" s="29" t="s">
        <v>382</v>
      </c>
      <c r="M71" s="29" t="s">
        <v>178</v>
      </c>
      <c r="N71" s="29" t="s">
        <v>179</v>
      </c>
      <c r="O71" s="29" t="s">
        <v>365</v>
      </c>
    </row>
    <row r="72" customFormat="false" ht="36" hidden="false" customHeight="true" outlineLevel="0" collapsed="false">
      <c r="A72" s="28" t="n">
        <v>2024</v>
      </c>
      <c r="B72" s="28" t="s">
        <v>210</v>
      </c>
      <c r="C72" s="28" t="n">
        <v>2987000</v>
      </c>
      <c r="D72" s="28" t="n">
        <v>2987</v>
      </c>
      <c r="E72" s="28" t="s">
        <v>195</v>
      </c>
      <c r="F72" s="28" t="s">
        <v>196</v>
      </c>
      <c r="G72" s="28" t="s">
        <v>172</v>
      </c>
      <c r="H72" s="29" t="s">
        <v>173</v>
      </c>
      <c r="I72" s="29" t="s">
        <v>211</v>
      </c>
      <c r="J72" s="29" t="s">
        <v>212</v>
      </c>
      <c r="K72" s="29" t="s">
        <v>213</v>
      </c>
      <c r="L72" s="29" t="s">
        <v>382</v>
      </c>
      <c r="M72" s="29" t="s">
        <v>178</v>
      </c>
      <c r="N72" s="29" t="s">
        <v>179</v>
      </c>
      <c r="O72" s="29" t="s">
        <v>365</v>
      </c>
    </row>
    <row r="73" customFormat="false" ht="36" hidden="false" customHeight="true" outlineLevel="0" collapsed="false">
      <c r="A73" s="28" t="n">
        <v>2024</v>
      </c>
      <c r="B73" s="28" t="s">
        <v>214</v>
      </c>
      <c r="C73" s="28" t="n">
        <v>8078000000</v>
      </c>
      <c r="D73" s="28" t="n">
        <v>8078</v>
      </c>
      <c r="E73" s="28" t="s">
        <v>215</v>
      </c>
      <c r="F73" s="28" t="s">
        <v>171</v>
      </c>
      <c r="G73" s="28" t="s">
        <v>172</v>
      </c>
      <c r="H73" s="29" t="s">
        <v>173</v>
      </c>
      <c r="I73" s="29" t="s">
        <v>216</v>
      </c>
      <c r="J73" s="29" t="s">
        <v>217</v>
      </c>
      <c r="K73" s="29" t="s">
        <v>213</v>
      </c>
      <c r="L73" s="29" t="s">
        <v>382</v>
      </c>
      <c r="M73" s="29" t="s">
        <v>178</v>
      </c>
      <c r="N73" s="29" t="s">
        <v>179</v>
      </c>
      <c r="O73" s="29" t="s">
        <v>365</v>
      </c>
    </row>
    <row r="74" customFormat="false" ht="36" hidden="false" customHeight="true" outlineLevel="0" collapsed="false">
      <c r="A74" s="28" t="n">
        <v>2024</v>
      </c>
      <c r="B74" s="28" t="s">
        <v>218</v>
      </c>
      <c r="C74" s="28" t="n">
        <v>4333000</v>
      </c>
      <c r="D74" s="28" t="n">
        <v>4333</v>
      </c>
      <c r="E74" s="28" t="s">
        <v>219</v>
      </c>
      <c r="F74" s="28" t="s">
        <v>196</v>
      </c>
      <c r="G74" s="28" t="s">
        <v>172</v>
      </c>
      <c r="H74" s="29" t="s">
        <v>173</v>
      </c>
      <c r="I74" s="29" t="s">
        <v>220</v>
      </c>
      <c r="J74" s="29" t="s">
        <v>221</v>
      </c>
      <c r="K74" s="29" t="s">
        <v>213</v>
      </c>
      <c r="L74" s="29" t="s">
        <v>382</v>
      </c>
      <c r="M74" s="29" t="s">
        <v>178</v>
      </c>
      <c r="N74" s="29" t="s">
        <v>179</v>
      </c>
      <c r="O74" s="29" t="s">
        <v>365</v>
      </c>
    </row>
    <row r="75" customFormat="false" ht="36" hidden="false" customHeight="true" outlineLevel="0" collapsed="false">
      <c r="A75" s="28" t="n">
        <v>2024</v>
      </c>
      <c r="B75" s="28" t="s">
        <v>222</v>
      </c>
      <c r="C75" s="28" t="n">
        <v>76.23</v>
      </c>
      <c r="D75" s="28" t="n">
        <v>76.23</v>
      </c>
      <c r="E75" s="28" t="s">
        <v>223</v>
      </c>
      <c r="F75" s="28" t="s">
        <v>224</v>
      </c>
      <c r="G75" s="28" t="s">
        <v>172</v>
      </c>
      <c r="H75" s="29" t="s">
        <v>173</v>
      </c>
      <c r="I75" s="29" t="s">
        <v>225</v>
      </c>
      <c r="J75" s="29" t="s">
        <v>226</v>
      </c>
      <c r="K75" s="29" t="s">
        <v>227</v>
      </c>
      <c r="L75" s="29" t="s">
        <v>382</v>
      </c>
      <c r="M75" s="29" t="s">
        <v>178</v>
      </c>
      <c r="N75" s="29" t="s">
        <v>179</v>
      </c>
      <c r="O75" s="29" t="s">
        <v>365</v>
      </c>
    </row>
    <row r="76" customFormat="false" ht="36" hidden="false" customHeight="true" outlineLevel="0" collapsed="false">
      <c r="A76" s="28" t="n">
        <v>2024</v>
      </c>
      <c r="B76" s="28" t="s">
        <v>228</v>
      </c>
      <c r="C76" s="28" t="n">
        <v>27.16</v>
      </c>
      <c r="D76" s="28" t="n">
        <v>27.16</v>
      </c>
      <c r="E76" s="28" t="s">
        <v>223</v>
      </c>
      <c r="F76" s="28" t="s">
        <v>224</v>
      </c>
      <c r="G76" s="28" t="s">
        <v>172</v>
      </c>
      <c r="H76" s="29" t="s">
        <v>173</v>
      </c>
      <c r="I76" s="29" t="s">
        <v>229</v>
      </c>
      <c r="J76" s="29" t="s">
        <v>230</v>
      </c>
      <c r="K76" s="29" t="s">
        <v>227</v>
      </c>
      <c r="L76" s="29" t="s">
        <v>382</v>
      </c>
      <c r="M76" s="29" t="s">
        <v>178</v>
      </c>
      <c r="N76" s="29" t="s">
        <v>179</v>
      </c>
      <c r="O76" s="29" t="s">
        <v>365</v>
      </c>
    </row>
    <row r="77" customFormat="false" ht="24" hidden="false" customHeight="true" outlineLevel="0" collapsed="false">
      <c r="A77" s="28" t="n">
        <v>2024</v>
      </c>
      <c r="B77" s="28" t="s">
        <v>231</v>
      </c>
      <c r="C77" s="28" t="n">
        <v>54.02</v>
      </c>
      <c r="D77" s="28" t="n">
        <v>54.02</v>
      </c>
      <c r="E77" s="28" t="s">
        <v>223</v>
      </c>
      <c r="F77" s="28" t="s">
        <v>224</v>
      </c>
      <c r="G77" s="28" t="s">
        <v>172</v>
      </c>
      <c r="H77" s="29" t="s">
        <v>173</v>
      </c>
      <c r="I77" s="29" t="s">
        <v>232</v>
      </c>
      <c r="J77" s="29" t="s">
        <v>233</v>
      </c>
      <c r="K77" s="29" t="s">
        <v>234</v>
      </c>
      <c r="L77" s="29" t="s">
        <v>382</v>
      </c>
      <c r="M77" s="29" t="s">
        <v>178</v>
      </c>
      <c r="N77" s="29" t="s">
        <v>179</v>
      </c>
      <c r="O77" s="29" t="s">
        <v>365</v>
      </c>
    </row>
    <row r="78" customFormat="false" ht="24" hidden="false" customHeight="true" outlineLevel="0" collapsed="false">
      <c r="A78" s="28" t="n">
        <v>2024</v>
      </c>
      <c r="B78" s="28" t="s">
        <v>235</v>
      </c>
      <c r="C78" s="28" t="n">
        <v>74.16</v>
      </c>
      <c r="D78" s="28" t="n">
        <v>74.16</v>
      </c>
      <c r="E78" s="28" t="s">
        <v>223</v>
      </c>
      <c r="F78" s="28" t="s">
        <v>224</v>
      </c>
      <c r="G78" s="28" t="s">
        <v>172</v>
      </c>
      <c r="H78" s="29" t="s">
        <v>173</v>
      </c>
      <c r="I78" s="29" t="s">
        <v>236</v>
      </c>
      <c r="J78" s="29" t="s">
        <v>237</v>
      </c>
      <c r="K78" s="29" t="s">
        <v>234</v>
      </c>
      <c r="L78" s="29" t="s">
        <v>382</v>
      </c>
      <c r="M78" s="29" t="s">
        <v>178</v>
      </c>
      <c r="N78" s="29" t="s">
        <v>179</v>
      </c>
      <c r="O78" s="29" t="s">
        <v>365</v>
      </c>
    </row>
    <row r="79" customFormat="false" ht="36" hidden="false" customHeight="true" outlineLevel="0" collapsed="false">
      <c r="A79" s="28" t="n">
        <v>2024</v>
      </c>
      <c r="B79" s="28" t="s">
        <v>238</v>
      </c>
      <c r="C79" s="28" t="n">
        <v>4.53</v>
      </c>
      <c r="D79" s="28" t="n">
        <v>4.53</v>
      </c>
      <c r="E79" s="28" t="s">
        <v>239</v>
      </c>
      <c r="F79" s="28" t="s">
        <v>224</v>
      </c>
      <c r="G79" s="28" t="s">
        <v>172</v>
      </c>
      <c r="H79" s="29" t="s">
        <v>173</v>
      </c>
      <c r="I79" s="29" t="s">
        <v>240</v>
      </c>
      <c r="J79" s="29" t="s">
        <v>241</v>
      </c>
      <c r="K79" s="29" t="s">
        <v>227</v>
      </c>
      <c r="L79" s="29" t="s">
        <v>382</v>
      </c>
      <c r="M79" s="29" t="s">
        <v>178</v>
      </c>
      <c r="N79" s="29" t="s">
        <v>179</v>
      </c>
      <c r="O79" s="29" t="s">
        <v>365</v>
      </c>
    </row>
    <row r="80" customFormat="false" ht="36" hidden="false" customHeight="true" outlineLevel="0" collapsed="false">
      <c r="A80" s="28" t="n">
        <v>2024</v>
      </c>
      <c r="B80" s="28" t="s">
        <v>242</v>
      </c>
      <c r="C80" s="28" t="n">
        <v>10.53</v>
      </c>
      <c r="D80" s="28" t="n">
        <v>10.53</v>
      </c>
      <c r="E80" s="28" t="s">
        <v>243</v>
      </c>
      <c r="F80" s="28" t="s">
        <v>224</v>
      </c>
      <c r="G80" s="28" t="s">
        <v>172</v>
      </c>
      <c r="H80" s="29" t="s">
        <v>173</v>
      </c>
      <c r="I80" s="29" t="s">
        <v>244</v>
      </c>
      <c r="J80" s="29" t="s">
        <v>245</v>
      </c>
      <c r="K80" s="29" t="s">
        <v>227</v>
      </c>
      <c r="L80" s="29" t="s">
        <v>382</v>
      </c>
      <c r="M80" s="29" t="s">
        <v>178</v>
      </c>
      <c r="N80" s="29" t="s">
        <v>179</v>
      </c>
      <c r="O80" s="29" t="s">
        <v>365</v>
      </c>
    </row>
    <row r="81" customFormat="false" ht="24" hidden="false" customHeight="true" outlineLevel="0" collapsed="false">
      <c r="A81" s="28" t="n">
        <v>2024</v>
      </c>
      <c r="B81" s="28" t="s">
        <v>246</v>
      </c>
      <c r="C81" s="28" t="n">
        <v>19949000000</v>
      </c>
      <c r="D81" s="28" t="n">
        <v>19949</v>
      </c>
      <c r="E81" s="28" t="s">
        <v>247</v>
      </c>
      <c r="F81" s="28" t="s">
        <v>171</v>
      </c>
      <c r="G81" s="28" t="s">
        <v>172</v>
      </c>
      <c r="H81" s="29" t="s">
        <v>173</v>
      </c>
      <c r="I81" s="29" t="s">
        <v>248</v>
      </c>
      <c r="J81" s="29" t="s">
        <v>383</v>
      </c>
      <c r="K81" s="29" t="s">
        <v>250</v>
      </c>
      <c r="L81" s="29" t="s">
        <v>382</v>
      </c>
      <c r="M81" s="29" t="s">
        <v>178</v>
      </c>
      <c r="N81" s="29" t="s">
        <v>179</v>
      </c>
      <c r="O81" s="29" t="s">
        <v>365</v>
      </c>
    </row>
    <row r="82" customFormat="false" ht="24" hidden="false" customHeight="true" outlineLevel="0" collapsed="false">
      <c r="A82" s="28" t="n">
        <v>2024</v>
      </c>
      <c r="B82" s="28" t="s">
        <v>251</v>
      </c>
      <c r="C82" s="28" t="n">
        <v>12599000000</v>
      </c>
      <c r="D82" s="28" t="n">
        <v>11118</v>
      </c>
      <c r="E82" s="28" t="s">
        <v>247</v>
      </c>
      <c r="F82" s="28" t="s">
        <v>171</v>
      </c>
      <c r="G82" s="28" t="s">
        <v>192</v>
      </c>
      <c r="H82" s="29" t="s">
        <v>193</v>
      </c>
      <c r="I82" s="29" t="s">
        <v>252</v>
      </c>
      <c r="J82" s="29" t="s">
        <v>253</v>
      </c>
      <c r="K82" s="29" t="s">
        <v>254</v>
      </c>
      <c r="L82" s="29" t="s">
        <v>382</v>
      </c>
      <c r="M82" s="29" t="s">
        <v>178</v>
      </c>
      <c r="N82" s="29" t="s">
        <v>179</v>
      </c>
      <c r="O82" s="29" t="s">
        <v>365</v>
      </c>
    </row>
    <row r="83" customFormat="false" ht="24" hidden="false" customHeight="true" outlineLevel="0" collapsed="false">
      <c r="A83" s="28" t="n">
        <v>2024</v>
      </c>
      <c r="B83" s="28" t="s">
        <v>251</v>
      </c>
      <c r="C83" s="28" t="n">
        <v>12599000000</v>
      </c>
      <c r="D83" s="28" t="n">
        <v>1481</v>
      </c>
      <c r="E83" s="28" t="s">
        <v>247</v>
      </c>
      <c r="F83" s="28" t="s">
        <v>171</v>
      </c>
      <c r="G83" s="28" t="s">
        <v>192</v>
      </c>
      <c r="H83" s="29" t="s">
        <v>193</v>
      </c>
      <c r="I83" s="29" t="s">
        <v>255</v>
      </c>
      <c r="J83" s="29" t="s">
        <v>256</v>
      </c>
      <c r="K83" s="29" t="s">
        <v>254</v>
      </c>
      <c r="L83" s="29" t="s">
        <v>382</v>
      </c>
      <c r="M83" s="29" t="s">
        <v>178</v>
      </c>
      <c r="N83" s="29" t="s">
        <v>179</v>
      </c>
      <c r="O83" s="29" t="s">
        <v>365</v>
      </c>
    </row>
    <row r="84" customFormat="false" ht="24" hidden="false" customHeight="true" outlineLevel="0" collapsed="false">
      <c r="A84" s="28" t="n">
        <v>2024</v>
      </c>
      <c r="B84" s="28" t="s">
        <v>257</v>
      </c>
      <c r="C84" s="28" t="n">
        <v>7350000000</v>
      </c>
      <c r="D84" s="28" t="n">
        <v>5838</v>
      </c>
      <c r="E84" s="28" t="s">
        <v>247</v>
      </c>
      <c r="F84" s="28" t="s">
        <v>171</v>
      </c>
      <c r="G84" s="28" t="s">
        <v>192</v>
      </c>
      <c r="H84" s="29" t="s">
        <v>193</v>
      </c>
      <c r="I84" s="29" t="s">
        <v>258</v>
      </c>
      <c r="J84" s="29" t="s">
        <v>259</v>
      </c>
      <c r="K84" s="29" t="s">
        <v>254</v>
      </c>
      <c r="L84" s="29" t="s">
        <v>382</v>
      </c>
      <c r="M84" s="29" t="s">
        <v>178</v>
      </c>
      <c r="N84" s="29" t="s">
        <v>179</v>
      </c>
      <c r="O84" s="29" t="s">
        <v>365</v>
      </c>
    </row>
    <row r="85" customFormat="false" ht="24" hidden="false" customHeight="true" outlineLevel="0" collapsed="false">
      <c r="A85" s="28" t="n">
        <v>2024</v>
      </c>
      <c r="B85" s="28" t="s">
        <v>257</v>
      </c>
      <c r="C85" s="28" t="n">
        <v>7350000000</v>
      </c>
      <c r="D85" s="28" t="n">
        <v>1512</v>
      </c>
      <c r="E85" s="28" t="s">
        <v>247</v>
      </c>
      <c r="F85" s="28" t="s">
        <v>171</v>
      </c>
      <c r="G85" s="28" t="s">
        <v>192</v>
      </c>
      <c r="H85" s="29" t="s">
        <v>193</v>
      </c>
      <c r="I85" s="29" t="s">
        <v>260</v>
      </c>
      <c r="J85" s="29" t="s">
        <v>261</v>
      </c>
      <c r="K85" s="29" t="s">
        <v>254</v>
      </c>
      <c r="L85" s="29" t="s">
        <v>382</v>
      </c>
      <c r="M85" s="29" t="s">
        <v>178</v>
      </c>
      <c r="N85" s="29" t="s">
        <v>179</v>
      </c>
      <c r="O85" s="29" t="s">
        <v>365</v>
      </c>
    </row>
    <row r="86" customFormat="false" ht="24" hidden="false" customHeight="true" outlineLevel="0" collapsed="false">
      <c r="A86" s="28" t="n">
        <v>2024</v>
      </c>
      <c r="B86" s="28" t="s">
        <v>262</v>
      </c>
      <c r="C86" s="28" t="n">
        <v>25390000000</v>
      </c>
      <c r="D86" s="28" t="n">
        <v>25390</v>
      </c>
      <c r="E86" s="28" t="s">
        <v>182</v>
      </c>
      <c r="F86" s="28" t="s">
        <v>171</v>
      </c>
      <c r="G86" s="28" t="s">
        <v>172</v>
      </c>
      <c r="H86" s="29" t="s">
        <v>173</v>
      </c>
      <c r="I86" s="29" t="s">
        <v>263</v>
      </c>
      <c r="J86" s="29" t="s">
        <v>264</v>
      </c>
      <c r="K86" s="29" t="s">
        <v>265</v>
      </c>
      <c r="L86" s="29" t="s">
        <v>382</v>
      </c>
      <c r="M86" s="29" t="s">
        <v>178</v>
      </c>
      <c r="N86" s="29" t="s">
        <v>179</v>
      </c>
      <c r="O86" s="29" t="s">
        <v>365</v>
      </c>
    </row>
    <row r="87" customFormat="false" ht="24" hidden="false" customHeight="true" outlineLevel="0" collapsed="false">
      <c r="A87" s="28" t="n">
        <v>2024</v>
      </c>
      <c r="B87" s="28" t="s">
        <v>266</v>
      </c>
      <c r="C87" s="28" t="n">
        <v>4033000000</v>
      </c>
      <c r="D87" s="28" t="n">
        <v>4033</v>
      </c>
      <c r="E87" s="28" t="s">
        <v>182</v>
      </c>
      <c r="F87" s="28" t="s">
        <v>171</v>
      </c>
      <c r="G87" s="28" t="s">
        <v>172</v>
      </c>
      <c r="H87" s="29" t="s">
        <v>173</v>
      </c>
      <c r="I87" s="29" t="s">
        <v>267</v>
      </c>
      <c r="J87" s="29" t="s">
        <v>268</v>
      </c>
      <c r="K87" s="29" t="s">
        <v>269</v>
      </c>
      <c r="L87" s="29" t="s">
        <v>382</v>
      </c>
      <c r="M87" s="29" t="s">
        <v>178</v>
      </c>
      <c r="N87" s="29" t="s">
        <v>179</v>
      </c>
      <c r="O87" s="29" t="s">
        <v>365</v>
      </c>
    </row>
    <row r="88" customFormat="false" ht="24" hidden="false" customHeight="true" outlineLevel="0" collapsed="false">
      <c r="A88" s="28" t="n">
        <v>2024</v>
      </c>
      <c r="B88" s="28" t="s">
        <v>270</v>
      </c>
      <c r="C88" s="28" t="n">
        <v>2577000000</v>
      </c>
      <c r="D88" s="28" t="n">
        <v>2577</v>
      </c>
      <c r="E88" s="28" t="s">
        <v>182</v>
      </c>
      <c r="F88" s="28" t="s">
        <v>171</v>
      </c>
      <c r="G88" s="28" t="s">
        <v>172</v>
      </c>
      <c r="H88" s="29" t="s">
        <v>173</v>
      </c>
      <c r="I88" s="29" t="s">
        <v>271</v>
      </c>
      <c r="J88" s="29" t="s">
        <v>272</v>
      </c>
      <c r="K88" s="29" t="s">
        <v>273</v>
      </c>
      <c r="L88" s="29" t="s">
        <v>382</v>
      </c>
      <c r="M88" s="29" t="s">
        <v>178</v>
      </c>
      <c r="N88" s="29" t="s">
        <v>179</v>
      </c>
      <c r="O88" s="29" t="s">
        <v>365</v>
      </c>
    </row>
    <row r="89" customFormat="false" ht="24" hidden="false" customHeight="true" outlineLevel="0" collapsed="false">
      <c r="A89" s="28" t="n">
        <v>2024</v>
      </c>
      <c r="B89" s="28" t="s">
        <v>274</v>
      </c>
      <c r="C89" s="28" t="n">
        <v>3052000000</v>
      </c>
      <c r="D89" s="28" t="n">
        <v>3052</v>
      </c>
      <c r="E89" s="28" t="s">
        <v>182</v>
      </c>
      <c r="F89" s="28" t="s">
        <v>171</v>
      </c>
      <c r="G89" s="28" t="s">
        <v>172</v>
      </c>
      <c r="H89" s="29" t="s">
        <v>173</v>
      </c>
      <c r="I89" s="29" t="s">
        <v>275</v>
      </c>
      <c r="J89" s="29" t="s">
        <v>276</v>
      </c>
      <c r="K89" s="29" t="s">
        <v>277</v>
      </c>
      <c r="L89" s="29" t="s">
        <v>382</v>
      </c>
      <c r="M89" s="29" t="s">
        <v>178</v>
      </c>
      <c r="N89" s="29" t="s">
        <v>179</v>
      </c>
      <c r="O89" s="29" t="s">
        <v>365</v>
      </c>
    </row>
    <row r="90" customFormat="false" ht="24" hidden="false" customHeight="true" outlineLevel="0" collapsed="false">
      <c r="A90" s="28" t="n">
        <v>2024</v>
      </c>
      <c r="B90" s="28" t="s">
        <v>278</v>
      </c>
      <c r="C90" s="28" t="n">
        <v>-1372000000</v>
      </c>
      <c r="D90" s="28" t="n">
        <v>-1372</v>
      </c>
      <c r="E90" s="28" t="s">
        <v>182</v>
      </c>
      <c r="F90" s="28" t="s">
        <v>171</v>
      </c>
      <c r="G90" s="28" t="s">
        <v>172</v>
      </c>
      <c r="H90" s="29" t="s">
        <v>173</v>
      </c>
      <c r="I90" s="29" t="s">
        <v>279</v>
      </c>
      <c r="J90" s="29" t="s">
        <v>280</v>
      </c>
      <c r="K90" s="29" t="s">
        <v>281</v>
      </c>
      <c r="L90" s="29" t="s">
        <v>382</v>
      </c>
      <c r="M90" s="29" t="s">
        <v>178</v>
      </c>
      <c r="N90" s="29" t="s">
        <v>179</v>
      </c>
      <c r="O90" s="29" t="s">
        <v>365</v>
      </c>
    </row>
    <row r="91" customFormat="false" ht="24" hidden="false" customHeight="true" outlineLevel="0" collapsed="false">
      <c r="A91" s="28" t="n">
        <v>2024</v>
      </c>
      <c r="B91" s="28" t="s">
        <v>282</v>
      </c>
      <c r="C91" s="28" t="n">
        <v>19524000000</v>
      </c>
      <c r="D91" s="28" t="n">
        <v>19524</v>
      </c>
      <c r="E91" s="28" t="s">
        <v>182</v>
      </c>
      <c r="F91" s="28" t="s">
        <v>171</v>
      </c>
      <c r="G91" s="28" t="s">
        <v>172</v>
      </c>
      <c r="H91" s="29" t="s">
        <v>173</v>
      </c>
      <c r="I91" s="29" t="s">
        <v>283</v>
      </c>
      <c r="J91" s="29" t="s">
        <v>284</v>
      </c>
      <c r="K91" s="29" t="s">
        <v>285</v>
      </c>
      <c r="L91" s="29" t="s">
        <v>382</v>
      </c>
      <c r="M91" s="29" t="s">
        <v>178</v>
      </c>
      <c r="N91" s="29" t="s">
        <v>179</v>
      </c>
      <c r="O91" s="29" t="s">
        <v>365</v>
      </c>
    </row>
    <row r="92" customFormat="false" ht="24" hidden="false" customHeight="true" outlineLevel="0" collapsed="false">
      <c r="A92" s="28" t="n">
        <v>2024</v>
      </c>
      <c r="B92" s="28" t="s">
        <v>286</v>
      </c>
      <c r="C92" s="28" t="n">
        <v>1533000000</v>
      </c>
      <c r="D92" s="28" t="n">
        <v>1533</v>
      </c>
      <c r="E92" s="28" t="s">
        <v>182</v>
      </c>
      <c r="F92" s="28" t="s">
        <v>171</v>
      </c>
      <c r="G92" s="28" t="s">
        <v>172</v>
      </c>
      <c r="H92" s="29" t="s">
        <v>173</v>
      </c>
      <c r="I92" s="29" t="s">
        <v>287</v>
      </c>
      <c r="J92" s="29" t="s">
        <v>288</v>
      </c>
      <c r="K92" s="29" t="s">
        <v>285</v>
      </c>
      <c r="L92" s="29" t="s">
        <v>382</v>
      </c>
      <c r="M92" s="29" t="s">
        <v>178</v>
      </c>
      <c r="N92" s="29" t="s">
        <v>179</v>
      </c>
      <c r="O92" s="29" t="s">
        <v>365</v>
      </c>
    </row>
    <row r="93" customFormat="false" ht="24" hidden="false" customHeight="true" outlineLevel="0" collapsed="false">
      <c r="A93" s="28" t="n">
        <v>2024</v>
      </c>
      <c r="B93" s="28" t="s">
        <v>289</v>
      </c>
      <c r="C93" s="28" t="n">
        <v>1096000000</v>
      </c>
      <c r="D93" s="28" t="n">
        <v>1096</v>
      </c>
      <c r="E93" s="28" t="s">
        <v>182</v>
      </c>
      <c r="F93" s="28" t="s">
        <v>171</v>
      </c>
      <c r="G93" s="28" t="s">
        <v>172</v>
      </c>
      <c r="H93" s="29" t="s">
        <v>173</v>
      </c>
      <c r="I93" s="29" t="s">
        <v>290</v>
      </c>
      <c r="J93" s="29" t="s">
        <v>291</v>
      </c>
      <c r="K93" s="29" t="s">
        <v>285</v>
      </c>
      <c r="L93" s="29" t="s">
        <v>382</v>
      </c>
      <c r="M93" s="29" t="s">
        <v>178</v>
      </c>
      <c r="N93" s="29" t="s">
        <v>179</v>
      </c>
      <c r="O93" s="29" t="s">
        <v>365</v>
      </c>
    </row>
    <row r="94" customFormat="false" ht="24" hidden="false" customHeight="true" outlineLevel="0" collapsed="false">
      <c r="A94" s="28" t="n">
        <v>2024</v>
      </c>
      <c r="B94" s="28" t="s">
        <v>292</v>
      </c>
      <c r="C94" s="28" t="n">
        <v>237000000</v>
      </c>
      <c r="D94" s="28" t="n">
        <v>237</v>
      </c>
      <c r="E94" s="28" t="s">
        <v>182</v>
      </c>
      <c r="F94" s="28" t="s">
        <v>171</v>
      </c>
      <c r="G94" s="28" t="s">
        <v>172</v>
      </c>
      <c r="H94" s="29" t="s">
        <v>173</v>
      </c>
      <c r="I94" s="29" t="s">
        <v>293</v>
      </c>
      <c r="J94" s="29" t="s">
        <v>294</v>
      </c>
      <c r="K94" s="29" t="s">
        <v>285</v>
      </c>
      <c r="L94" s="29" t="s">
        <v>382</v>
      </c>
      <c r="M94" s="29" t="s">
        <v>178</v>
      </c>
      <c r="N94" s="29" t="s">
        <v>179</v>
      </c>
      <c r="O94" s="29" t="s">
        <v>365</v>
      </c>
    </row>
    <row r="95" customFormat="false" ht="24" hidden="false" customHeight="true" outlineLevel="0" collapsed="false">
      <c r="A95" s="28" t="n">
        <v>2024</v>
      </c>
      <c r="B95" s="28" t="s">
        <v>295</v>
      </c>
      <c r="C95" s="28" t="n">
        <v>103020000000</v>
      </c>
      <c r="D95" s="28" t="n">
        <v>103020</v>
      </c>
      <c r="E95" s="28" t="s">
        <v>182</v>
      </c>
      <c r="F95" s="28" t="s">
        <v>171</v>
      </c>
      <c r="G95" s="28" t="s">
        <v>172</v>
      </c>
      <c r="H95" s="29" t="s">
        <v>173</v>
      </c>
      <c r="I95" s="29" t="s">
        <v>296</v>
      </c>
      <c r="J95" s="29" t="s">
        <v>297</v>
      </c>
      <c r="K95" s="29" t="s">
        <v>298</v>
      </c>
      <c r="L95" s="29" t="s">
        <v>382</v>
      </c>
      <c r="M95" s="29" t="s">
        <v>178</v>
      </c>
      <c r="N95" s="29" t="s">
        <v>179</v>
      </c>
      <c r="O95" s="29" t="s">
        <v>365</v>
      </c>
    </row>
    <row r="96" customFormat="false" ht="24" hidden="false" customHeight="true" outlineLevel="0" collapsed="false">
      <c r="A96" s="28" t="n">
        <v>2024</v>
      </c>
      <c r="B96" s="28" t="s">
        <v>299</v>
      </c>
      <c r="C96" s="28" t="n">
        <v>2039000000</v>
      </c>
      <c r="D96" s="28" t="n">
        <v>2039</v>
      </c>
      <c r="E96" s="28" t="s">
        <v>182</v>
      </c>
      <c r="F96" s="28" t="s">
        <v>171</v>
      </c>
      <c r="G96" s="28" t="s">
        <v>172</v>
      </c>
      <c r="H96" s="29" t="s">
        <v>173</v>
      </c>
      <c r="I96" s="29" t="s">
        <v>300</v>
      </c>
      <c r="J96" s="29" t="s">
        <v>301</v>
      </c>
      <c r="K96" s="29" t="s">
        <v>298</v>
      </c>
      <c r="L96" s="29" t="s">
        <v>382</v>
      </c>
      <c r="M96" s="29" t="s">
        <v>178</v>
      </c>
      <c r="N96" s="29" t="s">
        <v>179</v>
      </c>
      <c r="O96" s="29" t="s">
        <v>365</v>
      </c>
    </row>
    <row r="97" customFormat="false" ht="24" hidden="false" customHeight="true" outlineLevel="0" collapsed="false">
      <c r="A97" s="28" t="n">
        <v>2024</v>
      </c>
      <c r="B97" s="28" t="s">
        <v>302</v>
      </c>
      <c r="C97" s="28" t="n">
        <v>1635000000</v>
      </c>
      <c r="D97" s="28" t="n">
        <v>1635</v>
      </c>
      <c r="E97" s="28" t="s">
        <v>182</v>
      </c>
      <c r="F97" s="28" t="s">
        <v>171</v>
      </c>
      <c r="G97" s="28" t="s">
        <v>172</v>
      </c>
      <c r="H97" s="29" t="s">
        <v>173</v>
      </c>
      <c r="I97" s="29" t="s">
        <v>303</v>
      </c>
      <c r="J97" s="29" t="s">
        <v>304</v>
      </c>
      <c r="K97" s="29" t="s">
        <v>298</v>
      </c>
      <c r="L97" s="29" t="s">
        <v>382</v>
      </c>
      <c r="M97" s="29" t="s">
        <v>178</v>
      </c>
      <c r="N97" s="29" t="s">
        <v>179</v>
      </c>
      <c r="O97" s="29" t="s">
        <v>365</v>
      </c>
    </row>
    <row r="98" customFormat="false" ht="24" hidden="false" customHeight="true" outlineLevel="0" collapsed="false">
      <c r="A98" s="28" t="n">
        <v>2024</v>
      </c>
      <c r="B98" s="28" t="s">
        <v>305</v>
      </c>
      <c r="C98" s="28" t="n">
        <v>457000000</v>
      </c>
      <c r="D98" s="28" t="n">
        <v>457</v>
      </c>
      <c r="E98" s="28" t="s">
        <v>182</v>
      </c>
      <c r="F98" s="28" t="s">
        <v>171</v>
      </c>
      <c r="G98" s="28" t="s">
        <v>172</v>
      </c>
      <c r="H98" s="29" t="s">
        <v>173</v>
      </c>
      <c r="I98" s="29" t="s">
        <v>306</v>
      </c>
      <c r="J98" s="29" t="s">
        <v>307</v>
      </c>
      <c r="K98" s="29" t="s">
        <v>298</v>
      </c>
      <c r="L98" s="29" t="s">
        <v>382</v>
      </c>
      <c r="M98" s="29" t="s">
        <v>178</v>
      </c>
      <c r="N98" s="29" t="s">
        <v>179</v>
      </c>
      <c r="O98" s="29" t="s">
        <v>365</v>
      </c>
    </row>
    <row r="99" customFormat="false" ht="15" hidden="false" customHeight="true" outlineLevel="0" collapsed="false">
      <c r="A99" s="28" t="n">
        <v>2024</v>
      </c>
      <c r="B99" s="28" t="s">
        <v>308</v>
      </c>
      <c r="C99" s="28" t="n">
        <v>25647000000</v>
      </c>
      <c r="D99" s="28" t="n">
        <v>25647</v>
      </c>
      <c r="E99" s="28" t="s">
        <v>182</v>
      </c>
      <c r="F99" s="28" t="s">
        <v>171</v>
      </c>
      <c r="G99" s="28" t="s">
        <v>172</v>
      </c>
      <c r="H99" s="29" t="s">
        <v>173</v>
      </c>
      <c r="I99" s="29" t="s">
        <v>309</v>
      </c>
      <c r="J99" s="29" t="s">
        <v>310</v>
      </c>
      <c r="K99" s="29" t="s">
        <v>311</v>
      </c>
      <c r="L99" s="29" t="s">
        <v>382</v>
      </c>
      <c r="M99" s="29" t="s">
        <v>178</v>
      </c>
      <c r="N99" s="29" t="s">
        <v>179</v>
      </c>
      <c r="O99" s="29" t="s">
        <v>365</v>
      </c>
    </row>
    <row r="100" customFormat="false" ht="24" hidden="false" customHeight="true" outlineLevel="0" collapsed="false">
      <c r="A100" s="28" t="n">
        <v>2024</v>
      </c>
      <c r="B100" s="28" t="s">
        <v>312</v>
      </c>
      <c r="C100" s="28" t="n">
        <v>1826000000</v>
      </c>
      <c r="D100" s="28" t="n">
        <v>-6030</v>
      </c>
      <c r="E100" s="28" t="s">
        <v>182</v>
      </c>
      <c r="F100" s="28" t="s">
        <v>171</v>
      </c>
      <c r="G100" s="28" t="s">
        <v>192</v>
      </c>
      <c r="H100" s="29" t="s">
        <v>193</v>
      </c>
      <c r="I100" s="29" t="s">
        <v>313</v>
      </c>
      <c r="J100" s="29" t="s">
        <v>314</v>
      </c>
      <c r="K100" s="29" t="s">
        <v>315</v>
      </c>
      <c r="L100" s="29" t="s">
        <v>382</v>
      </c>
      <c r="M100" s="29" t="s">
        <v>178</v>
      </c>
      <c r="N100" s="29" t="s">
        <v>179</v>
      </c>
      <c r="O100" s="29" t="s">
        <v>365</v>
      </c>
    </row>
    <row r="101" customFormat="false" ht="24" hidden="false" customHeight="true" outlineLevel="0" collapsed="false">
      <c r="A101" s="28" t="n">
        <v>2024</v>
      </c>
      <c r="B101" s="28" t="s">
        <v>312</v>
      </c>
      <c r="C101" s="28" t="n">
        <v>1826000000</v>
      </c>
      <c r="D101" s="28" t="n">
        <v>-1812</v>
      </c>
      <c r="E101" s="28" t="s">
        <v>182</v>
      </c>
      <c r="F101" s="28" t="s">
        <v>171</v>
      </c>
      <c r="G101" s="28" t="s">
        <v>192</v>
      </c>
      <c r="H101" s="29" t="s">
        <v>193</v>
      </c>
      <c r="I101" s="29" t="s">
        <v>316</v>
      </c>
      <c r="J101" s="29" t="s">
        <v>317</v>
      </c>
      <c r="K101" s="29" t="s">
        <v>315</v>
      </c>
      <c r="L101" s="29" t="s">
        <v>382</v>
      </c>
      <c r="M101" s="29" t="s">
        <v>178</v>
      </c>
      <c r="N101" s="29" t="s">
        <v>179</v>
      </c>
      <c r="O101" s="29" t="s">
        <v>365</v>
      </c>
    </row>
    <row r="102" customFormat="false" ht="24" hidden="false" customHeight="true" outlineLevel="0" collapsed="false">
      <c r="A102" s="28" t="n">
        <v>2024</v>
      </c>
      <c r="B102" s="28" t="s">
        <v>312</v>
      </c>
      <c r="C102" s="28" t="n">
        <v>1826000000</v>
      </c>
      <c r="D102" s="28" t="n">
        <v>389</v>
      </c>
      <c r="E102" s="28" t="s">
        <v>182</v>
      </c>
      <c r="F102" s="28" t="s">
        <v>171</v>
      </c>
      <c r="G102" s="28" t="s">
        <v>192</v>
      </c>
      <c r="H102" s="29" t="s">
        <v>193</v>
      </c>
      <c r="I102" s="29" t="s">
        <v>318</v>
      </c>
      <c r="J102" s="29" t="s">
        <v>319</v>
      </c>
      <c r="K102" s="29" t="s">
        <v>315</v>
      </c>
      <c r="L102" s="29" t="s">
        <v>382</v>
      </c>
      <c r="M102" s="29" t="s">
        <v>178</v>
      </c>
      <c r="N102" s="29" t="s">
        <v>179</v>
      </c>
      <c r="O102" s="29" t="s">
        <v>365</v>
      </c>
    </row>
    <row r="103" customFormat="false" ht="24" hidden="false" customHeight="true" outlineLevel="0" collapsed="false">
      <c r="A103" s="28" t="n">
        <v>2024</v>
      </c>
      <c r="B103" s="28" t="s">
        <v>312</v>
      </c>
      <c r="C103" s="28" t="n">
        <v>1826000000</v>
      </c>
      <c r="D103" s="28" t="n">
        <v>5627</v>
      </c>
      <c r="E103" s="28" t="s">
        <v>182</v>
      </c>
      <c r="F103" s="28" t="s">
        <v>171</v>
      </c>
      <c r="G103" s="28" t="s">
        <v>192</v>
      </c>
      <c r="H103" s="29" t="s">
        <v>193</v>
      </c>
      <c r="I103" s="29" t="s">
        <v>320</v>
      </c>
      <c r="J103" s="29" t="s">
        <v>321</v>
      </c>
      <c r="K103" s="29" t="s">
        <v>315</v>
      </c>
      <c r="L103" s="29" t="s">
        <v>382</v>
      </c>
      <c r="M103" s="29" t="s">
        <v>178</v>
      </c>
      <c r="N103" s="29" t="s">
        <v>179</v>
      </c>
      <c r="O103" s="29" t="s">
        <v>365</v>
      </c>
    </row>
    <row r="104" customFormat="false" ht="24" hidden="false" customHeight="true" outlineLevel="0" collapsed="false">
      <c r="A104" s="28" t="n">
        <v>2024</v>
      </c>
      <c r="B104" s="28" t="s">
        <v>322</v>
      </c>
      <c r="C104" s="28" t="n">
        <v>1600000000</v>
      </c>
      <c r="D104" s="28" t="n">
        <v>1600</v>
      </c>
      <c r="E104" s="28" t="s">
        <v>182</v>
      </c>
      <c r="F104" s="28" t="s">
        <v>171</v>
      </c>
      <c r="G104" s="28" t="s">
        <v>172</v>
      </c>
      <c r="H104" s="29" t="s">
        <v>173</v>
      </c>
      <c r="I104" s="29" t="s">
        <v>323</v>
      </c>
      <c r="J104" s="29" t="s">
        <v>324</v>
      </c>
      <c r="K104" s="29" t="s">
        <v>325</v>
      </c>
      <c r="L104" s="29" t="s">
        <v>382</v>
      </c>
      <c r="M104" s="29" t="s">
        <v>178</v>
      </c>
      <c r="N104" s="29" t="s">
        <v>179</v>
      </c>
      <c r="O104" s="29" t="s">
        <v>365</v>
      </c>
    </row>
    <row r="105" customFormat="false" ht="24" hidden="false" customHeight="true" outlineLevel="0" collapsed="false">
      <c r="A105" s="28" t="n">
        <v>2024</v>
      </c>
      <c r="B105" s="28" t="s">
        <v>326</v>
      </c>
      <c r="C105" s="28"/>
      <c r="D105" s="28"/>
      <c r="E105" s="28"/>
      <c r="F105" s="28"/>
      <c r="G105" s="28" t="s">
        <v>327</v>
      </c>
      <c r="H105" s="29" t="s">
        <v>328</v>
      </c>
      <c r="I105" s="29" t="s">
        <v>329</v>
      </c>
      <c r="J105" s="29"/>
      <c r="K105" s="29"/>
      <c r="L105" s="29"/>
      <c r="M105" s="29"/>
      <c r="N105" s="29"/>
      <c r="O105" s="29"/>
    </row>
    <row r="106" customFormat="false" ht="24" hidden="false" customHeight="true" outlineLevel="0" collapsed="false">
      <c r="A106" s="28" t="n">
        <v>2024</v>
      </c>
      <c r="B106" s="28" t="s">
        <v>330</v>
      </c>
      <c r="C106" s="28"/>
      <c r="D106" s="28"/>
      <c r="E106" s="28"/>
      <c r="F106" s="28"/>
      <c r="G106" s="28" t="s">
        <v>327</v>
      </c>
      <c r="H106" s="29" t="s">
        <v>328</v>
      </c>
      <c r="I106" s="29" t="s">
        <v>331</v>
      </c>
      <c r="J106" s="29"/>
      <c r="K106" s="29"/>
      <c r="L106" s="29"/>
      <c r="M106" s="29"/>
      <c r="N106" s="29"/>
      <c r="O106" s="29"/>
    </row>
    <row r="107" customFormat="false" ht="24" hidden="false" customHeight="true" outlineLevel="0" collapsed="false">
      <c r="A107" s="28" t="n">
        <v>2024</v>
      </c>
      <c r="B107" s="28" t="s">
        <v>332</v>
      </c>
      <c r="C107" s="28"/>
      <c r="D107" s="28"/>
      <c r="E107" s="28"/>
      <c r="F107" s="28"/>
      <c r="G107" s="28" t="s">
        <v>327</v>
      </c>
      <c r="H107" s="29" t="s">
        <v>328</v>
      </c>
      <c r="I107" s="29" t="s">
        <v>333</v>
      </c>
      <c r="J107" s="29"/>
      <c r="K107" s="29"/>
      <c r="L107" s="29"/>
      <c r="M107" s="29"/>
      <c r="N107" s="29"/>
      <c r="O107" s="29"/>
    </row>
    <row r="108" customFormat="false" ht="24" hidden="false" customHeight="true" outlineLevel="0" collapsed="false">
      <c r="A108" s="28" t="n">
        <v>2024</v>
      </c>
      <c r="B108" s="28" t="s">
        <v>334</v>
      </c>
      <c r="C108" s="28" t="n">
        <v>349585000000</v>
      </c>
      <c r="D108" s="28" t="n">
        <v>349585000000</v>
      </c>
      <c r="E108" s="28" t="s">
        <v>182</v>
      </c>
      <c r="F108" s="28" t="s">
        <v>224</v>
      </c>
      <c r="G108" s="28" t="s">
        <v>172</v>
      </c>
      <c r="H108" s="29" t="s">
        <v>335</v>
      </c>
      <c r="I108" s="29" t="s">
        <v>336</v>
      </c>
      <c r="J108" s="29" t="s">
        <v>337</v>
      </c>
      <c r="K108" s="29" t="s">
        <v>338</v>
      </c>
      <c r="L108" s="29" t="s">
        <v>382</v>
      </c>
      <c r="M108" s="29" t="s">
        <v>186</v>
      </c>
      <c r="N108" s="29" t="s">
        <v>187</v>
      </c>
      <c r="O108" s="29" t="s">
        <v>365</v>
      </c>
    </row>
    <row r="109" customFormat="false" ht="15" hidden="false" customHeight="true" outlineLevel="0" collapsed="false">
      <c r="A109" s="28" t="n">
        <v>2024</v>
      </c>
      <c r="B109" s="28" t="s">
        <v>341</v>
      </c>
      <c r="C109" s="28" t="n">
        <v>33680000000</v>
      </c>
      <c r="D109" s="28" t="n">
        <v>33680000000</v>
      </c>
      <c r="E109" s="28" t="s">
        <v>182</v>
      </c>
      <c r="F109" s="28" t="s">
        <v>224</v>
      </c>
      <c r="G109" s="28" t="s">
        <v>172</v>
      </c>
      <c r="H109" s="29" t="s">
        <v>335</v>
      </c>
      <c r="I109" s="29" t="s">
        <v>342</v>
      </c>
      <c r="J109" s="29" t="s">
        <v>343</v>
      </c>
      <c r="K109" s="29" t="s">
        <v>338</v>
      </c>
      <c r="L109" s="29" t="s">
        <v>382</v>
      </c>
      <c r="M109" s="29" t="s">
        <v>178</v>
      </c>
      <c r="N109" s="29" t="s">
        <v>179</v>
      </c>
      <c r="O109" s="29" t="s">
        <v>344</v>
      </c>
    </row>
    <row r="110" customFormat="false" ht="15" hidden="false" customHeight="true" outlineLevel="0" collapsed="false">
      <c r="A110" s="28" t="n">
        <v>2024</v>
      </c>
      <c r="B110" s="28" t="s">
        <v>345</v>
      </c>
      <c r="C110" s="28" t="n">
        <v>996000000</v>
      </c>
      <c r="D110" s="28" t="n">
        <v>996000000</v>
      </c>
      <c r="E110" s="28" t="s">
        <v>182</v>
      </c>
      <c r="F110" s="28" t="s">
        <v>224</v>
      </c>
      <c r="G110" s="28" t="s">
        <v>172</v>
      </c>
      <c r="H110" s="29" t="s">
        <v>335</v>
      </c>
      <c r="I110" s="29" t="s">
        <v>346</v>
      </c>
      <c r="J110" s="29" t="s">
        <v>347</v>
      </c>
      <c r="K110" s="29" t="s">
        <v>338</v>
      </c>
      <c r="L110" s="29" t="s">
        <v>382</v>
      </c>
      <c r="M110" s="29" t="s">
        <v>178</v>
      </c>
      <c r="N110" s="29" t="s">
        <v>179</v>
      </c>
      <c r="O110" s="29" t="s">
        <v>344</v>
      </c>
    </row>
    <row r="111" customFormat="false" ht="15" hidden="false" customHeight="true" outlineLevel="0" collapsed="false">
      <c r="A111" s="28" t="n">
        <v>2024</v>
      </c>
      <c r="B111" s="28" t="s">
        <v>348</v>
      </c>
      <c r="C111" s="28" t="n">
        <v>0.282569107687271</v>
      </c>
      <c r="D111" s="28" t="n">
        <v>13810000000</v>
      </c>
      <c r="E111" s="28" t="s">
        <v>182</v>
      </c>
      <c r="F111" s="28" t="s">
        <v>224</v>
      </c>
      <c r="G111" s="28" t="s">
        <v>192</v>
      </c>
      <c r="H111" s="29" t="s">
        <v>349</v>
      </c>
      <c r="I111" s="29" t="s">
        <v>350</v>
      </c>
      <c r="J111" s="29" t="s">
        <v>351</v>
      </c>
      <c r="K111" s="29" t="s">
        <v>338</v>
      </c>
      <c r="L111" s="29" t="s">
        <v>382</v>
      </c>
      <c r="M111" s="29" t="s">
        <v>178</v>
      </c>
      <c r="N111" s="29" t="s">
        <v>179</v>
      </c>
      <c r="O111" s="29" t="s">
        <v>344</v>
      </c>
    </row>
    <row r="112" customFormat="false" ht="36" hidden="false" customHeight="true" outlineLevel="0" collapsed="false">
      <c r="A112" s="28" t="n">
        <v>2024</v>
      </c>
      <c r="B112" s="28" t="s">
        <v>348</v>
      </c>
      <c r="C112" s="28" t="n">
        <v>0.282569107687271</v>
      </c>
      <c r="D112" s="28" t="n">
        <v>48873000000</v>
      </c>
      <c r="E112" s="28" t="s">
        <v>182</v>
      </c>
      <c r="F112" s="28" t="s">
        <v>224</v>
      </c>
      <c r="G112" s="28" t="s">
        <v>192</v>
      </c>
      <c r="H112" s="29" t="s">
        <v>349</v>
      </c>
      <c r="I112" s="29" t="s">
        <v>352</v>
      </c>
      <c r="J112" s="29" t="s">
        <v>353</v>
      </c>
      <c r="K112" s="29" t="s">
        <v>338</v>
      </c>
      <c r="L112" s="29" t="s">
        <v>382</v>
      </c>
      <c r="M112" s="29" t="s">
        <v>178</v>
      </c>
      <c r="N112" s="29" t="s">
        <v>179</v>
      </c>
      <c r="O112" s="29" t="s">
        <v>344</v>
      </c>
    </row>
    <row r="113" customFormat="false" ht="15" hidden="false" customHeight="true" outlineLevel="0" collapsed="false">
      <c r="A113" s="28" t="n">
        <v>2024</v>
      </c>
      <c r="B113" s="28" t="s">
        <v>354</v>
      </c>
      <c r="C113" s="28" t="n">
        <v>23442000000</v>
      </c>
      <c r="D113" s="28" t="n">
        <v>23442000000</v>
      </c>
      <c r="E113" s="28" t="s">
        <v>182</v>
      </c>
      <c r="F113" s="28" t="s">
        <v>224</v>
      </c>
      <c r="G113" s="28" t="s">
        <v>172</v>
      </c>
      <c r="H113" s="29" t="s">
        <v>335</v>
      </c>
      <c r="I113" s="29" t="s">
        <v>355</v>
      </c>
      <c r="J113" s="29" t="s">
        <v>356</v>
      </c>
      <c r="K113" s="29" t="s">
        <v>357</v>
      </c>
      <c r="L113" s="29" t="s">
        <v>382</v>
      </c>
      <c r="M113" s="29" t="s">
        <v>178</v>
      </c>
      <c r="N113" s="29" t="s">
        <v>179</v>
      </c>
      <c r="O113" s="29" t="s">
        <v>344</v>
      </c>
    </row>
    <row r="114" customFormat="false" ht="15" hidden="false" customHeight="true" outlineLevel="0" collapsed="false">
      <c r="A114" s="28" t="n">
        <v>2024</v>
      </c>
      <c r="B114" s="28" t="s">
        <v>358</v>
      </c>
      <c r="C114" s="28" t="n">
        <v>55022000000</v>
      </c>
      <c r="D114" s="28" t="n">
        <v>55022000000</v>
      </c>
      <c r="E114" s="28" t="s">
        <v>182</v>
      </c>
      <c r="F114" s="28" t="s">
        <v>224</v>
      </c>
      <c r="G114" s="28" t="s">
        <v>172</v>
      </c>
      <c r="H114" s="29" t="s">
        <v>335</v>
      </c>
      <c r="I114" s="29" t="s">
        <v>359</v>
      </c>
      <c r="J114" s="29" t="s">
        <v>360</v>
      </c>
      <c r="K114" s="29" t="s">
        <v>357</v>
      </c>
      <c r="L114" s="29" t="s">
        <v>382</v>
      </c>
      <c r="M114" s="29" t="s">
        <v>178</v>
      </c>
      <c r="N114" s="29" t="s">
        <v>179</v>
      </c>
      <c r="O114" s="29" t="s">
        <v>344</v>
      </c>
    </row>
    <row r="115" customFormat="false" ht="15" hidden="false" customHeight="true" outlineLevel="0" collapsed="false">
      <c r="A115" s="28" t="n">
        <v>2024</v>
      </c>
      <c r="B115" s="28" t="s">
        <v>361</v>
      </c>
      <c r="C115" s="28" t="n">
        <v>23029000000</v>
      </c>
      <c r="D115" s="28" t="n">
        <v>23029000000</v>
      </c>
      <c r="E115" s="28" t="s">
        <v>182</v>
      </c>
      <c r="F115" s="28" t="s">
        <v>224</v>
      </c>
      <c r="G115" s="28" t="s">
        <v>172</v>
      </c>
      <c r="H115" s="29" t="s">
        <v>335</v>
      </c>
      <c r="I115" s="29" t="s">
        <v>362</v>
      </c>
      <c r="J115" s="29" t="s">
        <v>363</v>
      </c>
      <c r="K115" s="29" t="s">
        <v>364</v>
      </c>
      <c r="L115" s="29" t="s">
        <v>382</v>
      </c>
      <c r="M115" s="29" t="s">
        <v>178</v>
      </c>
      <c r="N115" s="29" t="s">
        <v>179</v>
      </c>
      <c r="O115" s="29" t="s">
        <v>344</v>
      </c>
    </row>
    <row r="116" customFormat="false" ht="24" hidden="false" customHeight="true" outlineLevel="0" collapsed="false">
      <c r="A116" s="28" t="n">
        <v>2024</v>
      </c>
      <c r="B116" s="28" t="s">
        <v>366</v>
      </c>
      <c r="C116" s="28" t="n">
        <v>4955000000</v>
      </c>
      <c r="D116" s="28" t="n">
        <v>4955</v>
      </c>
      <c r="E116" s="28" t="s">
        <v>182</v>
      </c>
      <c r="F116" s="28" t="s">
        <v>171</v>
      </c>
      <c r="G116" s="28" t="s">
        <v>172</v>
      </c>
      <c r="H116" s="29" t="s">
        <v>173</v>
      </c>
      <c r="I116" s="29" t="s">
        <v>183</v>
      </c>
      <c r="J116" s="29" t="s">
        <v>184</v>
      </c>
      <c r="K116" s="29" t="s">
        <v>185</v>
      </c>
      <c r="L116" s="29" t="s">
        <v>382</v>
      </c>
      <c r="M116" s="29" t="s">
        <v>178</v>
      </c>
      <c r="N116" s="29" t="s">
        <v>179</v>
      </c>
      <c r="O116" s="29" t="s">
        <v>365</v>
      </c>
    </row>
    <row r="117" customFormat="false" ht="24" hidden="false" customHeight="true" outlineLevel="0" collapsed="false">
      <c r="A117" s="28" t="n">
        <v>2024</v>
      </c>
      <c r="B117" s="28" t="s">
        <v>367</v>
      </c>
      <c r="C117" s="28" t="n">
        <v>36755000000</v>
      </c>
      <c r="D117" s="28" t="n">
        <v>36755</v>
      </c>
      <c r="E117" s="28" t="s">
        <v>182</v>
      </c>
      <c r="F117" s="28" t="s">
        <v>171</v>
      </c>
      <c r="G117" s="28" t="s">
        <v>172</v>
      </c>
      <c r="H117" s="29" t="s">
        <v>173</v>
      </c>
      <c r="I117" s="29" t="s">
        <v>189</v>
      </c>
      <c r="J117" s="29" t="s">
        <v>190</v>
      </c>
      <c r="K117" s="29" t="s">
        <v>185</v>
      </c>
      <c r="L117" s="29" t="s">
        <v>382</v>
      </c>
      <c r="M117" s="29" t="s">
        <v>178</v>
      </c>
      <c r="N117" s="29" t="s">
        <v>179</v>
      </c>
      <c r="O117" s="29" t="s">
        <v>365</v>
      </c>
    </row>
    <row r="118" customFormat="false" ht="24" hidden="false" customHeight="true" outlineLevel="0" collapsed="false">
      <c r="A118" s="28" t="n">
        <v>2024</v>
      </c>
      <c r="B118" s="28" t="s">
        <v>368</v>
      </c>
      <c r="C118" s="28" t="n">
        <v>41710000000</v>
      </c>
      <c r="D118" s="28" t="n">
        <v>4955</v>
      </c>
      <c r="E118" s="28" t="s">
        <v>182</v>
      </c>
      <c r="F118" s="28" t="s">
        <v>171</v>
      </c>
      <c r="G118" s="28" t="s">
        <v>192</v>
      </c>
      <c r="H118" s="29" t="s">
        <v>193</v>
      </c>
      <c r="I118" s="29" t="s">
        <v>183</v>
      </c>
      <c r="J118" s="29" t="s">
        <v>184</v>
      </c>
      <c r="K118" s="29" t="s">
        <v>185</v>
      </c>
      <c r="L118" s="29" t="s">
        <v>382</v>
      </c>
      <c r="M118" s="29" t="s">
        <v>178</v>
      </c>
      <c r="N118" s="29" t="s">
        <v>179</v>
      </c>
      <c r="O118" s="29" t="s">
        <v>365</v>
      </c>
    </row>
    <row r="119" customFormat="false" ht="24" hidden="false" customHeight="true" outlineLevel="0" collapsed="false">
      <c r="A119" s="28" t="n">
        <v>2024</v>
      </c>
      <c r="B119" s="28" t="s">
        <v>368</v>
      </c>
      <c r="C119" s="28" t="n">
        <v>41710000000</v>
      </c>
      <c r="D119" s="28" t="n">
        <v>36755</v>
      </c>
      <c r="E119" s="28" t="s">
        <v>182</v>
      </c>
      <c r="F119" s="28" t="s">
        <v>171</v>
      </c>
      <c r="G119" s="28" t="s">
        <v>192</v>
      </c>
      <c r="H119" s="29" t="s">
        <v>193</v>
      </c>
      <c r="I119" s="29" t="s">
        <v>189</v>
      </c>
      <c r="J119" s="29" t="s">
        <v>190</v>
      </c>
      <c r="K119" s="29" t="s">
        <v>185</v>
      </c>
      <c r="L119" s="29" t="s">
        <v>382</v>
      </c>
      <c r="M119" s="29" t="s">
        <v>178</v>
      </c>
      <c r="N119" s="29" t="s">
        <v>179</v>
      </c>
      <c r="O119" s="29" t="s">
        <v>365</v>
      </c>
    </row>
    <row r="120" customFormat="false" ht="24" hidden="false" customHeight="true" outlineLevel="0" collapsed="false">
      <c r="A120" s="28" t="n">
        <v>2024</v>
      </c>
      <c r="B120" s="28" t="s">
        <v>369</v>
      </c>
      <c r="C120" s="28"/>
      <c r="D120" s="28"/>
      <c r="E120" s="28" t="s">
        <v>182</v>
      </c>
      <c r="F120" s="28" t="s">
        <v>224</v>
      </c>
      <c r="G120" s="28" t="s">
        <v>327</v>
      </c>
      <c r="H120" s="29" t="s">
        <v>370</v>
      </c>
      <c r="I120" s="29"/>
      <c r="J120" s="29" t="s">
        <v>371</v>
      </c>
      <c r="K120" s="29" t="s">
        <v>372</v>
      </c>
      <c r="L120" s="29" t="s">
        <v>382</v>
      </c>
      <c r="M120" s="29" t="s">
        <v>186</v>
      </c>
      <c r="N120" s="29" t="s">
        <v>187</v>
      </c>
      <c r="O120" s="29" t="s">
        <v>365</v>
      </c>
    </row>
    <row r="121" customFormat="false" ht="24" hidden="false" customHeight="true" outlineLevel="0" collapsed="false">
      <c r="A121" s="28" t="n">
        <v>2024</v>
      </c>
      <c r="B121" s="28" t="s">
        <v>373</v>
      </c>
      <c r="C121" s="28"/>
      <c r="D121" s="28"/>
      <c r="E121" s="28" t="s">
        <v>182</v>
      </c>
      <c r="F121" s="28" t="s">
        <v>224</v>
      </c>
      <c r="G121" s="28" t="s">
        <v>374</v>
      </c>
      <c r="H121" s="29" t="s">
        <v>375</v>
      </c>
      <c r="I121" s="29" t="s">
        <v>376</v>
      </c>
      <c r="J121" s="29" t="s">
        <v>377</v>
      </c>
      <c r="K121" s="29" t="s">
        <v>372</v>
      </c>
      <c r="L121" s="29" t="s">
        <v>382</v>
      </c>
      <c r="M121" s="29" t="s">
        <v>186</v>
      </c>
      <c r="N121" s="29" t="s">
        <v>187</v>
      </c>
      <c r="O121" s="29" t="s">
        <v>365</v>
      </c>
    </row>
    <row r="122" customFormat="false" ht="24" hidden="false" customHeight="true" outlineLevel="0" collapsed="false">
      <c r="A122" s="28" t="n">
        <v>2024</v>
      </c>
      <c r="B122" s="28" t="s">
        <v>378</v>
      </c>
      <c r="C122" s="28" t="n">
        <v>6901000000</v>
      </c>
      <c r="D122" s="28" t="n">
        <v>6901000000</v>
      </c>
      <c r="E122" s="28" t="s">
        <v>182</v>
      </c>
      <c r="F122" s="28" t="s">
        <v>224</v>
      </c>
      <c r="G122" s="28" t="s">
        <v>172</v>
      </c>
      <c r="H122" s="29" t="s">
        <v>335</v>
      </c>
      <c r="I122" s="29" t="s">
        <v>379</v>
      </c>
      <c r="J122" s="29" t="s">
        <v>380</v>
      </c>
      <c r="K122" s="29" t="s">
        <v>364</v>
      </c>
      <c r="L122" s="29" t="s">
        <v>382</v>
      </c>
      <c r="M122" s="29" t="s">
        <v>178</v>
      </c>
      <c r="N122" s="29" t="s">
        <v>179</v>
      </c>
      <c r="O122" s="29" t="s">
        <v>344</v>
      </c>
    </row>
    <row r="123" customFormat="false" ht="24" hidden="false" customHeight="true" outlineLevel="0" collapsed="false">
      <c r="A123" s="28" t="n">
        <v>2024</v>
      </c>
      <c r="B123" s="28" t="s">
        <v>381</v>
      </c>
      <c r="C123" s="28" t="n">
        <v>4298000000</v>
      </c>
      <c r="D123" s="28" t="n">
        <v>4298</v>
      </c>
      <c r="E123" s="28" t="s">
        <v>170</v>
      </c>
      <c r="F123" s="28" t="s">
        <v>171</v>
      </c>
      <c r="G123" s="28" t="s">
        <v>172</v>
      </c>
      <c r="H123" s="29" t="s">
        <v>173</v>
      </c>
      <c r="I123" s="29" t="s">
        <v>174</v>
      </c>
      <c r="J123" s="29" t="s">
        <v>175</v>
      </c>
      <c r="K123" s="29" t="s">
        <v>176</v>
      </c>
      <c r="L123" s="29" t="s">
        <v>382</v>
      </c>
      <c r="M123" s="29" t="s">
        <v>178</v>
      </c>
      <c r="N123" s="29" t="s">
        <v>179</v>
      </c>
      <c r="O123" s="29" t="s">
        <v>365</v>
      </c>
    </row>
    <row r="124" customFormat="false" ht="24" hidden="false" customHeight="true" outlineLevel="0" collapsed="false">
      <c r="A124" s="28" t="n">
        <v>2025</v>
      </c>
      <c r="B124" s="28" t="s">
        <v>169</v>
      </c>
      <c r="C124" s="28" t="n">
        <v>4305000000</v>
      </c>
      <c r="D124" s="28" t="n">
        <v>4305</v>
      </c>
      <c r="E124" s="28" t="s">
        <v>170</v>
      </c>
      <c r="F124" s="28" t="s">
        <v>171</v>
      </c>
      <c r="G124" s="28" t="s">
        <v>172</v>
      </c>
      <c r="H124" s="29" t="s">
        <v>173</v>
      </c>
      <c r="I124" s="29" t="s">
        <v>174</v>
      </c>
      <c r="J124" s="29" t="s">
        <v>175</v>
      </c>
      <c r="K124" s="29" t="s">
        <v>176</v>
      </c>
      <c r="L124" s="29" t="s">
        <v>384</v>
      </c>
      <c r="M124" s="29" t="s">
        <v>178</v>
      </c>
      <c r="N124" s="29" t="s">
        <v>179</v>
      </c>
      <c r="O124" s="29" t="s">
        <v>344</v>
      </c>
    </row>
    <row r="125" customFormat="false" ht="24" hidden="false" customHeight="true" outlineLevel="0" collapsed="false">
      <c r="A125" s="28" t="n">
        <v>2025</v>
      </c>
      <c r="B125" s="28" t="s">
        <v>181</v>
      </c>
      <c r="C125" s="28" t="n">
        <v>9296000000</v>
      </c>
      <c r="D125" s="28" t="n">
        <v>9296</v>
      </c>
      <c r="E125" s="28" t="s">
        <v>182</v>
      </c>
      <c r="F125" s="28" t="s">
        <v>171</v>
      </c>
      <c r="G125" s="28" t="s">
        <v>172</v>
      </c>
      <c r="H125" s="29" t="s">
        <v>173</v>
      </c>
      <c r="I125" s="29" t="s">
        <v>183</v>
      </c>
      <c r="J125" s="29" t="s">
        <v>184</v>
      </c>
      <c r="K125" s="29" t="s">
        <v>185</v>
      </c>
      <c r="L125" s="29" t="s">
        <v>384</v>
      </c>
      <c r="M125" s="29" t="s">
        <v>178</v>
      </c>
      <c r="N125" s="29" t="s">
        <v>179</v>
      </c>
      <c r="O125" s="29" t="s">
        <v>344</v>
      </c>
    </row>
    <row r="126" customFormat="false" ht="24" hidden="false" customHeight="true" outlineLevel="0" collapsed="false">
      <c r="A126" s="28" t="n">
        <v>2025</v>
      </c>
      <c r="B126" s="28" t="s">
        <v>188</v>
      </c>
      <c r="C126" s="28" t="n">
        <v>34241000000</v>
      </c>
      <c r="D126" s="28" t="n">
        <v>34241</v>
      </c>
      <c r="E126" s="28" t="s">
        <v>182</v>
      </c>
      <c r="F126" s="28" t="s">
        <v>171</v>
      </c>
      <c r="G126" s="28" t="s">
        <v>172</v>
      </c>
      <c r="H126" s="29" t="s">
        <v>173</v>
      </c>
      <c r="I126" s="29" t="s">
        <v>189</v>
      </c>
      <c r="J126" s="29" t="s">
        <v>190</v>
      </c>
      <c r="K126" s="29" t="s">
        <v>185</v>
      </c>
      <c r="L126" s="29" t="s">
        <v>384</v>
      </c>
      <c r="M126" s="29" t="s">
        <v>178</v>
      </c>
      <c r="N126" s="29" t="s">
        <v>179</v>
      </c>
      <c r="O126" s="29" t="s">
        <v>344</v>
      </c>
    </row>
    <row r="127" customFormat="false" ht="24" hidden="false" customHeight="true" outlineLevel="0" collapsed="false">
      <c r="A127" s="28" t="n">
        <v>2025</v>
      </c>
      <c r="B127" s="28" t="s">
        <v>191</v>
      </c>
      <c r="C127" s="28" t="n">
        <v>43537000000</v>
      </c>
      <c r="D127" s="28" t="n">
        <v>9296</v>
      </c>
      <c r="E127" s="28" t="s">
        <v>182</v>
      </c>
      <c r="F127" s="28" t="s">
        <v>171</v>
      </c>
      <c r="G127" s="28" t="s">
        <v>192</v>
      </c>
      <c r="H127" s="29" t="s">
        <v>193</v>
      </c>
      <c r="I127" s="29" t="s">
        <v>183</v>
      </c>
      <c r="J127" s="29" t="s">
        <v>184</v>
      </c>
      <c r="K127" s="29" t="s">
        <v>185</v>
      </c>
      <c r="L127" s="29" t="s">
        <v>384</v>
      </c>
      <c r="M127" s="29" t="s">
        <v>178</v>
      </c>
      <c r="N127" s="29" t="s">
        <v>179</v>
      </c>
      <c r="O127" s="29" t="s">
        <v>344</v>
      </c>
    </row>
    <row r="128" customFormat="false" ht="24" hidden="false" customHeight="true" outlineLevel="0" collapsed="false">
      <c r="A128" s="28" t="n">
        <v>2025</v>
      </c>
      <c r="B128" s="28" t="s">
        <v>191</v>
      </c>
      <c r="C128" s="28" t="n">
        <v>43537000000</v>
      </c>
      <c r="D128" s="28" t="n">
        <v>34241</v>
      </c>
      <c r="E128" s="28" t="s">
        <v>182</v>
      </c>
      <c r="F128" s="28" t="s">
        <v>171</v>
      </c>
      <c r="G128" s="28" t="s">
        <v>192</v>
      </c>
      <c r="H128" s="29" t="s">
        <v>193</v>
      </c>
      <c r="I128" s="29" t="s">
        <v>189</v>
      </c>
      <c r="J128" s="29" t="s">
        <v>190</v>
      </c>
      <c r="K128" s="29" t="s">
        <v>185</v>
      </c>
      <c r="L128" s="29" t="s">
        <v>384</v>
      </c>
      <c r="M128" s="29" t="s">
        <v>178</v>
      </c>
      <c r="N128" s="29" t="s">
        <v>179</v>
      </c>
      <c r="O128" s="29" t="s">
        <v>344</v>
      </c>
    </row>
    <row r="129" customFormat="false" ht="36" hidden="false" customHeight="true" outlineLevel="0" collapsed="false">
      <c r="A129" s="28" t="n">
        <v>2025</v>
      </c>
      <c r="B129" s="28" t="s">
        <v>194</v>
      </c>
      <c r="C129" s="28" t="n">
        <v>2262000</v>
      </c>
      <c r="D129" s="28" t="n">
        <v>2262</v>
      </c>
      <c r="E129" s="28" t="s">
        <v>195</v>
      </c>
      <c r="F129" s="28" t="s">
        <v>196</v>
      </c>
      <c r="G129" s="28" t="s">
        <v>172</v>
      </c>
      <c r="H129" s="29" t="s">
        <v>173</v>
      </c>
      <c r="I129" s="29" t="s">
        <v>197</v>
      </c>
      <c r="J129" s="29" t="s">
        <v>198</v>
      </c>
      <c r="K129" s="29" t="s">
        <v>199</v>
      </c>
      <c r="L129" s="29" t="s">
        <v>384</v>
      </c>
      <c r="M129" s="29" t="s">
        <v>178</v>
      </c>
      <c r="N129" s="29" t="s">
        <v>179</v>
      </c>
      <c r="O129" s="29" t="s">
        <v>344</v>
      </c>
    </row>
    <row r="130" customFormat="false" ht="36" hidden="false" customHeight="true" outlineLevel="0" collapsed="false">
      <c r="A130" s="28" t="n">
        <v>2025</v>
      </c>
      <c r="B130" s="28" t="s">
        <v>200</v>
      </c>
      <c r="C130" s="28" t="n">
        <v>612000</v>
      </c>
      <c r="D130" s="28" t="n">
        <v>612</v>
      </c>
      <c r="E130" s="28" t="s">
        <v>195</v>
      </c>
      <c r="F130" s="28" t="s">
        <v>196</v>
      </c>
      <c r="G130" s="28" t="s">
        <v>172</v>
      </c>
      <c r="H130" s="29" t="s">
        <v>173</v>
      </c>
      <c r="I130" s="29" t="s">
        <v>201</v>
      </c>
      <c r="J130" s="29" t="s">
        <v>202</v>
      </c>
      <c r="K130" s="29" t="s">
        <v>199</v>
      </c>
      <c r="L130" s="29" t="s">
        <v>384</v>
      </c>
      <c r="M130" s="29" t="s">
        <v>178</v>
      </c>
      <c r="N130" s="29" t="s">
        <v>179</v>
      </c>
      <c r="O130" s="29" t="s">
        <v>344</v>
      </c>
    </row>
    <row r="131" customFormat="false" ht="24" hidden="false" customHeight="true" outlineLevel="0" collapsed="false">
      <c r="A131" s="28" t="n">
        <v>2025</v>
      </c>
      <c r="B131" s="28" t="s">
        <v>203</v>
      </c>
      <c r="C131" s="28" t="n">
        <v>385000</v>
      </c>
      <c r="D131" s="28" t="n">
        <v>385</v>
      </c>
      <c r="E131" s="28" t="s">
        <v>195</v>
      </c>
      <c r="F131" s="28" t="s">
        <v>196</v>
      </c>
      <c r="G131" s="28" t="s">
        <v>172</v>
      </c>
      <c r="H131" s="29" t="s">
        <v>173</v>
      </c>
      <c r="I131" s="29" t="s">
        <v>204</v>
      </c>
      <c r="J131" s="29" t="s">
        <v>205</v>
      </c>
      <c r="K131" s="29" t="s">
        <v>206</v>
      </c>
      <c r="L131" s="29" t="s">
        <v>384</v>
      </c>
      <c r="M131" s="29" t="s">
        <v>178</v>
      </c>
      <c r="N131" s="29" t="s">
        <v>179</v>
      </c>
      <c r="O131" s="29" t="s">
        <v>344</v>
      </c>
    </row>
    <row r="132" customFormat="false" ht="24" hidden="false" customHeight="true" outlineLevel="0" collapsed="false">
      <c r="A132" s="28" t="n">
        <v>2025</v>
      </c>
      <c r="B132" s="28" t="s">
        <v>207</v>
      </c>
      <c r="C132" s="28" t="n">
        <v>68000</v>
      </c>
      <c r="D132" s="28" t="n">
        <v>68</v>
      </c>
      <c r="E132" s="28" t="s">
        <v>195</v>
      </c>
      <c r="F132" s="28" t="s">
        <v>196</v>
      </c>
      <c r="G132" s="28" t="s">
        <v>172</v>
      </c>
      <c r="H132" s="29" t="s">
        <v>173</v>
      </c>
      <c r="I132" s="29" t="s">
        <v>208</v>
      </c>
      <c r="J132" s="29" t="s">
        <v>209</v>
      </c>
      <c r="K132" s="29" t="s">
        <v>206</v>
      </c>
      <c r="L132" s="29" t="s">
        <v>384</v>
      </c>
      <c r="M132" s="29" t="s">
        <v>178</v>
      </c>
      <c r="N132" s="29" t="s">
        <v>179</v>
      </c>
      <c r="O132" s="29" t="s">
        <v>344</v>
      </c>
    </row>
    <row r="133" customFormat="false" ht="36" hidden="false" customHeight="true" outlineLevel="0" collapsed="false">
      <c r="A133" s="28" t="n">
        <v>2025</v>
      </c>
      <c r="B133" s="28" t="s">
        <v>210</v>
      </c>
      <c r="C133" s="28" t="n">
        <v>3329000</v>
      </c>
      <c r="D133" s="28" t="n">
        <v>3329</v>
      </c>
      <c r="E133" s="28" t="s">
        <v>195</v>
      </c>
      <c r="F133" s="28" t="s">
        <v>196</v>
      </c>
      <c r="G133" s="28" t="s">
        <v>172</v>
      </c>
      <c r="H133" s="29" t="s">
        <v>173</v>
      </c>
      <c r="I133" s="29" t="s">
        <v>211</v>
      </c>
      <c r="J133" s="29" t="s">
        <v>212</v>
      </c>
      <c r="K133" s="29" t="s">
        <v>213</v>
      </c>
      <c r="L133" s="29" t="s">
        <v>384</v>
      </c>
      <c r="M133" s="29" t="s">
        <v>178</v>
      </c>
      <c r="N133" s="29" t="s">
        <v>179</v>
      </c>
      <c r="O133" s="29" t="s">
        <v>344</v>
      </c>
    </row>
    <row r="134" customFormat="false" ht="36" hidden="false" customHeight="true" outlineLevel="0" collapsed="false">
      <c r="A134" s="28" t="n">
        <v>2025</v>
      </c>
      <c r="B134" s="28" t="s">
        <v>214</v>
      </c>
      <c r="C134" s="28" t="n">
        <v>8442000000</v>
      </c>
      <c r="D134" s="28" t="n">
        <v>8442</v>
      </c>
      <c r="E134" s="28" t="s">
        <v>215</v>
      </c>
      <c r="F134" s="28" t="s">
        <v>171</v>
      </c>
      <c r="G134" s="28" t="s">
        <v>172</v>
      </c>
      <c r="H134" s="29" t="s">
        <v>173</v>
      </c>
      <c r="I134" s="29" t="s">
        <v>216</v>
      </c>
      <c r="J134" s="29" t="s">
        <v>217</v>
      </c>
      <c r="K134" s="29" t="s">
        <v>213</v>
      </c>
      <c r="L134" s="29" t="s">
        <v>384</v>
      </c>
      <c r="M134" s="29" t="s">
        <v>178</v>
      </c>
      <c r="N134" s="29" t="s">
        <v>179</v>
      </c>
      <c r="O134" s="29" t="s">
        <v>344</v>
      </c>
    </row>
    <row r="135" customFormat="false" ht="36" hidden="false" customHeight="true" outlineLevel="0" collapsed="false">
      <c r="A135" s="28" t="n">
        <v>2025</v>
      </c>
      <c r="B135" s="28" t="s">
        <v>218</v>
      </c>
      <c r="C135" s="28" t="n">
        <v>4736000</v>
      </c>
      <c r="D135" s="28" t="n">
        <v>4736</v>
      </c>
      <c r="E135" s="28" t="s">
        <v>219</v>
      </c>
      <c r="F135" s="28" t="s">
        <v>196</v>
      </c>
      <c r="G135" s="28" t="s">
        <v>172</v>
      </c>
      <c r="H135" s="29" t="s">
        <v>173</v>
      </c>
      <c r="I135" s="29" t="s">
        <v>220</v>
      </c>
      <c r="J135" s="29" t="s">
        <v>221</v>
      </c>
      <c r="K135" s="29" t="s">
        <v>213</v>
      </c>
      <c r="L135" s="29" t="s">
        <v>384</v>
      </c>
      <c r="M135" s="29" t="s">
        <v>178</v>
      </c>
      <c r="N135" s="29" t="s">
        <v>179</v>
      </c>
      <c r="O135" s="29" t="s">
        <v>344</v>
      </c>
    </row>
    <row r="136" customFormat="false" ht="36" hidden="false" customHeight="true" outlineLevel="0" collapsed="false">
      <c r="A136" s="28" t="n">
        <v>2025</v>
      </c>
      <c r="B136" s="28" t="s">
        <v>222</v>
      </c>
      <c r="C136" s="28" t="n">
        <v>65.18</v>
      </c>
      <c r="D136" s="28" t="n">
        <v>65.18</v>
      </c>
      <c r="E136" s="28" t="s">
        <v>223</v>
      </c>
      <c r="F136" s="28" t="s">
        <v>224</v>
      </c>
      <c r="G136" s="28" t="s">
        <v>172</v>
      </c>
      <c r="H136" s="29" t="s">
        <v>173</v>
      </c>
      <c r="I136" s="29" t="s">
        <v>225</v>
      </c>
      <c r="J136" s="29" t="s">
        <v>226</v>
      </c>
      <c r="K136" s="29" t="s">
        <v>227</v>
      </c>
      <c r="L136" s="29" t="s">
        <v>384</v>
      </c>
      <c r="M136" s="29" t="s">
        <v>178</v>
      </c>
      <c r="N136" s="29" t="s">
        <v>179</v>
      </c>
      <c r="O136" s="29" t="s">
        <v>344</v>
      </c>
    </row>
    <row r="137" customFormat="false" ht="36" hidden="false" customHeight="true" outlineLevel="0" collapsed="false">
      <c r="A137" s="28" t="n">
        <v>2025</v>
      </c>
      <c r="B137" s="28" t="s">
        <v>228</v>
      </c>
      <c r="C137" s="28" t="n">
        <v>23.64</v>
      </c>
      <c r="D137" s="28" t="n">
        <v>23.64</v>
      </c>
      <c r="E137" s="28" t="s">
        <v>223</v>
      </c>
      <c r="F137" s="28" t="s">
        <v>224</v>
      </c>
      <c r="G137" s="28" t="s">
        <v>172</v>
      </c>
      <c r="H137" s="29" t="s">
        <v>173</v>
      </c>
      <c r="I137" s="29" t="s">
        <v>229</v>
      </c>
      <c r="J137" s="29" t="s">
        <v>230</v>
      </c>
      <c r="K137" s="29" t="s">
        <v>227</v>
      </c>
      <c r="L137" s="29" t="s">
        <v>384</v>
      </c>
      <c r="M137" s="29" t="s">
        <v>178</v>
      </c>
      <c r="N137" s="29" t="s">
        <v>179</v>
      </c>
      <c r="O137" s="29" t="s">
        <v>344</v>
      </c>
    </row>
    <row r="138" customFormat="false" ht="24" hidden="false" customHeight="true" outlineLevel="0" collapsed="false">
      <c r="A138" s="28" t="n">
        <v>2025</v>
      </c>
      <c r="B138" s="28" t="s">
        <v>231</v>
      </c>
      <c r="C138" s="28" t="n">
        <v>46.13</v>
      </c>
      <c r="D138" s="28" t="n">
        <v>46.13</v>
      </c>
      <c r="E138" s="28" t="s">
        <v>223</v>
      </c>
      <c r="F138" s="28" t="s">
        <v>224</v>
      </c>
      <c r="G138" s="28" t="s">
        <v>172</v>
      </c>
      <c r="H138" s="29" t="s">
        <v>173</v>
      </c>
      <c r="I138" s="29" t="s">
        <v>232</v>
      </c>
      <c r="J138" s="29" t="s">
        <v>233</v>
      </c>
      <c r="K138" s="29" t="s">
        <v>234</v>
      </c>
      <c r="L138" s="29" t="s">
        <v>384</v>
      </c>
      <c r="M138" s="29" t="s">
        <v>178</v>
      </c>
      <c r="N138" s="29" t="s">
        <v>179</v>
      </c>
      <c r="O138" s="29" t="s">
        <v>344</v>
      </c>
    </row>
    <row r="139" customFormat="false" ht="24" hidden="false" customHeight="true" outlineLevel="0" collapsed="false">
      <c r="A139" s="28" t="n">
        <v>2025</v>
      </c>
      <c r="B139" s="28" t="s">
        <v>235</v>
      </c>
      <c r="C139" s="28" t="n">
        <v>63.61</v>
      </c>
      <c r="D139" s="28" t="n">
        <v>63.61</v>
      </c>
      <c r="E139" s="28" t="s">
        <v>223</v>
      </c>
      <c r="F139" s="28" t="s">
        <v>224</v>
      </c>
      <c r="G139" s="28" t="s">
        <v>172</v>
      </c>
      <c r="H139" s="29" t="s">
        <v>173</v>
      </c>
      <c r="I139" s="29" t="s">
        <v>236</v>
      </c>
      <c r="J139" s="29" t="s">
        <v>237</v>
      </c>
      <c r="K139" s="29" t="s">
        <v>234</v>
      </c>
      <c r="L139" s="29" t="s">
        <v>384</v>
      </c>
      <c r="M139" s="29" t="s">
        <v>178</v>
      </c>
      <c r="N139" s="29" t="s">
        <v>179</v>
      </c>
      <c r="O139" s="29" t="s">
        <v>344</v>
      </c>
    </row>
    <row r="140" customFormat="false" ht="36" hidden="false" customHeight="true" outlineLevel="0" collapsed="false">
      <c r="A140" s="28" t="n">
        <v>2025</v>
      </c>
      <c r="B140" s="28" t="s">
        <v>238</v>
      </c>
      <c r="C140" s="28" t="n">
        <v>4.28</v>
      </c>
      <c r="D140" s="28" t="n">
        <v>4.28</v>
      </c>
      <c r="E140" s="28" t="s">
        <v>239</v>
      </c>
      <c r="F140" s="28" t="s">
        <v>224</v>
      </c>
      <c r="G140" s="28" t="s">
        <v>172</v>
      </c>
      <c r="H140" s="29" t="s">
        <v>173</v>
      </c>
      <c r="I140" s="29" t="s">
        <v>240</v>
      </c>
      <c r="J140" s="29" t="s">
        <v>241</v>
      </c>
      <c r="K140" s="29" t="s">
        <v>227</v>
      </c>
      <c r="L140" s="29" t="s">
        <v>384</v>
      </c>
      <c r="M140" s="29" t="s">
        <v>178</v>
      </c>
      <c r="N140" s="29" t="s">
        <v>179</v>
      </c>
      <c r="O140" s="29" t="s">
        <v>344</v>
      </c>
    </row>
    <row r="141" customFormat="false" ht="36" hidden="false" customHeight="true" outlineLevel="0" collapsed="false">
      <c r="A141" s="28" t="n">
        <v>2025</v>
      </c>
      <c r="B141" s="28" t="s">
        <v>242</v>
      </c>
      <c r="C141" s="28" t="n">
        <v>10.2</v>
      </c>
      <c r="D141" s="28" t="n">
        <v>10.2</v>
      </c>
      <c r="E141" s="28" t="s">
        <v>243</v>
      </c>
      <c r="F141" s="28" t="s">
        <v>224</v>
      </c>
      <c r="G141" s="28" t="s">
        <v>172</v>
      </c>
      <c r="H141" s="29" t="s">
        <v>173</v>
      </c>
      <c r="I141" s="29" t="s">
        <v>244</v>
      </c>
      <c r="J141" s="29" t="s">
        <v>245</v>
      </c>
      <c r="K141" s="29" t="s">
        <v>227</v>
      </c>
      <c r="L141" s="29" t="s">
        <v>384</v>
      </c>
      <c r="M141" s="29" t="s">
        <v>178</v>
      </c>
      <c r="N141" s="29" t="s">
        <v>179</v>
      </c>
      <c r="O141" s="29" t="s">
        <v>344</v>
      </c>
    </row>
    <row r="142" customFormat="false" ht="24" hidden="false" customHeight="true" outlineLevel="0" collapsed="false">
      <c r="A142" s="28" t="n">
        <v>2025</v>
      </c>
      <c r="B142" s="28" t="s">
        <v>246</v>
      </c>
      <c r="C142" s="28" t="n">
        <v>19311000000</v>
      </c>
      <c r="D142" s="28" t="n">
        <v>19311</v>
      </c>
      <c r="E142" s="28" t="s">
        <v>247</v>
      </c>
      <c r="F142" s="28" t="s">
        <v>171</v>
      </c>
      <c r="G142" s="28" t="s">
        <v>172</v>
      </c>
      <c r="H142" s="29" t="s">
        <v>173</v>
      </c>
      <c r="I142" s="29" t="s">
        <v>248</v>
      </c>
      <c r="J142" s="29" t="s">
        <v>385</v>
      </c>
      <c r="K142" s="29" t="s">
        <v>250</v>
      </c>
      <c r="L142" s="29" t="s">
        <v>384</v>
      </c>
      <c r="M142" s="29" t="s">
        <v>178</v>
      </c>
      <c r="N142" s="29" t="s">
        <v>179</v>
      </c>
      <c r="O142" s="29" t="s">
        <v>344</v>
      </c>
    </row>
    <row r="143" customFormat="false" ht="24" hidden="false" customHeight="true" outlineLevel="0" collapsed="false">
      <c r="A143" s="28" t="n">
        <v>2025</v>
      </c>
      <c r="B143" s="28" t="s">
        <v>251</v>
      </c>
      <c r="C143" s="28" t="n">
        <v>12304000000</v>
      </c>
      <c r="D143" s="28" t="n">
        <v>10722</v>
      </c>
      <c r="E143" s="28" t="s">
        <v>247</v>
      </c>
      <c r="F143" s="28" t="s">
        <v>171</v>
      </c>
      <c r="G143" s="28" t="s">
        <v>192</v>
      </c>
      <c r="H143" s="29" t="s">
        <v>193</v>
      </c>
      <c r="I143" s="29" t="s">
        <v>252</v>
      </c>
      <c r="J143" s="29" t="s">
        <v>253</v>
      </c>
      <c r="K143" s="29" t="s">
        <v>254</v>
      </c>
      <c r="L143" s="29" t="s">
        <v>384</v>
      </c>
      <c r="M143" s="29" t="s">
        <v>178</v>
      </c>
      <c r="N143" s="29" t="s">
        <v>179</v>
      </c>
      <c r="O143" s="29" t="s">
        <v>344</v>
      </c>
    </row>
    <row r="144" customFormat="false" ht="24" hidden="false" customHeight="true" outlineLevel="0" collapsed="false">
      <c r="A144" s="28" t="n">
        <v>2025</v>
      </c>
      <c r="B144" s="28" t="s">
        <v>251</v>
      </c>
      <c r="C144" s="28" t="n">
        <v>12304000000</v>
      </c>
      <c r="D144" s="28" t="n">
        <v>1582</v>
      </c>
      <c r="E144" s="28" t="s">
        <v>247</v>
      </c>
      <c r="F144" s="28" t="s">
        <v>171</v>
      </c>
      <c r="G144" s="28" t="s">
        <v>192</v>
      </c>
      <c r="H144" s="29" t="s">
        <v>193</v>
      </c>
      <c r="I144" s="29" t="s">
        <v>255</v>
      </c>
      <c r="J144" s="29" t="s">
        <v>256</v>
      </c>
      <c r="K144" s="29" t="s">
        <v>254</v>
      </c>
      <c r="L144" s="29" t="s">
        <v>384</v>
      </c>
      <c r="M144" s="29" t="s">
        <v>178</v>
      </c>
      <c r="N144" s="29" t="s">
        <v>179</v>
      </c>
      <c r="O144" s="29" t="s">
        <v>344</v>
      </c>
    </row>
    <row r="145" customFormat="false" ht="24" hidden="false" customHeight="true" outlineLevel="0" collapsed="false">
      <c r="A145" s="28" t="n">
        <v>2025</v>
      </c>
      <c r="B145" s="28" t="s">
        <v>257</v>
      </c>
      <c r="C145" s="28" t="n">
        <v>7007000000</v>
      </c>
      <c r="D145" s="28" t="n">
        <v>5860</v>
      </c>
      <c r="E145" s="28" t="s">
        <v>247</v>
      </c>
      <c r="F145" s="28" t="s">
        <v>171</v>
      </c>
      <c r="G145" s="28" t="s">
        <v>192</v>
      </c>
      <c r="H145" s="29" t="s">
        <v>193</v>
      </c>
      <c r="I145" s="29" t="s">
        <v>258</v>
      </c>
      <c r="J145" s="29" t="s">
        <v>259</v>
      </c>
      <c r="K145" s="29" t="s">
        <v>254</v>
      </c>
      <c r="L145" s="29" t="s">
        <v>384</v>
      </c>
      <c r="M145" s="29" t="s">
        <v>178</v>
      </c>
      <c r="N145" s="29" t="s">
        <v>179</v>
      </c>
      <c r="O145" s="29" t="s">
        <v>344</v>
      </c>
    </row>
    <row r="146" customFormat="false" ht="24" hidden="false" customHeight="true" outlineLevel="0" collapsed="false">
      <c r="A146" s="28" t="n">
        <v>2025</v>
      </c>
      <c r="B146" s="28" t="s">
        <v>257</v>
      </c>
      <c r="C146" s="28" t="n">
        <v>7007000000</v>
      </c>
      <c r="D146" s="28" t="n">
        <v>1147</v>
      </c>
      <c r="E146" s="28" t="s">
        <v>247</v>
      </c>
      <c r="F146" s="28" t="s">
        <v>171</v>
      </c>
      <c r="G146" s="28" t="s">
        <v>192</v>
      </c>
      <c r="H146" s="29" t="s">
        <v>193</v>
      </c>
      <c r="I146" s="29" t="s">
        <v>260</v>
      </c>
      <c r="J146" s="29" t="s">
        <v>261</v>
      </c>
      <c r="K146" s="29" t="s">
        <v>254</v>
      </c>
      <c r="L146" s="29" t="s">
        <v>384</v>
      </c>
      <c r="M146" s="29" t="s">
        <v>178</v>
      </c>
      <c r="N146" s="29" t="s">
        <v>179</v>
      </c>
      <c r="O146" s="29" t="s">
        <v>344</v>
      </c>
    </row>
    <row r="147" customFormat="false" ht="24" hidden="false" customHeight="true" outlineLevel="0" collapsed="false">
      <c r="A147" s="28" t="n">
        <v>2025</v>
      </c>
      <c r="B147" s="28" t="s">
        <v>262</v>
      </c>
      <c r="C147" s="28" t="n">
        <v>21354000000</v>
      </c>
      <c r="D147" s="28" t="n">
        <v>21354</v>
      </c>
      <c r="E147" s="28" t="s">
        <v>182</v>
      </c>
      <c r="F147" s="28" t="s">
        <v>171</v>
      </c>
      <c r="G147" s="28" t="s">
        <v>172</v>
      </c>
      <c r="H147" s="29" t="s">
        <v>173</v>
      </c>
      <c r="I147" s="29" t="s">
        <v>263</v>
      </c>
      <c r="J147" s="29" t="s">
        <v>264</v>
      </c>
      <c r="K147" s="29" t="s">
        <v>265</v>
      </c>
      <c r="L147" s="29" t="s">
        <v>384</v>
      </c>
      <c r="M147" s="29" t="s">
        <v>178</v>
      </c>
      <c r="N147" s="29" t="s">
        <v>179</v>
      </c>
      <c r="O147" s="29" t="s">
        <v>344</v>
      </c>
    </row>
    <row r="148" customFormat="false" ht="24" hidden="false" customHeight="true" outlineLevel="0" collapsed="false">
      <c r="A148" s="28" t="n">
        <v>2025</v>
      </c>
      <c r="B148" s="28" t="s">
        <v>266</v>
      </c>
      <c r="C148" s="28" t="n">
        <v>7423000000</v>
      </c>
      <c r="D148" s="28" t="n">
        <v>7423</v>
      </c>
      <c r="E148" s="28" t="s">
        <v>182</v>
      </c>
      <c r="F148" s="28" t="s">
        <v>171</v>
      </c>
      <c r="G148" s="28" t="s">
        <v>172</v>
      </c>
      <c r="H148" s="29" t="s">
        <v>173</v>
      </c>
      <c r="I148" s="29" t="s">
        <v>267</v>
      </c>
      <c r="J148" s="29" t="s">
        <v>268</v>
      </c>
      <c r="K148" s="29" t="s">
        <v>269</v>
      </c>
      <c r="L148" s="29" t="s">
        <v>384</v>
      </c>
      <c r="M148" s="29" t="s">
        <v>178</v>
      </c>
      <c r="N148" s="29" t="s">
        <v>179</v>
      </c>
      <c r="O148" s="29" t="s">
        <v>344</v>
      </c>
    </row>
    <row r="149" customFormat="false" ht="24" hidden="false" customHeight="true" outlineLevel="0" collapsed="false">
      <c r="A149" s="28" t="n">
        <v>2025</v>
      </c>
      <c r="B149" s="28" t="s">
        <v>270</v>
      </c>
      <c r="C149" s="28" t="n">
        <v>800000000</v>
      </c>
      <c r="D149" s="28" t="n">
        <v>800</v>
      </c>
      <c r="E149" s="28" t="s">
        <v>182</v>
      </c>
      <c r="F149" s="28" t="s">
        <v>171</v>
      </c>
      <c r="G149" s="28" t="s">
        <v>172</v>
      </c>
      <c r="H149" s="29" t="s">
        <v>173</v>
      </c>
      <c r="I149" s="29" t="s">
        <v>271</v>
      </c>
      <c r="J149" s="29" t="s">
        <v>272</v>
      </c>
      <c r="K149" s="29" t="s">
        <v>273</v>
      </c>
      <c r="L149" s="29" t="s">
        <v>384</v>
      </c>
      <c r="M149" s="29" t="s">
        <v>178</v>
      </c>
      <c r="N149" s="29" t="s">
        <v>179</v>
      </c>
      <c r="O149" s="29" t="s">
        <v>344</v>
      </c>
    </row>
    <row r="150" customFormat="false" ht="24" hidden="false" customHeight="true" outlineLevel="0" collapsed="false">
      <c r="A150" s="28" t="n">
        <v>2025</v>
      </c>
      <c r="B150" s="28" t="s">
        <v>274</v>
      </c>
      <c r="C150" s="28" t="n">
        <v>2857000000</v>
      </c>
      <c r="D150" s="28" t="n">
        <v>2857</v>
      </c>
      <c r="E150" s="28" t="s">
        <v>182</v>
      </c>
      <c r="F150" s="28" t="s">
        <v>171</v>
      </c>
      <c r="G150" s="28" t="s">
        <v>172</v>
      </c>
      <c r="H150" s="29" t="s">
        <v>173</v>
      </c>
      <c r="I150" s="29" t="s">
        <v>275</v>
      </c>
      <c r="J150" s="29" t="s">
        <v>276</v>
      </c>
      <c r="K150" s="29" t="s">
        <v>277</v>
      </c>
      <c r="L150" s="29" t="s">
        <v>384</v>
      </c>
      <c r="M150" s="29" t="s">
        <v>178</v>
      </c>
      <c r="N150" s="29" t="s">
        <v>179</v>
      </c>
      <c r="O150" s="29" t="s">
        <v>344</v>
      </c>
    </row>
    <row r="151" customFormat="false" ht="24" hidden="false" customHeight="true" outlineLevel="0" collapsed="false">
      <c r="A151" s="28" t="n">
        <v>2025</v>
      </c>
      <c r="B151" s="28" t="s">
        <v>278</v>
      </c>
      <c r="C151" s="28" t="n">
        <v>-3590000000</v>
      </c>
      <c r="D151" s="28" t="n">
        <v>-3590</v>
      </c>
      <c r="E151" s="28" t="s">
        <v>182</v>
      </c>
      <c r="F151" s="28" t="s">
        <v>171</v>
      </c>
      <c r="G151" s="28" t="s">
        <v>172</v>
      </c>
      <c r="H151" s="29" t="s">
        <v>173</v>
      </c>
      <c r="I151" s="29" t="s">
        <v>279</v>
      </c>
      <c r="J151" s="29" t="s">
        <v>280</v>
      </c>
      <c r="K151" s="29" t="s">
        <v>281</v>
      </c>
      <c r="L151" s="29" t="s">
        <v>384</v>
      </c>
      <c r="M151" s="29" t="s">
        <v>178</v>
      </c>
      <c r="N151" s="29" t="s">
        <v>179</v>
      </c>
      <c r="O151" s="29" t="s">
        <v>344</v>
      </c>
    </row>
    <row r="152" customFormat="false" ht="24" hidden="false" customHeight="true" outlineLevel="0" collapsed="false">
      <c r="A152" s="28" t="n">
        <v>2025</v>
      </c>
      <c r="B152" s="28" t="s">
        <v>282</v>
      </c>
      <c r="C152" s="28" t="n">
        <v>21357000000</v>
      </c>
      <c r="D152" s="28" t="n">
        <v>21357</v>
      </c>
      <c r="E152" s="28" t="s">
        <v>182</v>
      </c>
      <c r="F152" s="28" t="s">
        <v>171</v>
      </c>
      <c r="G152" s="28" t="s">
        <v>172</v>
      </c>
      <c r="H152" s="29" t="s">
        <v>173</v>
      </c>
      <c r="I152" s="29" t="s">
        <v>283</v>
      </c>
      <c r="J152" s="29" t="s">
        <v>284</v>
      </c>
      <c r="K152" s="29" t="s">
        <v>285</v>
      </c>
      <c r="L152" s="29" t="s">
        <v>384</v>
      </c>
      <c r="M152" s="29" t="s">
        <v>178</v>
      </c>
      <c r="N152" s="29" t="s">
        <v>179</v>
      </c>
      <c r="O152" s="29" t="s">
        <v>344</v>
      </c>
    </row>
    <row r="153" customFormat="false" ht="24" hidden="false" customHeight="true" outlineLevel="0" collapsed="false">
      <c r="A153" s="28" t="n">
        <v>2025</v>
      </c>
      <c r="B153" s="28" t="s">
        <v>286</v>
      </c>
      <c r="C153" s="28" t="n">
        <v>1577000000</v>
      </c>
      <c r="D153" s="28" t="n">
        <v>1577</v>
      </c>
      <c r="E153" s="28" t="s">
        <v>182</v>
      </c>
      <c r="F153" s="28" t="s">
        <v>171</v>
      </c>
      <c r="G153" s="28" t="s">
        <v>172</v>
      </c>
      <c r="H153" s="29" t="s">
        <v>173</v>
      </c>
      <c r="I153" s="29" t="s">
        <v>287</v>
      </c>
      <c r="J153" s="29" t="s">
        <v>288</v>
      </c>
      <c r="K153" s="29" t="s">
        <v>285</v>
      </c>
      <c r="L153" s="29" t="s">
        <v>384</v>
      </c>
      <c r="M153" s="29" t="s">
        <v>178</v>
      </c>
      <c r="N153" s="29" t="s">
        <v>179</v>
      </c>
      <c r="O153" s="29" t="s">
        <v>344</v>
      </c>
    </row>
    <row r="154" customFormat="false" ht="24" hidden="false" customHeight="true" outlineLevel="0" collapsed="false">
      <c r="A154" s="28" t="n">
        <v>2025</v>
      </c>
      <c r="B154" s="28" t="s">
        <v>289</v>
      </c>
      <c r="C154" s="28" t="n">
        <v>1355000000</v>
      </c>
      <c r="D154" s="28" t="n">
        <v>1355</v>
      </c>
      <c r="E154" s="28" t="s">
        <v>182</v>
      </c>
      <c r="F154" s="28" t="s">
        <v>171</v>
      </c>
      <c r="G154" s="28" t="s">
        <v>172</v>
      </c>
      <c r="H154" s="29" t="s">
        <v>173</v>
      </c>
      <c r="I154" s="29" t="s">
        <v>290</v>
      </c>
      <c r="J154" s="29" t="s">
        <v>291</v>
      </c>
      <c r="K154" s="29" t="s">
        <v>285</v>
      </c>
      <c r="L154" s="29" t="s">
        <v>384</v>
      </c>
      <c r="M154" s="29" t="s">
        <v>178</v>
      </c>
      <c r="N154" s="29" t="s">
        <v>179</v>
      </c>
      <c r="O154" s="29" t="s">
        <v>344</v>
      </c>
    </row>
    <row r="155" customFormat="false" ht="24" hidden="false" customHeight="true" outlineLevel="0" collapsed="false">
      <c r="A155" s="28" t="n">
        <v>2025</v>
      </c>
      <c r="B155" s="28" t="s">
        <v>292</v>
      </c>
      <c r="C155" s="28" t="n">
        <v>270000000</v>
      </c>
      <c r="D155" s="28" t="n">
        <v>270</v>
      </c>
      <c r="E155" s="28" t="s">
        <v>182</v>
      </c>
      <c r="F155" s="28" t="s">
        <v>171</v>
      </c>
      <c r="G155" s="28" t="s">
        <v>172</v>
      </c>
      <c r="H155" s="29" t="s">
        <v>173</v>
      </c>
      <c r="I155" s="29" t="s">
        <v>293</v>
      </c>
      <c r="J155" s="29" t="s">
        <v>294</v>
      </c>
      <c r="K155" s="29" t="s">
        <v>285</v>
      </c>
      <c r="L155" s="29" t="s">
        <v>384</v>
      </c>
      <c r="M155" s="29" t="s">
        <v>178</v>
      </c>
      <c r="N155" s="29" t="s">
        <v>179</v>
      </c>
      <c r="O155" s="29" t="s">
        <v>344</v>
      </c>
    </row>
    <row r="156" customFormat="false" ht="24" hidden="false" customHeight="true" outlineLevel="0" collapsed="false">
      <c r="A156" s="28" t="n">
        <v>2025</v>
      </c>
      <c r="B156" s="28" t="s">
        <v>295</v>
      </c>
      <c r="C156" s="28" t="n">
        <v>25362000000</v>
      </c>
      <c r="D156" s="28" t="n">
        <v>25362</v>
      </c>
      <c r="E156" s="28" t="s">
        <v>182</v>
      </c>
      <c r="F156" s="28" t="s">
        <v>171</v>
      </c>
      <c r="G156" s="28" t="s">
        <v>172</v>
      </c>
      <c r="H156" s="29" t="s">
        <v>173</v>
      </c>
      <c r="I156" s="29" t="s">
        <v>296</v>
      </c>
      <c r="J156" s="29" t="s">
        <v>297</v>
      </c>
      <c r="K156" s="29" t="s">
        <v>298</v>
      </c>
      <c r="L156" s="29" t="s">
        <v>384</v>
      </c>
      <c r="M156" s="29" t="s">
        <v>178</v>
      </c>
      <c r="N156" s="29" t="s">
        <v>179</v>
      </c>
      <c r="O156" s="29" t="s">
        <v>344</v>
      </c>
    </row>
    <row r="157" customFormat="false" ht="24" hidden="false" customHeight="true" outlineLevel="0" collapsed="false">
      <c r="A157" s="28" t="n">
        <v>2025</v>
      </c>
      <c r="B157" s="28" t="s">
        <v>299</v>
      </c>
      <c r="C157" s="28" t="n">
        <v>1954000000</v>
      </c>
      <c r="D157" s="28" t="n">
        <v>1954</v>
      </c>
      <c r="E157" s="28" t="s">
        <v>182</v>
      </c>
      <c r="F157" s="28" t="s">
        <v>171</v>
      </c>
      <c r="G157" s="28" t="s">
        <v>172</v>
      </c>
      <c r="H157" s="29" t="s">
        <v>173</v>
      </c>
      <c r="I157" s="29" t="s">
        <v>300</v>
      </c>
      <c r="J157" s="29" t="s">
        <v>301</v>
      </c>
      <c r="K157" s="29" t="s">
        <v>298</v>
      </c>
      <c r="L157" s="29" t="s">
        <v>384</v>
      </c>
      <c r="M157" s="29" t="s">
        <v>178</v>
      </c>
      <c r="N157" s="29" t="s">
        <v>179</v>
      </c>
      <c r="O157" s="29" t="s">
        <v>344</v>
      </c>
    </row>
    <row r="158" customFormat="false" ht="24" hidden="false" customHeight="true" outlineLevel="0" collapsed="false">
      <c r="A158" s="28" t="n">
        <v>2025</v>
      </c>
      <c r="B158" s="28" t="s">
        <v>302</v>
      </c>
      <c r="C158" s="28" t="n">
        <v>1322000000</v>
      </c>
      <c r="D158" s="28" t="n">
        <v>1322</v>
      </c>
      <c r="E158" s="28" t="s">
        <v>182</v>
      </c>
      <c r="F158" s="28" t="s">
        <v>171</v>
      </c>
      <c r="G158" s="28" t="s">
        <v>172</v>
      </c>
      <c r="H158" s="29" t="s">
        <v>173</v>
      </c>
      <c r="I158" s="29" t="s">
        <v>303</v>
      </c>
      <c r="J158" s="29" t="s">
        <v>304</v>
      </c>
      <c r="K158" s="29" t="s">
        <v>298</v>
      </c>
      <c r="L158" s="29" t="s">
        <v>384</v>
      </c>
      <c r="M158" s="29" t="s">
        <v>178</v>
      </c>
      <c r="N158" s="29" t="s">
        <v>179</v>
      </c>
      <c r="O158" s="29" t="s">
        <v>344</v>
      </c>
    </row>
    <row r="159" customFormat="false" ht="24" hidden="false" customHeight="true" outlineLevel="0" collapsed="false">
      <c r="A159" s="28" t="n">
        <v>2025</v>
      </c>
      <c r="B159" s="28" t="s">
        <v>305</v>
      </c>
      <c r="C159" s="28" t="n">
        <v>595000000</v>
      </c>
      <c r="D159" s="28" t="n">
        <v>595</v>
      </c>
      <c r="E159" s="28" t="s">
        <v>182</v>
      </c>
      <c r="F159" s="28" t="s">
        <v>171</v>
      </c>
      <c r="G159" s="28" t="s">
        <v>172</v>
      </c>
      <c r="H159" s="29" t="s">
        <v>173</v>
      </c>
      <c r="I159" s="29" t="s">
        <v>306</v>
      </c>
      <c r="J159" s="29" t="s">
        <v>307</v>
      </c>
      <c r="K159" s="29" t="s">
        <v>298</v>
      </c>
      <c r="L159" s="29" t="s">
        <v>384</v>
      </c>
      <c r="M159" s="29" t="s">
        <v>178</v>
      </c>
      <c r="N159" s="29" t="s">
        <v>179</v>
      </c>
      <c r="O159" s="29" t="s">
        <v>344</v>
      </c>
    </row>
    <row r="160" customFormat="false" ht="15" hidden="false" customHeight="true" outlineLevel="0" collapsed="false">
      <c r="A160" s="28" t="n">
        <v>2025</v>
      </c>
      <c r="B160" s="28" t="s">
        <v>308</v>
      </c>
      <c r="C160" s="28" t="n">
        <v>28997000000</v>
      </c>
      <c r="D160" s="28" t="n">
        <v>28997</v>
      </c>
      <c r="E160" s="28" t="s">
        <v>182</v>
      </c>
      <c r="F160" s="28" t="s">
        <v>171</v>
      </c>
      <c r="G160" s="28" t="s">
        <v>172</v>
      </c>
      <c r="H160" s="29" t="s">
        <v>173</v>
      </c>
      <c r="I160" s="29" t="s">
        <v>309</v>
      </c>
      <c r="J160" s="29" t="s">
        <v>310</v>
      </c>
      <c r="K160" s="29" t="s">
        <v>311</v>
      </c>
      <c r="L160" s="29" t="s">
        <v>384</v>
      </c>
      <c r="M160" s="29" t="s">
        <v>178</v>
      </c>
      <c r="N160" s="29" t="s">
        <v>179</v>
      </c>
      <c r="O160" s="29" t="s">
        <v>344</v>
      </c>
    </row>
    <row r="161" customFormat="false" ht="24" hidden="false" customHeight="true" outlineLevel="0" collapsed="false">
      <c r="A161" s="28" t="n">
        <v>2025</v>
      </c>
      <c r="B161" s="28" t="s">
        <v>312</v>
      </c>
      <c r="C161" s="28" t="n">
        <v>7728000000</v>
      </c>
      <c r="D161" s="28" t="n">
        <v>-3042</v>
      </c>
      <c r="E161" s="28" t="s">
        <v>182</v>
      </c>
      <c r="F161" s="28" t="s">
        <v>171</v>
      </c>
      <c r="G161" s="28" t="s">
        <v>192</v>
      </c>
      <c r="H161" s="29" t="s">
        <v>193</v>
      </c>
      <c r="I161" s="29" t="s">
        <v>313</v>
      </c>
      <c r="J161" s="29" t="s">
        <v>314</v>
      </c>
      <c r="K161" s="29" t="s">
        <v>315</v>
      </c>
      <c r="L161" s="29" t="s">
        <v>384</v>
      </c>
      <c r="M161" s="29" t="s">
        <v>178</v>
      </c>
      <c r="N161" s="29" t="s">
        <v>179</v>
      </c>
      <c r="O161" s="29" t="s">
        <v>344</v>
      </c>
    </row>
    <row r="162" customFormat="false" ht="24" hidden="false" customHeight="true" outlineLevel="0" collapsed="false">
      <c r="A162" s="28" t="n">
        <v>2025</v>
      </c>
      <c r="B162" s="28" t="s">
        <v>312</v>
      </c>
      <c r="C162" s="28" t="n">
        <v>7728000000</v>
      </c>
      <c r="D162" s="28" t="n">
        <v>-4300</v>
      </c>
      <c r="E162" s="28" t="s">
        <v>182</v>
      </c>
      <c r="F162" s="28" t="s">
        <v>171</v>
      </c>
      <c r="G162" s="28" t="s">
        <v>192</v>
      </c>
      <c r="H162" s="29" t="s">
        <v>193</v>
      </c>
      <c r="I162" s="29" t="s">
        <v>316</v>
      </c>
      <c r="J162" s="29" t="s">
        <v>317</v>
      </c>
      <c r="K162" s="29" t="s">
        <v>315</v>
      </c>
      <c r="L162" s="29" t="s">
        <v>384</v>
      </c>
      <c r="M162" s="29" t="s">
        <v>178</v>
      </c>
      <c r="N162" s="29" t="s">
        <v>179</v>
      </c>
      <c r="O162" s="29" t="s">
        <v>344</v>
      </c>
    </row>
    <row r="163" customFormat="false" ht="24" hidden="false" customHeight="true" outlineLevel="0" collapsed="false">
      <c r="A163" s="28" t="n">
        <v>2025</v>
      </c>
      <c r="B163" s="28" t="s">
        <v>312</v>
      </c>
      <c r="C163" s="28" t="n">
        <v>7728000000</v>
      </c>
      <c r="D163" s="28" t="n">
        <v>-164</v>
      </c>
      <c r="E163" s="28" t="s">
        <v>182</v>
      </c>
      <c r="F163" s="28" t="s">
        <v>171</v>
      </c>
      <c r="G163" s="28" t="s">
        <v>192</v>
      </c>
      <c r="H163" s="29" t="s">
        <v>193</v>
      </c>
      <c r="I163" s="29" t="s">
        <v>318</v>
      </c>
      <c r="J163" s="29" t="s">
        <v>319</v>
      </c>
      <c r="K163" s="29" t="s">
        <v>315</v>
      </c>
      <c r="L163" s="29" t="s">
        <v>384</v>
      </c>
      <c r="M163" s="29" t="s">
        <v>178</v>
      </c>
      <c r="N163" s="29" t="s">
        <v>179</v>
      </c>
      <c r="O163" s="29" t="s">
        <v>344</v>
      </c>
    </row>
    <row r="164" customFormat="false" ht="24" hidden="false" customHeight="true" outlineLevel="0" collapsed="false">
      <c r="A164" s="28" t="n">
        <v>2025</v>
      </c>
      <c r="B164" s="28" t="s">
        <v>312</v>
      </c>
      <c r="C164" s="28" t="n">
        <v>7728000000</v>
      </c>
      <c r="D164" s="28" t="n">
        <v>-222</v>
      </c>
      <c r="E164" s="28" t="s">
        <v>182</v>
      </c>
      <c r="F164" s="28" t="s">
        <v>171</v>
      </c>
      <c r="G164" s="28" t="s">
        <v>192</v>
      </c>
      <c r="H164" s="29" t="s">
        <v>193</v>
      </c>
      <c r="I164" s="29" t="s">
        <v>320</v>
      </c>
      <c r="J164" s="29" t="s">
        <v>321</v>
      </c>
      <c r="K164" s="29" t="s">
        <v>315</v>
      </c>
      <c r="L164" s="29" t="s">
        <v>384</v>
      </c>
      <c r="M164" s="29" t="s">
        <v>178</v>
      </c>
      <c r="N164" s="29" t="s">
        <v>179</v>
      </c>
      <c r="O164" s="29" t="s">
        <v>344</v>
      </c>
    </row>
    <row r="165" customFormat="false" ht="24" hidden="false" customHeight="true" outlineLevel="0" collapsed="false">
      <c r="A165" s="28" t="n">
        <v>2025</v>
      </c>
      <c r="B165" s="28" t="s">
        <v>322</v>
      </c>
      <c r="C165" s="28" t="n">
        <v>1212000000</v>
      </c>
      <c r="D165" s="28" t="n">
        <v>1212</v>
      </c>
      <c r="E165" s="28" t="s">
        <v>182</v>
      </c>
      <c r="F165" s="28" t="s">
        <v>171</v>
      </c>
      <c r="G165" s="28" t="s">
        <v>172</v>
      </c>
      <c r="H165" s="29" t="s">
        <v>173</v>
      </c>
      <c r="I165" s="29" t="s">
        <v>323</v>
      </c>
      <c r="J165" s="29" t="s">
        <v>324</v>
      </c>
      <c r="K165" s="29" t="s">
        <v>325</v>
      </c>
      <c r="L165" s="29" t="s">
        <v>384</v>
      </c>
      <c r="M165" s="29" t="s">
        <v>178</v>
      </c>
      <c r="N165" s="29" t="s">
        <v>179</v>
      </c>
      <c r="O165" s="29" t="s">
        <v>344</v>
      </c>
    </row>
    <row r="166" customFormat="false" ht="24" hidden="false" customHeight="true" outlineLevel="0" collapsed="false">
      <c r="A166" s="28" t="n">
        <v>2025</v>
      </c>
      <c r="B166" s="28" t="s">
        <v>326</v>
      </c>
      <c r="C166" s="28" t="n">
        <v>700000000</v>
      </c>
      <c r="D166" s="28" t="n">
        <v>700</v>
      </c>
      <c r="E166" s="28" t="s">
        <v>182</v>
      </c>
      <c r="F166" s="28" t="s">
        <v>386</v>
      </c>
      <c r="G166" s="28" t="s">
        <v>172</v>
      </c>
      <c r="H166" s="29" t="s">
        <v>173</v>
      </c>
      <c r="I166" s="29" t="s">
        <v>329</v>
      </c>
      <c r="J166" s="29" t="s">
        <v>387</v>
      </c>
      <c r="K166" s="29" t="s">
        <v>388</v>
      </c>
      <c r="L166" s="29" t="s">
        <v>389</v>
      </c>
      <c r="M166" s="29" t="s">
        <v>178</v>
      </c>
      <c r="N166" s="29" t="s">
        <v>179</v>
      </c>
      <c r="O166" s="29" t="s">
        <v>390</v>
      </c>
    </row>
    <row r="167" customFormat="false" ht="24" hidden="false" customHeight="true" outlineLevel="0" collapsed="false">
      <c r="A167" s="28" t="n">
        <v>2025</v>
      </c>
      <c r="B167" s="28" t="s">
        <v>330</v>
      </c>
      <c r="C167" s="28" t="n">
        <v>90000000</v>
      </c>
      <c r="D167" s="28" t="n">
        <v>90</v>
      </c>
      <c r="E167" s="28" t="s">
        <v>182</v>
      </c>
      <c r="F167" s="28" t="s">
        <v>391</v>
      </c>
      <c r="G167" s="28" t="s">
        <v>172</v>
      </c>
      <c r="H167" s="29" t="s">
        <v>173</v>
      </c>
      <c r="I167" s="29" t="s">
        <v>331</v>
      </c>
      <c r="J167" s="29" t="s">
        <v>392</v>
      </c>
      <c r="K167" s="29" t="s">
        <v>388</v>
      </c>
      <c r="L167" s="29" t="s">
        <v>389</v>
      </c>
      <c r="M167" s="29" t="s">
        <v>178</v>
      </c>
      <c r="N167" s="29" t="s">
        <v>179</v>
      </c>
      <c r="O167" s="29" t="s">
        <v>390</v>
      </c>
    </row>
    <row r="168" customFormat="false" ht="24" hidden="false" customHeight="true" outlineLevel="0" collapsed="false">
      <c r="A168" s="28" t="n">
        <v>2025</v>
      </c>
      <c r="B168" s="28" t="s">
        <v>332</v>
      </c>
      <c r="C168" s="28" t="n">
        <v>20000000</v>
      </c>
      <c r="D168" s="28" t="n">
        <v>20</v>
      </c>
      <c r="E168" s="28" t="s">
        <v>182</v>
      </c>
      <c r="F168" s="28" t="s">
        <v>391</v>
      </c>
      <c r="G168" s="28" t="s">
        <v>172</v>
      </c>
      <c r="H168" s="29" t="s">
        <v>173</v>
      </c>
      <c r="I168" s="29" t="s">
        <v>333</v>
      </c>
      <c r="J168" s="29" t="s">
        <v>393</v>
      </c>
      <c r="K168" s="29" t="s">
        <v>388</v>
      </c>
      <c r="L168" s="29" t="s">
        <v>389</v>
      </c>
      <c r="M168" s="29" t="s">
        <v>178</v>
      </c>
      <c r="N168" s="29" t="s">
        <v>179</v>
      </c>
      <c r="O168" s="29" t="s">
        <v>390</v>
      </c>
    </row>
    <row r="169" customFormat="false" ht="24" hidden="false" customHeight="true" outlineLevel="0" collapsed="false">
      <c r="A169" s="28" t="n">
        <v>2025</v>
      </c>
      <c r="B169" s="28" t="s">
        <v>334</v>
      </c>
      <c r="C169" s="28" t="n">
        <v>332238000000</v>
      </c>
      <c r="D169" s="28" t="n">
        <v>332238000000</v>
      </c>
      <c r="E169" s="28" t="s">
        <v>182</v>
      </c>
      <c r="F169" s="28" t="s">
        <v>224</v>
      </c>
      <c r="G169" s="28" t="s">
        <v>172</v>
      </c>
      <c r="H169" s="29" t="s">
        <v>335</v>
      </c>
      <c r="I169" s="29" t="s">
        <v>336</v>
      </c>
      <c r="J169" s="29" t="s">
        <v>337</v>
      </c>
      <c r="K169" s="29" t="s">
        <v>338</v>
      </c>
      <c r="L169" s="29" t="s">
        <v>384</v>
      </c>
      <c r="M169" s="29" t="s">
        <v>178</v>
      </c>
      <c r="N169" s="29" t="s">
        <v>179</v>
      </c>
      <c r="O169" s="29" t="s">
        <v>344</v>
      </c>
    </row>
    <row r="170" customFormat="false" ht="15" hidden="false" customHeight="true" outlineLevel="0" collapsed="false">
      <c r="A170" s="28" t="n">
        <v>2025</v>
      </c>
      <c r="B170" s="28" t="s">
        <v>341</v>
      </c>
      <c r="C170" s="28" t="n">
        <v>28844000000</v>
      </c>
      <c r="D170" s="28" t="n">
        <v>28844000000</v>
      </c>
      <c r="E170" s="28" t="s">
        <v>182</v>
      </c>
      <c r="F170" s="28" t="s">
        <v>224</v>
      </c>
      <c r="G170" s="28" t="s">
        <v>172</v>
      </c>
      <c r="H170" s="29" t="s">
        <v>335</v>
      </c>
      <c r="I170" s="29" t="s">
        <v>342</v>
      </c>
      <c r="J170" s="29" t="s">
        <v>343</v>
      </c>
      <c r="K170" s="29" t="s">
        <v>338</v>
      </c>
      <c r="L170" s="29" t="s">
        <v>384</v>
      </c>
      <c r="M170" s="29" t="s">
        <v>178</v>
      </c>
      <c r="N170" s="29" t="s">
        <v>179</v>
      </c>
      <c r="O170" s="29" t="s">
        <v>344</v>
      </c>
    </row>
    <row r="171" customFormat="false" ht="15" hidden="false" customHeight="true" outlineLevel="0" collapsed="false">
      <c r="A171" s="28" t="n">
        <v>2025</v>
      </c>
      <c r="B171" s="28" t="s">
        <v>345</v>
      </c>
      <c r="C171" s="28" t="n">
        <v>603000000</v>
      </c>
      <c r="D171" s="28" t="n">
        <v>603000000</v>
      </c>
      <c r="E171" s="28" t="s">
        <v>182</v>
      </c>
      <c r="F171" s="28" t="s">
        <v>224</v>
      </c>
      <c r="G171" s="28" t="s">
        <v>172</v>
      </c>
      <c r="H171" s="29" t="s">
        <v>335</v>
      </c>
      <c r="I171" s="29" t="s">
        <v>346</v>
      </c>
      <c r="J171" s="29" t="s">
        <v>347</v>
      </c>
      <c r="K171" s="29" t="s">
        <v>338</v>
      </c>
      <c r="L171" s="29" t="s">
        <v>384</v>
      </c>
      <c r="M171" s="29" t="s">
        <v>178</v>
      </c>
      <c r="N171" s="29" t="s">
        <v>179</v>
      </c>
      <c r="O171" s="29" t="s">
        <v>344</v>
      </c>
    </row>
    <row r="172" customFormat="false" ht="15" hidden="false" customHeight="true" outlineLevel="0" collapsed="false">
      <c r="A172" s="28" t="n">
        <v>2025</v>
      </c>
      <c r="B172" s="28" t="s">
        <v>348</v>
      </c>
      <c r="C172" s="28" t="n">
        <v>0.278763206358438</v>
      </c>
      <c r="D172" s="28" t="n">
        <v>11504000000</v>
      </c>
      <c r="E172" s="28" t="s">
        <v>182</v>
      </c>
      <c r="F172" s="28" t="s">
        <v>224</v>
      </c>
      <c r="G172" s="28" t="s">
        <v>192</v>
      </c>
      <c r="H172" s="29" t="s">
        <v>349</v>
      </c>
      <c r="I172" s="29" t="s">
        <v>350</v>
      </c>
      <c r="J172" s="29" t="s">
        <v>351</v>
      </c>
      <c r="K172" s="29" t="s">
        <v>338</v>
      </c>
      <c r="L172" s="29" t="s">
        <v>384</v>
      </c>
      <c r="M172" s="29" t="s">
        <v>178</v>
      </c>
      <c r="N172" s="29" t="s">
        <v>179</v>
      </c>
      <c r="O172" s="29" t="s">
        <v>344</v>
      </c>
    </row>
    <row r="173" customFormat="false" ht="36" hidden="false" customHeight="true" outlineLevel="0" collapsed="false">
      <c r="A173" s="28" t="n">
        <v>2025</v>
      </c>
      <c r="B173" s="28" t="s">
        <v>348</v>
      </c>
      <c r="C173" s="28" t="n">
        <v>0.278763206358438</v>
      </c>
      <c r="D173" s="28" t="n">
        <v>41268000000</v>
      </c>
      <c r="E173" s="28" t="s">
        <v>182</v>
      </c>
      <c r="F173" s="28" t="s">
        <v>224</v>
      </c>
      <c r="G173" s="28" t="s">
        <v>192</v>
      </c>
      <c r="H173" s="29" t="s">
        <v>349</v>
      </c>
      <c r="I173" s="29" t="s">
        <v>352</v>
      </c>
      <c r="J173" s="29" t="s">
        <v>353</v>
      </c>
      <c r="K173" s="29" t="s">
        <v>338</v>
      </c>
      <c r="L173" s="29" t="s">
        <v>384</v>
      </c>
      <c r="M173" s="29" t="s">
        <v>178</v>
      </c>
      <c r="N173" s="29" t="s">
        <v>179</v>
      </c>
      <c r="O173" s="29" t="s">
        <v>344</v>
      </c>
    </row>
    <row r="174" customFormat="false" ht="15" hidden="false" customHeight="true" outlineLevel="0" collapsed="false">
      <c r="A174" s="28" t="n">
        <v>2025</v>
      </c>
      <c r="B174" s="28" t="s">
        <v>354</v>
      </c>
      <c r="C174" s="28" t="n">
        <v>25993000000</v>
      </c>
      <c r="D174" s="28" t="n">
        <v>25993000000</v>
      </c>
      <c r="E174" s="28" t="s">
        <v>182</v>
      </c>
      <c r="F174" s="28" t="s">
        <v>224</v>
      </c>
      <c r="G174" s="28" t="s">
        <v>172</v>
      </c>
      <c r="H174" s="29" t="s">
        <v>335</v>
      </c>
      <c r="I174" s="29" t="s">
        <v>355</v>
      </c>
      <c r="J174" s="29" t="s">
        <v>356</v>
      </c>
      <c r="K174" s="29" t="s">
        <v>357</v>
      </c>
      <c r="L174" s="29" t="s">
        <v>384</v>
      </c>
      <c r="M174" s="29" t="s">
        <v>178</v>
      </c>
      <c r="N174" s="29" t="s">
        <v>179</v>
      </c>
      <c r="O174" s="29" t="s">
        <v>344</v>
      </c>
    </row>
    <row r="175" customFormat="false" ht="15" hidden="false" customHeight="true" outlineLevel="0" collapsed="false">
      <c r="A175" s="28" t="n">
        <v>2025</v>
      </c>
      <c r="B175" s="28" t="s">
        <v>358</v>
      </c>
      <c r="C175" s="28" t="n">
        <v>51970000000</v>
      </c>
      <c r="D175" s="28" t="n">
        <v>51970000000</v>
      </c>
      <c r="E175" s="28" t="s">
        <v>182</v>
      </c>
      <c r="F175" s="28" t="s">
        <v>224</v>
      </c>
      <c r="G175" s="28" t="s">
        <v>172</v>
      </c>
      <c r="H175" s="29" t="s">
        <v>335</v>
      </c>
      <c r="I175" s="29" t="s">
        <v>359</v>
      </c>
      <c r="J175" s="29" t="s">
        <v>360</v>
      </c>
      <c r="K175" s="29" t="s">
        <v>357</v>
      </c>
      <c r="L175" s="29" t="s">
        <v>384</v>
      </c>
      <c r="M175" s="29" t="s">
        <v>178</v>
      </c>
      <c r="N175" s="29" t="s">
        <v>179</v>
      </c>
      <c r="O175" s="29" t="s">
        <v>344</v>
      </c>
    </row>
    <row r="176" customFormat="false" ht="15" hidden="false" customHeight="true" outlineLevel="0" collapsed="false">
      <c r="A176" s="28" t="n">
        <v>2025</v>
      </c>
      <c r="B176" s="28" t="s">
        <v>361</v>
      </c>
      <c r="C176" s="28" t="n">
        <v>10681000000</v>
      </c>
      <c r="D176" s="28" t="n">
        <v>10681000000</v>
      </c>
      <c r="E176" s="28" t="s">
        <v>182</v>
      </c>
      <c r="F176" s="28" t="s">
        <v>224</v>
      </c>
      <c r="G176" s="28" t="s">
        <v>172</v>
      </c>
      <c r="H176" s="29" t="s">
        <v>335</v>
      </c>
      <c r="I176" s="29" t="s">
        <v>362</v>
      </c>
      <c r="J176" s="29" t="s">
        <v>363</v>
      </c>
      <c r="K176" s="29" t="s">
        <v>364</v>
      </c>
      <c r="L176" s="29" t="s">
        <v>384</v>
      </c>
      <c r="M176" s="29" t="s">
        <v>178</v>
      </c>
      <c r="N176" s="29" t="s">
        <v>179</v>
      </c>
      <c r="O176" s="29" t="s">
        <v>344</v>
      </c>
    </row>
    <row r="177" customFormat="false" ht="24" hidden="false" customHeight="true" outlineLevel="0" collapsed="false">
      <c r="A177" s="28" t="n">
        <v>2025</v>
      </c>
      <c r="B177" s="28" t="s">
        <v>366</v>
      </c>
      <c r="C177" s="28" t="n">
        <v>9296000000</v>
      </c>
      <c r="D177" s="28" t="n">
        <v>9296</v>
      </c>
      <c r="E177" s="28" t="s">
        <v>182</v>
      </c>
      <c r="F177" s="28" t="s">
        <v>171</v>
      </c>
      <c r="G177" s="28" t="s">
        <v>172</v>
      </c>
      <c r="H177" s="29" t="s">
        <v>173</v>
      </c>
      <c r="I177" s="29" t="s">
        <v>183</v>
      </c>
      <c r="J177" s="29" t="s">
        <v>184</v>
      </c>
      <c r="K177" s="29" t="s">
        <v>185</v>
      </c>
      <c r="L177" s="29" t="s">
        <v>384</v>
      </c>
      <c r="M177" s="29" t="s">
        <v>178</v>
      </c>
      <c r="N177" s="29" t="s">
        <v>179</v>
      </c>
      <c r="O177" s="29" t="s">
        <v>344</v>
      </c>
    </row>
    <row r="178" customFormat="false" ht="24" hidden="false" customHeight="true" outlineLevel="0" collapsed="false">
      <c r="A178" s="28" t="n">
        <v>2025</v>
      </c>
      <c r="B178" s="28" t="s">
        <v>367</v>
      </c>
      <c r="C178" s="28" t="n">
        <v>34241000000</v>
      </c>
      <c r="D178" s="28" t="n">
        <v>34241</v>
      </c>
      <c r="E178" s="28" t="s">
        <v>182</v>
      </c>
      <c r="F178" s="28" t="s">
        <v>171</v>
      </c>
      <c r="G178" s="28" t="s">
        <v>172</v>
      </c>
      <c r="H178" s="29" t="s">
        <v>173</v>
      </c>
      <c r="I178" s="29" t="s">
        <v>189</v>
      </c>
      <c r="J178" s="29" t="s">
        <v>190</v>
      </c>
      <c r="K178" s="29" t="s">
        <v>185</v>
      </c>
      <c r="L178" s="29" t="s">
        <v>384</v>
      </c>
      <c r="M178" s="29" t="s">
        <v>178</v>
      </c>
      <c r="N178" s="29" t="s">
        <v>179</v>
      </c>
      <c r="O178" s="29" t="s">
        <v>344</v>
      </c>
    </row>
    <row r="179" customFormat="false" ht="24" hidden="false" customHeight="true" outlineLevel="0" collapsed="false">
      <c r="A179" s="28" t="n">
        <v>2025</v>
      </c>
      <c r="B179" s="28" t="s">
        <v>368</v>
      </c>
      <c r="C179" s="28" t="n">
        <v>43537000000</v>
      </c>
      <c r="D179" s="28" t="n">
        <v>9296</v>
      </c>
      <c r="E179" s="28" t="s">
        <v>182</v>
      </c>
      <c r="F179" s="28" t="s">
        <v>171</v>
      </c>
      <c r="G179" s="28" t="s">
        <v>192</v>
      </c>
      <c r="H179" s="29" t="s">
        <v>193</v>
      </c>
      <c r="I179" s="29" t="s">
        <v>183</v>
      </c>
      <c r="J179" s="29" t="s">
        <v>184</v>
      </c>
      <c r="K179" s="29" t="s">
        <v>185</v>
      </c>
      <c r="L179" s="29" t="s">
        <v>384</v>
      </c>
      <c r="M179" s="29" t="s">
        <v>178</v>
      </c>
      <c r="N179" s="29" t="s">
        <v>179</v>
      </c>
      <c r="O179" s="29" t="s">
        <v>344</v>
      </c>
    </row>
    <row r="180" customFormat="false" ht="24" hidden="false" customHeight="true" outlineLevel="0" collapsed="false">
      <c r="A180" s="28" t="n">
        <v>2025</v>
      </c>
      <c r="B180" s="28" t="s">
        <v>368</v>
      </c>
      <c r="C180" s="28" t="n">
        <v>43537000000</v>
      </c>
      <c r="D180" s="28" t="n">
        <v>34241</v>
      </c>
      <c r="E180" s="28" t="s">
        <v>182</v>
      </c>
      <c r="F180" s="28" t="s">
        <v>171</v>
      </c>
      <c r="G180" s="28" t="s">
        <v>192</v>
      </c>
      <c r="H180" s="29" t="s">
        <v>193</v>
      </c>
      <c r="I180" s="29" t="s">
        <v>189</v>
      </c>
      <c r="J180" s="29" t="s">
        <v>190</v>
      </c>
      <c r="K180" s="29" t="s">
        <v>185</v>
      </c>
      <c r="L180" s="29" t="s">
        <v>384</v>
      </c>
      <c r="M180" s="29" t="s">
        <v>178</v>
      </c>
      <c r="N180" s="29" t="s">
        <v>179</v>
      </c>
      <c r="O180" s="29" t="s">
        <v>344</v>
      </c>
    </row>
    <row r="181" customFormat="false" ht="24" hidden="false" customHeight="true" outlineLevel="0" collapsed="false">
      <c r="A181" s="28" t="n">
        <v>2025</v>
      </c>
      <c r="B181" s="28" t="s">
        <v>369</v>
      </c>
      <c r="C181" s="28"/>
      <c r="D181" s="28"/>
      <c r="E181" s="28" t="s">
        <v>182</v>
      </c>
      <c r="F181" s="28" t="s">
        <v>224</v>
      </c>
      <c r="G181" s="28" t="s">
        <v>327</v>
      </c>
      <c r="H181" s="29" t="s">
        <v>370</v>
      </c>
      <c r="I181" s="29"/>
      <c r="J181" s="29" t="s">
        <v>371</v>
      </c>
      <c r="K181" s="29" t="s">
        <v>372</v>
      </c>
      <c r="L181" s="29" t="s">
        <v>384</v>
      </c>
      <c r="M181" s="29" t="s">
        <v>178</v>
      </c>
      <c r="N181" s="29" t="s">
        <v>179</v>
      </c>
      <c r="O181" s="29" t="s">
        <v>344</v>
      </c>
    </row>
    <row r="182" customFormat="false" ht="24" hidden="false" customHeight="true" outlineLevel="0" collapsed="false">
      <c r="A182" s="28" t="n">
        <v>2025</v>
      </c>
      <c r="B182" s="28" t="s">
        <v>373</v>
      </c>
      <c r="C182" s="28"/>
      <c r="D182" s="28"/>
      <c r="E182" s="28" t="s">
        <v>182</v>
      </c>
      <c r="F182" s="28" t="s">
        <v>224</v>
      </c>
      <c r="G182" s="28" t="s">
        <v>374</v>
      </c>
      <c r="H182" s="29" t="s">
        <v>375</v>
      </c>
      <c r="I182" s="29" t="s">
        <v>376</v>
      </c>
      <c r="J182" s="29" t="s">
        <v>377</v>
      </c>
      <c r="K182" s="29" t="s">
        <v>372</v>
      </c>
      <c r="L182" s="29" t="s">
        <v>384</v>
      </c>
      <c r="M182" s="29" t="s">
        <v>178</v>
      </c>
      <c r="N182" s="29" t="s">
        <v>179</v>
      </c>
      <c r="O182" s="29" t="s">
        <v>344</v>
      </c>
    </row>
    <row r="183" customFormat="false" ht="24" hidden="false" customHeight="true" outlineLevel="0" collapsed="false">
      <c r="A183" s="28" t="n">
        <v>2025</v>
      </c>
      <c r="B183" s="28" t="s">
        <v>378</v>
      </c>
      <c r="C183" s="28" t="n">
        <v>7240000000</v>
      </c>
      <c r="D183" s="28" t="n">
        <v>7240000000</v>
      </c>
      <c r="E183" s="28" t="s">
        <v>182</v>
      </c>
      <c r="F183" s="28" t="s">
        <v>224</v>
      </c>
      <c r="G183" s="28" t="s">
        <v>172</v>
      </c>
      <c r="H183" s="29" t="s">
        <v>335</v>
      </c>
      <c r="I183" s="29" t="s">
        <v>379</v>
      </c>
      <c r="J183" s="29" t="s">
        <v>380</v>
      </c>
      <c r="K183" s="29" t="s">
        <v>364</v>
      </c>
      <c r="L183" s="29" t="s">
        <v>384</v>
      </c>
      <c r="M183" s="29" t="s">
        <v>178</v>
      </c>
      <c r="N183" s="29" t="s">
        <v>179</v>
      </c>
      <c r="O183" s="29" t="s">
        <v>344</v>
      </c>
    </row>
    <row r="184" customFormat="false" ht="24" hidden="false" customHeight="true" outlineLevel="0" collapsed="false">
      <c r="A184" s="28" t="n">
        <v>2025</v>
      </c>
      <c r="B184" s="28" t="s">
        <v>381</v>
      </c>
      <c r="C184" s="28" t="n">
        <v>4305000000</v>
      </c>
      <c r="D184" s="28" t="n">
        <v>4305</v>
      </c>
      <c r="E184" s="28" t="s">
        <v>170</v>
      </c>
      <c r="F184" s="28" t="s">
        <v>171</v>
      </c>
      <c r="G184" s="28" t="s">
        <v>172</v>
      </c>
      <c r="H184" s="29" t="s">
        <v>173</v>
      </c>
      <c r="I184" s="29" t="s">
        <v>174</v>
      </c>
      <c r="J184" s="29" t="s">
        <v>175</v>
      </c>
      <c r="K184" s="29" t="s">
        <v>176</v>
      </c>
      <c r="L184" s="29" t="s">
        <v>384</v>
      </c>
      <c r="M184" s="29" t="s">
        <v>178</v>
      </c>
      <c r="N184" s="29" t="s">
        <v>179</v>
      </c>
      <c r="O184" s="29" t="s">
        <v>344</v>
      </c>
    </row>
    <row r="185" customFormat="false" ht="36" hidden="false" customHeight="true" outlineLevel="0" collapsed="false">
      <c r="A185" s="28" t="s">
        <v>394</v>
      </c>
      <c r="B185" s="28" t="s">
        <v>395</v>
      </c>
      <c r="C185" s="28"/>
      <c r="D185" s="28"/>
      <c r="E185" s="28"/>
      <c r="F185" s="28"/>
      <c r="G185" s="28" t="s">
        <v>396</v>
      </c>
      <c r="H185" s="29" t="s">
        <v>17</v>
      </c>
      <c r="I185" s="29"/>
      <c r="J185" s="29"/>
      <c r="K185" s="29"/>
      <c r="L185" s="29"/>
      <c r="M185" s="29"/>
      <c r="N185" s="29"/>
      <c r="O185" s="29"/>
    </row>
    <row r="186" customFormat="false" ht="24" hidden="false" customHeight="true" outlineLevel="0" collapsed="false">
      <c r="A186" s="28" t="s">
        <v>394</v>
      </c>
      <c r="B186" s="28" t="s">
        <v>397</v>
      </c>
      <c r="C186" s="28"/>
      <c r="D186" s="28"/>
      <c r="E186" s="28"/>
      <c r="F186" s="28"/>
      <c r="G186" s="28" t="s">
        <v>396</v>
      </c>
      <c r="H186" s="29" t="s">
        <v>20</v>
      </c>
      <c r="I186" s="29"/>
      <c r="J186" s="29"/>
      <c r="K186" s="29"/>
      <c r="L186" s="29"/>
      <c r="M186" s="29"/>
      <c r="N186" s="29"/>
      <c r="O186" s="29"/>
    </row>
    <row r="187" customFormat="false" ht="24" hidden="false" customHeight="true" outlineLevel="0" collapsed="false">
      <c r="A187" s="28" t="s">
        <v>394</v>
      </c>
      <c r="B187" s="28" t="s">
        <v>398</v>
      </c>
      <c r="C187" s="28"/>
      <c r="D187" s="28"/>
      <c r="E187" s="28"/>
      <c r="F187" s="28"/>
      <c r="G187" s="28" t="s">
        <v>396</v>
      </c>
      <c r="H187" s="29" t="s">
        <v>23</v>
      </c>
      <c r="I187" s="29"/>
      <c r="J187" s="29"/>
      <c r="K187" s="29"/>
      <c r="L187" s="29"/>
      <c r="M187" s="29"/>
      <c r="N187" s="29"/>
      <c r="O187" s="29"/>
    </row>
    <row r="188" customFormat="false" ht="24" hidden="false" customHeight="true" outlineLevel="0" collapsed="false">
      <c r="A188" s="28" t="s">
        <v>394</v>
      </c>
      <c r="B188" s="28" t="s">
        <v>399</v>
      </c>
      <c r="C188" s="28"/>
      <c r="D188" s="28"/>
      <c r="E188" s="28"/>
      <c r="F188" s="28"/>
      <c r="G188" s="28" t="s">
        <v>396</v>
      </c>
      <c r="H188" s="29" t="s">
        <v>26</v>
      </c>
      <c r="I188" s="29"/>
      <c r="J188" s="29"/>
      <c r="K188" s="29"/>
      <c r="L188" s="29"/>
      <c r="M188" s="29"/>
      <c r="N188" s="29"/>
      <c r="O188" s="29"/>
    </row>
    <row r="189" customFormat="false" ht="24" hidden="false" customHeight="true" outlineLevel="0" collapsed="false">
      <c r="A189" s="28" t="s">
        <v>394</v>
      </c>
      <c r="B189" s="28" t="s">
        <v>400</v>
      </c>
      <c r="C189" s="28"/>
      <c r="D189" s="28"/>
      <c r="E189" s="28"/>
      <c r="F189" s="28"/>
      <c r="G189" s="28" t="s">
        <v>396</v>
      </c>
      <c r="H189" s="29" t="s">
        <v>29</v>
      </c>
      <c r="I189" s="29"/>
      <c r="J189" s="29"/>
      <c r="K189" s="29"/>
      <c r="L189" s="29"/>
      <c r="M189" s="29"/>
      <c r="N189" s="29"/>
      <c r="O189" s="29"/>
    </row>
    <row r="190" customFormat="false" ht="36" hidden="false" customHeight="true" outlineLevel="0" collapsed="false">
      <c r="A190" s="28" t="s">
        <v>394</v>
      </c>
      <c r="B190" s="28" t="s">
        <v>401</v>
      </c>
      <c r="C190" s="28"/>
      <c r="D190" s="28"/>
      <c r="E190" s="28"/>
      <c r="F190" s="28"/>
      <c r="G190" s="28" t="s">
        <v>396</v>
      </c>
      <c r="H190" s="29" t="s">
        <v>402</v>
      </c>
      <c r="I190" s="29"/>
      <c r="J190" s="29"/>
      <c r="K190" s="29"/>
      <c r="L190" s="29"/>
      <c r="M190" s="29"/>
      <c r="N190" s="29"/>
      <c r="O190" s="29"/>
    </row>
    <row r="191" customFormat="false" ht="24" hidden="false" customHeight="true" outlineLevel="0" collapsed="false">
      <c r="A191" s="28" t="s">
        <v>394</v>
      </c>
      <c r="B191" s="28" t="s">
        <v>403</v>
      </c>
      <c r="C191" s="28"/>
      <c r="D191" s="28"/>
      <c r="E191" s="28"/>
      <c r="F191" s="28"/>
      <c r="G191" s="28" t="s">
        <v>396</v>
      </c>
      <c r="H191" s="29" t="s">
        <v>36</v>
      </c>
      <c r="I191" s="29"/>
      <c r="J191" s="29"/>
      <c r="K191" s="29"/>
      <c r="L191" s="29"/>
      <c r="M191" s="29"/>
      <c r="N191" s="29"/>
      <c r="O191" s="29"/>
    </row>
    <row r="192" customFormat="false" ht="24" hidden="false" customHeight="true" outlineLevel="0" collapsed="false">
      <c r="A192" s="28" t="s">
        <v>394</v>
      </c>
      <c r="B192" s="28" t="s">
        <v>404</v>
      </c>
      <c r="C192" s="28"/>
      <c r="D192" s="28"/>
      <c r="E192" s="28"/>
      <c r="F192" s="28"/>
      <c r="G192" s="28" t="s">
        <v>396</v>
      </c>
      <c r="H192" s="29" t="s">
        <v>38</v>
      </c>
      <c r="I192" s="29"/>
      <c r="J192" s="29"/>
      <c r="K192" s="29"/>
      <c r="L192" s="29"/>
      <c r="M192" s="29"/>
      <c r="N192" s="29"/>
      <c r="O192" s="29"/>
    </row>
    <row r="193" customFormat="false" ht="24" hidden="false" customHeight="true" outlineLevel="0" collapsed="false">
      <c r="A193" s="28" t="s">
        <v>394</v>
      </c>
      <c r="B193" s="28" t="s">
        <v>405</v>
      </c>
      <c r="C193" s="28"/>
      <c r="D193" s="28"/>
      <c r="E193" s="28"/>
      <c r="F193" s="28"/>
      <c r="G193" s="28" t="s">
        <v>396</v>
      </c>
      <c r="H193" s="29" t="s">
        <v>41</v>
      </c>
      <c r="I193" s="29"/>
      <c r="J193" s="29"/>
      <c r="K193" s="29"/>
      <c r="L193" s="29"/>
      <c r="M193" s="29"/>
      <c r="N193" s="29"/>
      <c r="O193" s="29"/>
    </row>
    <row r="194" customFormat="false" ht="24" hidden="false" customHeight="true" outlineLevel="0" collapsed="false">
      <c r="A194" s="28" t="s">
        <v>394</v>
      </c>
      <c r="B194" s="28" t="s">
        <v>406</v>
      </c>
      <c r="C194" s="28"/>
      <c r="D194" s="28"/>
      <c r="E194" s="28"/>
      <c r="F194" s="28"/>
      <c r="G194" s="28" t="s">
        <v>396</v>
      </c>
      <c r="H194" s="29" t="s">
        <v>44</v>
      </c>
      <c r="I194" s="29"/>
      <c r="J194" s="29"/>
      <c r="K194" s="29"/>
      <c r="L194" s="29"/>
      <c r="M194" s="29"/>
      <c r="N194" s="29"/>
      <c r="O194" s="29"/>
    </row>
    <row r="195" customFormat="false" ht="36" hidden="false" customHeight="true" outlineLevel="0" collapsed="false">
      <c r="A195" s="28" t="s">
        <v>394</v>
      </c>
      <c r="B195" s="28" t="s">
        <v>407</v>
      </c>
      <c r="C195" s="28"/>
      <c r="D195" s="28"/>
      <c r="E195" s="28"/>
      <c r="F195" s="28"/>
      <c r="G195" s="28" t="s">
        <v>396</v>
      </c>
      <c r="H195" s="29" t="s">
        <v>47</v>
      </c>
      <c r="I195" s="29"/>
      <c r="J195" s="29"/>
      <c r="K195" s="29"/>
      <c r="L195" s="29"/>
      <c r="M195" s="29"/>
      <c r="N195" s="29"/>
      <c r="O195" s="29"/>
    </row>
    <row r="196" customFormat="false" ht="36" hidden="false" customHeight="true" outlineLevel="0" collapsed="false">
      <c r="A196" s="28" t="s">
        <v>394</v>
      </c>
      <c r="B196" s="28" t="s">
        <v>408</v>
      </c>
      <c r="C196" s="28"/>
      <c r="D196" s="28"/>
      <c r="E196" s="28"/>
      <c r="F196" s="28"/>
      <c r="G196" s="28" t="s">
        <v>396</v>
      </c>
      <c r="H196" s="29" t="s">
        <v>50</v>
      </c>
      <c r="I196" s="29"/>
      <c r="J196" s="29"/>
      <c r="K196" s="29"/>
      <c r="L196" s="29"/>
      <c r="M196" s="29"/>
      <c r="N196" s="29"/>
      <c r="O196" s="29"/>
    </row>
    <row r="197" customFormat="false" ht="60" hidden="false" customHeight="true" outlineLevel="0" collapsed="false">
      <c r="A197" s="28" t="s">
        <v>394</v>
      </c>
      <c r="B197" s="28" t="s">
        <v>409</v>
      </c>
      <c r="C197" s="28"/>
      <c r="D197" s="28"/>
      <c r="E197" s="28"/>
      <c r="F197" s="28"/>
      <c r="G197" s="28" t="s">
        <v>396</v>
      </c>
      <c r="H197" s="29" t="s">
        <v>53</v>
      </c>
      <c r="I197" s="29"/>
      <c r="J197" s="29"/>
      <c r="K197" s="29"/>
      <c r="L197" s="29"/>
      <c r="M197" s="29"/>
      <c r="N197" s="29"/>
      <c r="O197" s="29"/>
    </row>
    <row r="198" customFormat="false" ht="60" hidden="false" customHeight="true" outlineLevel="0" collapsed="false">
      <c r="A198" s="28" t="s">
        <v>394</v>
      </c>
      <c r="B198" s="28" t="s">
        <v>410</v>
      </c>
      <c r="C198" s="28"/>
      <c r="D198" s="28"/>
      <c r="E198" s="28"/>
      <c r="F198" s="28"/>
      <c r="G198" s="28" t="s">
        <v>396</v>
      </c>
      <c r="H198" s="29" t="s">
        <v>56</v>
      </c>
      <c r="I198" s="29"/>
      <c r="J198" s="29"/>
      <c r="K198" s="29"/>
      <c r="L198" s="29"/>
      <c r="M198" s="29"/>
      <c r="N198" s="29"/>
      <c r="O198" s="29"/>
    </row>
    <row r="199" customFormat="false" ht="48" hidden="false" customHeight="true" outlineLevel="0" collapsed="false">
      <c r="A199" s="28" t="s">
        <v>394</v>
      </c>
      <c r="B199" s="28" t="s">
        <v>411</v>
      </c>
      <c r="C199" s="28"/>
      <c r="D199" s="28"/>
      <c r="E199" s="28"/>
      <c r="F199" s="28"/>
      <c r="G199" s="28" t="s">
        <v>396</v>
      </c>
      <c r="H199" s="29" t="s">
        <v>58</v>
      </c>
      <c r="I199" s="29"/>
      <c r="J199" s="29"/>
      <c r="K199" s="29"/>
      <c r="L199" s="29"/>
      <c r="M199" s="29"/>
      <c r="N199" s="29"/>
      <c r="O199" s="29"/>
    </row>
    <row r="200" customFormat="false" ht="36" hidden="false" customHeight="true" outlineLevel="0" collapsed="false">
      <c r="A200" s="28" t="s">
        <v>394</v>
      </c>
      <c r="B200" s="28" t="s">
        <v>412</v>
      </c>
      <c r="C200" s="28"/>
      <c r="D200" s="28"/>
      <c r="E200" s="28"/>
      <c r="F200" s="28"/>
      <c r="G200" s="28" t="s">
        <v>396</v>
      </c>
      <c r="H200" s="29" t="s">
        <v>61</v>
      </c>
      <c r="I200" s="29"/>
      <c r="J200" s="29"/>
      <c r="K200" s="29"/>
      <c r="L200" s="29"/>
      <c r="M200" s="29"/>
      <c r="N200" s="29"/>
      <c r="O200" s="29"/>
    </row>
    <row r="201" customFormat="false" ht="48" hidden="false" customHeight="true" outlineLevel="0" collapsed="false">
      <c r="A201" s="28" t="s">
        <v>394</v>
      </c>
      <c r="B201" s="28" t="s">
        <v>413</v>
      </c>
      <c r="C201" s="28"/>
      <c r="D201" s="28"/>
      <c r="E201" s="28"/>
      <c r="F201" s="28"/>
      <c r="G201" s="28" t="s">
        <v>396</v>
      </c>
      <c r="H201" s="29" t="s">
        <v>64</v>
      </c>
      <c r="I201" s="29"/>
      <c r="J201" s="29"/>
      <c r="K201" s="29"/>
      <c r="L201" s="29"/>
      <c r="M201" s="29"/>
      <c r="N201" s="29"/>
      <c r="O201" s="29"/>
    </row>
    <row r="202" customFormat="false" ht="24" hidden="false" customHeight="true" outlineLevel="0" collapsed="false">
      <c r="A202" s="28" t="s">
        <v>394</v>
      </c>
      <c r="B202" s="28" t="s">
        <v>414</v>
      </c>
      <c r="C202" s="28"/>
      <c r="D202" s="28"/>
      <c r="E202" s="28"/>
      <c r="F202" s="28"/>
      <c r="G202" s="28" t="s">
        <v>396</v>
      </c>
      <c r="H202" s="29" t="s">
        <v>89</v>
      </c>
      <c r="I202" s="29"/>
      <c r="J202" s="29"/>
      <c r="K202" s="29"/>
      <c r="L202" s="29"/>
      <c r="M202" s="29"/>
      <c r="N202" s="29"/>
      <c r="O202" s="29"/>
    </row>
    <row r="203" customFormat="false" ht="48" hidden="false" customHeight="true" outlineLevel="0" collapsed="false">
      <c r="A203" s="28" t="s">
        <v>394</v>
      </c>
      <c r="B203" s="28" t="s">
        <v>415</v>
      </c>
      <c r="C203" s="28"/>
      <c r="D203" s="28"/>
      <c r="E203" s="28"/>
      <c r="F203" s="28"/>
      <c r="G203" s="28" t="s">
        <v>396</v>
      </c>
      <c r="H203" s="29" t="s">
        <v>101</v>
      </c>
      <c r="I203" s="29"/>
      <c r="J203" s="29"/>
      <c r="K203" s="29"/>
      <c r="L203" s="29"/>
      <c r="M203" s="29"/>
      <c r="N203" s="29"/>
      <c r="O203" s="29"/>
    </row>
    <row r="204" customFormat="false" ht="60" hidden="false" customHeight="true" outlineLevel="0" collapsed="false">
      <c r="A204" s="28" t="s">
        <v>394</v>
      </c>
      <c r="B204" s="28" t="s">
        <v>416</v>
      </c>
      <c r="C204" s="28"/>
      <c r="D204" s="28"/>
      <c r="E204" s="28"/>
      <c r="F204" s="28"/>
      <c r="G204" s="28" t="s">
        <v>396</v>
      </c>
      <c r="H204" s="29" t="s">
        <v>75</v>
      </c>
      <c r="I204" s="29"/>
      <c r="J204" s="29"/>
      <c r="K204" s="29"/>
      <c r="L204" s="29"/>
      <c r="M204" s="29"/>
      <c r="N204" s="29"/>
      <c r="O204" s="29"/>
    </row>
    <row r="205" customFormat="false" ht="24" hidden="false" customHeight="true" outlineLevel="0" collapsed="false">
      <c r="A205" s="28" t="s">
        <v>394</v>
      </c>
      <c r="B205" s="28" t="s">
        <v>417</v>
      </c>
      <c r="C205" s="28"/>
      <c r="D205" s="28"/>
      <c r="E205" s="28"/>
      <c r="F205" s="28"/>
      <c r="G205" s="28" t="s">
        <v>396</v>
      </c>
      <c r="H205" s="29" t="s">
        <v>104</v>
      </c>
      <c r="I205" s="29"/>
      <c r="J205" s="29"/>
      <c r="K205" s="29"/>
      <c r="L205" s="29"/>
      <c r="M205" s="29"/>
      <c r="N205" s="29"/>
      <c r="O205" s="29"/>
    </row>
  </sheetData>
  <autoFilter ref="A1:O205"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2025-07-16T02:30:30Z</dcterms:created>
  <dc:creator>Varcas Kumar Sabharwal</dc:creator>
  <dc:description/>
  <dc:language>en-AE</dc:language>
  <cp:lastModifiedBy>Ryan Rodrigues</cp:lastModifiedBy>
  <dcterms:modified xsi:type="dcterms:W3CDTF">2026-10-03T20:47:46Z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0x01010068406715A740934999FE71FB7A3B349E</vt:lpwstr>
  </property>
</Properties>
</file>