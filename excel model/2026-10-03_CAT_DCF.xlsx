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arable Valuation" sheetId="1" state="visible" r:id="rId3"/>
    <sheet name="Data Review" sheetId="2" state="visible" r:id="rId4"/>
  </sheets>
  <definedNames>
    <definedName function="false" hidden="true" localSheetId="0" name="_xlnm._FilterDatabase" vbProcedure="false">'Comparable Valuation'!$A$23:$G$28</definedName>
    <definedName function="false" hidden="true" localSheetId="1" name="_xlnm._FilterDatabase" vbProcedure="false">'Data Review'!$A$5:$C$507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B4" authorId="0">
      <text>
        <r>
          <rPr>
            <sz val="10"/>
            <rFont val="Arial"/>
            <family val="2"/>
          </rPr>
          <t xml:space="preserve">Source: latest filed canonical EBITDA; see Data Review for filing concept and provenance.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</xdr:colOff>
                <xdr:row>3</xdr:row>
                <xdr:rowOff>4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Optional editable assumption. Leave blank to use the live peer median formula in B5.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</xdr:colOff>
                <xdr:row>3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<sst xmlns="http://schemas.openxmlformats.org/spreadsheetml/2006/main" count="1555" uniqueCount="539">
  <si>
    <t xml:space="preserve">EV/EBITDA Trading Comparables — CAT</t>
  </si>
  <si>
    <t xml:space="preserve">CATERPILLAR INC (CAT)</t>
  </si>
  <si>
    <t xml:space="preserve">Amounts are shown in millions; peer multiples are calculated from current enterprise value and filed LTM metrics.</t>
  </si>
  <si>
    <t xml:space="preserve">Target FY2025 EBITDA</t>
  </si>
  <si>
    <t xml:space="preserve">Multiple Sensitivity</t>
  </si>
  <si>
    <t xml:space="preserve">Peer median EV/EBITDA</t>
  </si>
  <si>
    <t xml:space="preserve">Change</t>
  </si>
  <si>
    <t xml:space="preserve">Multiple</t>
  </si>
  <si>
    <t xml:space="preserve">Enterprise Value</t>
  </si>
  <si>
    <t xml:space="preserve">Common Equity</t>
  </si>
  <si>
    <t xml:space="preserve">Per Share</t>
  </si>
  <si>
    <t xml:space="preserve">Optional analyst multiple override</t>
  </si>
  <si>
    <t xml:space="preserve">Selected multiple</t>
  </si>
  <si>
    <t xml:space="preserve">Cash and cash equivalents</t>
  </si>
  <si>
    <t xml:space="preserve">Marketable securities</t>
  </si>
  <si>
    <t xml:space="preserve">Debt</t>
  </si>
  <si>
    <t xml:space="preserve">Noncontrolling interest</t>
  </si>
  <si>
    <t xml:space="preserve">Preferred equity</t>
  </si>
  <si>
    <t xml:space="preserve">Common Equity Value</t>
  </si>
  <si>
    <t xml:space="preserve">Diluted Shares</t>
  </si>
  <si>
    <t xml:space="preserve">Implied Share Price</t>
  </si>
  <si>
    <t xml:space="preserve">Current Share Price</t>
  </si>
  <si>
    <t xml:space="preserve">Implied Upside / (Downside)</t>
  </si>
  <si>
    <t xml:space="preserve">Current Peer Set</t>
  </si>
  <si>
    <t xml:space="preserve">Ticker</t>
  </si>
  <si>
    <t xml:space="preserve">Company</t>
  </si>
  <si>
    <t xml:space="preserve">LTM Revenue</t>
  </si>
  <si>
    <t xml:space="preserve">LTM EBITDA</t>
  </si>
  <si>
    <t xml:space="preserve">EV/Revenue</t>
  </si>
  <si>
    <t xml:space="preserve">EV/EBITDA</t>
  </si>
  <si>
    <t xml:space="preserve">DE</t>
  </si>
  <si>
    <t xml:space="preserve">Deere &amp; Company</t>
  </si>
  <si>
    <t xml:space="preserve">PCAR</t>
  </si>
  <si>
    <t xml:space="preserve">PACCAR Inc.</t>
  </si>
  <si>
    <t xml:space="preserve">CNH</t>
  </si>
  <si>
    <t xml:space="preserve">CNH Industrial N.V.</t>
  </si>
  <si>
    <t xml:space="preserve">AGCO</t>
  </si>
  <si>
    <t xml:space="preserve">AGCO Corporation</t>
  </si>
  <si>
    <t xml:space="preserve">CMI</t>
  </si>
  <si>
    <t xml:space="preserve">Cummins Inc.</t>
  </si>
  <si>
    <t xml:space="preserve">Draft review — CATERPILLAR INC (CAT)</t>
  </si>
  <si>
    <t xml:space="preserve">Editable starting model. Check REVIEW rows, then adjust the input cells and assumptions to fit your view.</t>
  </si>
  <si>
    <t xml:space="preserve">Model confidence</t>
  </si>
  <si>
    <t xml:space="preserve">Medium (50%)</t>
  </si>
  <si>
    <t xml:space="preserve">Status</t>
  </si>
  <si>
    <t xml:space="preserve">Area</t>
  </si>
  <si>
    <t xml:space="preserve">Review note</t>
  </si>
  <si>
    <t xml:space="preserve">REVIEW</t>
  </si>
  <si>
    <t xml:space="preserve">FY 2021 interest_expense</t>
  </si>
  <si>
    <t xml:space="preserve">FY 2021 interest_expense: missing SEC mapping; missing.</t>
  </si>
  <si>
    <t xml:space="preserve">FY 2022 interest_expense</t>
  </si>
  <si>
    <t xml:space="preserve">FY 2022 interest_expense: missing SEC mapping; missing.</t>
  </si>
  <si>
    <t xml:space="preserve">FY 2023 interest_expense</t>
  </si>
  <si>
    <t xml:space="preserve">FY 2023 interest_expense: missing SEC mapping; missing.</t>
  </si>
  <si>
    <t xml:space="preserve">FY 2024 interest_expense</t>
  </si>
  <si>
    <t xml:space="preserve">FY 2024 interest_expense: missing SEC mapping; missing.</t>
  </si>
  <si>
    <t xml:space="preserve">FY 2025 interest_expense</t>
  </si>
  <si>
    <t xml:space="preserve">FY 2025 interest_expense: missing SEC mapping; missing.</t>
  </si>
  <si>
    <t xml:space="preserve">FY 2021 marketing</t>
  </si>
  <si>
    <t xml:space="preserve">FY 2021 marketing: missing SEC mapping; missing.</t>
  </si>
  <si>
    <t xml:space="preserve">FY 2022 marketing</t>
  </si>
  <si>
    <t xml:space="preserve">FY 2022 marketing: missing SEC mapping; missing.</t>
  </si>
  <si>
    <t xml:space="preserve">FY 2023 marketing</t>
  </si>
  <si>
    <t xml:space="preserve">FY 2023 marketing: missing SEC mapping; missing.</t>
  </si>
  <si>
    <t xml:space="preserve">FY 2024 marketing</t>
  </si>
  <si>
    <t xml:space="preserve">FY 2024 marketing: missing SEC mapping; missing.</t>
  </si>
  <si>
    <t xml:space="preserve">FY 2025 marketing</t>
  </si>
  <si>
    <t xml:space="preserve">FY 2025 marketing: missing SEC mapping; missing.</t>
  </si>
  <si>
    <t xml:space="preserve">FY 2021 rent</t>
  </si>
  <si>
    <t xml:space="preserve">FY 2021 rent: missing SEC mapping; missing.</t>
  </si>
  <si>
    <t xml:space="preserve">FY 2022 rent</t>
  </si>
  <si>
    <t xml:space="preserve">FY 2022 rent: missing SEC mapping; missing.</t>
  </si>
  <si>
    <t xml:space="preserve">FY 2023 rent</t>
  </si>
  <si>
    <t xml:space="preserve">FY 2023 rent: missing SEC mapping; missing.</t>
  </si>
  <si>
    <t xml:space="preserve">FY 2024 rent</t>
  </si>
  <si>
    <t xml:space="preserve">FY 2024 rent: missing SEC mapping; missing.</t>
  </si>
  <si>
    <t xml:space="preserve">FY 2025 rent</t>
  </si>
  <si>
    <t xml:space="preserve">FY 2025 rent: missing SEC mapping; missing.</t>
  </si>
  <si>
    <t xml:space="preserve">FY 2021 bad_debt</t>
  </si>
  <si>
    <t xml:space="preserve">FY 2021 bad_debt: missing SEC mapping; missing.</t>
  </si>
  <si>
    <t xml:space="preserve">FY 2022 bad_debt</t>
  </si>
  <si>
    <t xml:space="preserve">FY 2022 bad_debt: missing SEC mapping; missing.</t>
  </si>
  <si>
    <t xml:space="preserve">FY 2023 bad_debt</t>
  </si>
  <si>
    <t xml:space="preserve">FY 2023 bad_debt: missing SEC mapping; missing.</t>
  </si>
  <si>
    <t xml:space="preserve">FY 2024 bad_debt</t>
  </si>
  <si>
    <t xml:space="preserve">FY 2024 bad_debt: missing SEC mapping; missing.</t>
  </si>
  <si>
    <t xml:space="preserve">FY 2025 bad_debt</t>
  </si>
  <si>
    <t xml:space="preserve">FY 2025 bad_debt: missing SEC mapping; missing.</t>
  </si>
  <si>
    <t xml:space="preserve">FY 2021 other_non_cash</t>
  </si>
  <si>
    <t xml:space="preserve">FY 2021 other_non_cash: missing SEC mapping; missing.</t>
  </si>
  <si>
    <t xml:space="preserve">FY 2022 other_non_cash</t>
  </si>
  <si>
    <t xml:space="preserve">FY 2022 other_non_cash: missing SEC mapping; missing.</t>
  </si>
  <si>
    <t xml:space="preserve">FY 2023 other_non_cash</t>
  </si>
  <si>
    <t xml:space="preserve">FY 2023 other_non_cash: missing SEC mapping; missing.</t>
  </si>
  <si>
    <t xml:space="preserve">FY 2024 other_non_cash</t>
  </si>
  <si>
    <t xml:space="preserve">FY 2024 other_non_cash: missing SEC mapping; missing.</t>
  </si>
  <si>
    <t xml:space="preserve">FY 2025 other_non_cash</t>
  </si>
  <si>
    <t xml:space="preserve">FY 2025 other_non_cash: missing SEC mapping; missing.</t>
  </si>
  <si>
    <t xml:space="preserve">valuation_context</t>
  </si>
  <si>
    <t xml:space="preserve">valuation_context: data status is cached</t>
  </si>
  <si>
    <t xml:space="preserve">insider_trades</t>
  </si>
  <si>
    <t xml:space="preserve">insider_trades: Insider trades are intentionally lazy-loaded and do not block the primary valuation load.</t>
  </si>
  <si>
    <t xml:space="preserve">INFO</t>
  </si>
  <si>
    <t xml:space="preserve">Source</t>
  </si>
  <si>
    <t xml:space="preserve">WACC calculated using CAPM methodology</t>
  </si>
  <si>
    <t xml:space="preserve">Terminal value: Gordon Growth Model</t>
  </si>
  <si>
    <t xml:space="preserve">Data as of 3/10/2026</t>
  </si>
  <si>
    <t xml:space="preserve">FY 2021 revenue: sec_native value 50971000000; concept Revenues; form 10-K; accession 0000018230-24-000009; filed 2024-02-16; period end 2021-12-31; currency USD; unit USD; scale actual; method preferred_direct</t>
  </si>
  <si>
    <t xml:space="preserve">FY 2022 revenue: sec_native value 59427000000; concept Revenues; form 10-K; accession 0000018230-25-000008; filed 2025-02-14; period end 2022-12-31; currency USD; unit USD; scale actual; method preferred_direct</t>
  </si>
  <si>
    <t xml:space="preserve">FY 2023 revenue: sec_native value 67060000000; concept Revenues; form 10-K; accession 0000018230-26-000008; filed 2026-02-13; period end 2023-12-31; currency USD; unit USD; scale actual; method preferred_direct</t>
  </si>
  <si>
    <t xml:space="preserve">FY 2024 revenue: sec_native value 64809000000; concept Revenues; form 10-K; accession 0000018230-26-000008; filed 2026-02-13; period end 2024-12-31; currency USD; unit USD; scale actual; method preferred_direct</t>
  </si>
  <si>
    <t xml:space="preserve">FY 2025 revenue: sec_native value 67589000000; concept Revenues; form 10-K; accession 0000018230-26-000008; filed 2026-02-13; period end 2025-12-31; currency USD; unit USD; scale actual; method preferred_direct</t>
  </si>
  <si>
    <t xml:space="preserve">FY 2021 cost_of_revenue: derived value 35968000000; concept CostsAndExpenses; form 10-K; accession 0000018230-24-000009; filed 2024-02-16; period end 2021-12-31; currency USD; unit USD; scale actual; method combined_costs_less_reported_operating_expenses</t>
  </si>
  <si>
    <t xml:space="preserve">FY 2021 cost_of_revenue: derived value 35968000000; concept SellingGeneralAndAdministrativeExpense; form 10-K; accession 0000018230-24-000009; filed 2024-02-16; period end 2021-12-31; currency USD; unit USD; scale actual; method combined_costs_less_reported_operating_expenses</t>
  </si>
  <si>
    <t xml:space="preserve">FY 2021 cost_of_revenue: derived value 35968000000; concept ResearchAndDevelopmentExpense; form 10-K; accession 0000018230-24-000009; filed 2024-02-16; period end 2021-12-31; currency USD; unit USD; scale actual; method combined_costs_less_reported_operating_expenses</t>
  </si>
  <si>
    <t xml:space="preserve">FY 2021 cost_of_revenue: derived value 35968000000; concept OtherOperatingIncomeExpenseNet; form 10-K; accession 0000018230-24-000009; filed 2024-02-16; period end 2021-12-31; currency USD; unit USD; scale actual; method combined_costs_less_reported_operating_expenses</t>
  </si>
  <si>
    <t xml:space="preserve">FY 2022 cost_of_revenue: derived value 42840000000; concept CostsAndExpenses; form 10-K; accession 0000018230-25-000008; filed 2025-02-14; period end 2022-12-31; currency USD; unit USD; scale actual; method combined_costs_less_reported_operating_expenses</t>
  </si>
  <si>
    <t xml:space="preserve">FY 2022 cost_of_revenue: derived value 42840000000; concept SellingGeneralAndAdministrativeExpense; form 10-K; accession 0000018230-25-000008; filed 2025-02-14; period end 2022-12-31; currency USD; unit USD; scale actual; method combined_costs_less_reported_operating_expenses</t>
  </si>
  <si>
    <t xml:space="preserve">FY 2022 cost_of_revenue: derived value 42840000000; concept ResearchAndDevelopmentExpense; form 10-K; accession 0000018230-25-000008; filed 2025-02-14; period end 2022-12-31; currency USD; unit USD; scale actual; method combined_costs_less_reported_operating_expenses</t>
  </si>
  <si>
    <t xml:space="preserve">FY 2022 cost_of_revenue: derived value 42840000000; concept OtherOperatingIncomeExpenseNet; form 10-K; accession 0000018230-25-000008; filed 2025-02-14; period end 2022-12-31; currency USD; unit USD; scale actual; method combined_costs_less_reported_operating_expenses</t>
  </si>
  <si>
    <t xml:space="preserve">FY 2023 cost_of_revenue: derived value 43797000000; concept CostsAndExpenses; form 10-K; accession 0000018230-26-000008; filed 2026-02-13; period end 2023-12-31; currency USD; unit USD; scale actual; method combined_costs_less_reported_operating_expenses</t>
  </si>
  <si>
    <t xml:space="preserve">FY 2023 cost_of_revenue: derived value 43797000000; concept SellingGeneralAndAdministrativeExpense; form 10-K; accession 0000018230-26-000008; filed 2026-02-13; period end 2023-12-31; currency USD; unit USD; scale actual; method combined_costs_less_reported_operating_expenses</t>
  </si>
  <si>
    <t xml:space="preserve">FY 2023 cost_of_revenue: derived value 43797000000; concept ResearchAndDevelopmentExpense; form 10-K; accession 0000018230-26-000008; filed 2026-02-13; period end 2023-12-31; currency USD; unit USD; scale actual; method combined_costs_less_reported_operating_expenses</t>
  </si>
  <si>
    <t xml:space="preserve">FY 2023 cost_of_revenue: derived value 43797000000; concept OtherOperatingIncomeExpenseNet; form 10-K; accession 0000018230-26-000008; filed 2026-02-13; period end 2023-12-31; currency USD; unit USD; scale actual; method combined_costs_less_reported_operating_expenses</t>
  </si>
  <si>
    <t xml:space="preserve">FY 2024 cost_of_revenue: derived value 41485000000; concept CostsAndExpenses; form 10-K; accession 0000018230-26-000008; filed 2026-02-13; period end 2024-12-31; currency USD; unit USD; scale actual; method combined_costs_less_reported_operating_expenses</t>
  </si>
  <si>
    <t xml:space="preserve">FY 2024 cost_of_revenue: derived value 41485000000; concept SellingGeneralAndAdministrativeExpense; form 10-K; accession 0000018230-26-000008; filed 2026-02-13; period end 2024-12-31; currency USD; unit USD; scale actual; method combined_costs_less_reported_operating_expenses</t>
  </si>
  <si>
    <t xml:space="preserve">FY 2024 cost_of_revenue: derived value 41485000000; concept ResearchAndDevelopmentExpense; form 10-K; accession 0000018230-26-000008; filed 2026-02-13; period end 2024-12-31; currency USD; unit USD; scale actual; method combined_costs_less_reported_operating_expenses</t>
  </si>
  <si>
    <t xml:space="preserve">FY 2024 cost_of_revenue: derived value 41485000000; concept OtherOperatingIncomeExpenseNet; form 10-K; accession 0000018230-26-000008; filed 2026-02-13; period end 2024-12-31; currency USD; unit USD; scale actual; method combined_costs_less_reported_operating_expenses</t>
  </si>
  <si>
    <t xml:space="preserve">FY 2025 cost_of_revenue: derived value 46111000000; concept CostsAndExpenses; form 10-K; accession 0000018230-26-000008; filed 2026-02-13; period end 2025-12-31; currency USD; unit USD; scale actual; method combined_costs_less_reported_operating_expenses</t>
  </si>
  <si>
    <t xml:space="preserve">FY 2025 cost_of_revenue: derived value 46111000000; concept SellingGeneralAndAdministrativeExpense; form 10-K; accession 0000018230-26-000008; filed 2026-02-13; period end 2025-12-31; currency USD; unit USD; scale actual; method combined_costs_less_reported_operating_expenses</t>
  </si>
  <si>
    <t xml:space="preserve">FY 2025 cost_of_revenue: derived value 46111000000; concept ResearchAndDevelopmentExpense; form 10-K; accession 0000018230-26-000008; filed 2026-02-13; period end 2025-12-31; currency USD; unit USD; scale actual; method combined_costs_less_reported_operating_expenses</t>
  </si>
  <si>
    <t xml:space="preserve">FY 2025 cost_of_revenue: derived value 46111000000; concept OtherOperatingIncomeExpenseNet; form 10-K; accession 0000018230-26-000008; filed 2026-02-13; period end 2025-12-31; currency USD; unit USD; scale actual; method combined_costs_less_reported_operating_expenses</t>
  </si>
  <si>
    <t xml:space="preserve">FY 2021 gross_profit: derived value 15003000000; concept Revenues; form 10-K; accession 0000018230-24-000009; filed 2024-02-16; period end 2021-12-31; currency USD; unit USD; scale actual; method revenue_less_reconciled_cost_of_revenue</t>
  </si>
  <si>
    <t xml:space="preserve">FY 2021 gross_profit: derived value 15003000000; concept CostsAndExpenses; form 10-K; accession 0000018230-24-000009; filed 2024-02-16; period end 2021-12-31; currency USD; unit USD; scale actual; method revenue_less_reconciled_cost_of_revenue</t>
  </si>
  <si>
    <t xml:space="preserve">FY 2021 gross_profit: derived value 15003000000; concept SellingGeneralAndAdministrativeExpense; form 10-K; accession 0000018230-24-000009; filed 2024-02-16; period end 2021-12-31; currency USD; unit USD; scale actual; method revenue_less_reconciled_cost_of_revenue</t>
  </si>
  <si>
    <t xml:space="preserve">FY 2021 gross_profit: derived value 15003000000; concept ResearchAndDevelopmentExpense; form 10-K; accession 0000018230-24-000009; filed 2024-02-16; period end 2021-12-31; currency USD; unit USD; scale actual; method revenue_less_reconciled_cost_of_revenue</t>
  </si>
  <si>
    <t xml:space="preserve">FY 2021 gross_profit: derived value 15003000000; concept OtherOperatingIncomeExpenseNet; form 10-K; accession 0000018230-24-000009; filed 2024-02-16; period end 2021-12-31; currency USD; unit USD; scale actual; method revenue_less_reconciled_cost_of_revenue</t>
  </si>
  <si>
    <t xml:space="preserve">FY 2022 gross_profit: derived value 16587000000; concept Revenues; form 10-K; accession 0000018230-25-000008; filed 2025-02-14; period end 2022-12-31; currency USD; unit USD; scale actual; method revenue_less_reconciled_cost_of_revenue</t>
  </si>
  <si>
    <t xml:space="preserve">FY 2022 gross_profit: derived value 16587000000; concept CostsAndExpenses; form 10-K; accession 0000018230-25-000008; filed 2025-02-14; period end 2022-12-31; currency USD; unit USD; scale actual; method revenue_less_reconciled_cost_of_revenue</t>
  </si>
  <si>
    <t xml:space="preserve">FY 2022 gross_profit: derived value 16587000000; concept SellingGeneralAndAdministrativeExpense; form 10-K; accession 0000018230-25-000008; filed 2025-02-14; period end 2022-12-31; currency USD; unit USD; scale actual; method revenue_less_reconciled_cost_of_revenue</t>
  </si>
  <si>
    <t xml:space="preserve">FY 2022 gross_profit: derived value 16587000000; concept ResearchAndDevelopmentExpense; form 10-K; accession 0000018230-25-000008; filed 2025-02-14; period end 2022-12-31; currency USD; unit USD; scale actual; method revenue_less_reconciled_cost_of_revenue</t>
  </si>
  <si>
    <t xml:space="preserve">FY 2022 gross_profit: derived value 16587000000; concept OtherOperatingIncomeExpenseNet; form 10-K; accession 0000018230-25-000008; filed 2025-02-14; period end 2022-12-31; currency USD; unit USD; scale actual; method revenue_less_reconciled_cost_of_revenue</t>
  </si>
  <si>
    <t xml:space="preserve">FY 2023 gross_profit: derived value 23263000000; concept Revenues; form 10-K; accession 0000018230-26-000008; filed 2026-02-13; period end 2023-12-31; currency USD; unit USD; scale actual; method revenue_less_reconciled_cost_of_revenue</t>
  </si>
  <si>
    <t xml:space="preserve">FY 2023 gross_profit: derived value 23263000000; concept CostsAndExpenses; form 10-K; accession 0000018230-26-000008; filed 2026-02-13; period end 2023-12-31; currency USD; unit USD; scale actual; method revenue_less_reconciled_cost_of_revenue</t>
  </si>
  <si>
    <t xml:space="preserve">FY 2023 gross_profit: derived value 23263000000; concept SellingGeneralAndAdministrativeExpense; form 10-K; accession 0000018230-26-000008; filed 2026-02-13; period end 2023-12-31; currency USD; unit USD; scale actual; method revenue_less_reconciled_cost_of_revenue</t>
  </si>
  <si>
    <t xml:space="preserve">FY 2023 gross_profit: derived value 23263000000; concept ResearchAndDevelopmentExpense; form 10-K; accession 0000018230-26-000008; filed 2026-02-13; period end 2023-12-31; currency USD; unit USD; scale actual; method revenue_less_reconciled_cost_of_revenue</t>
  </si>
  <si>
    <t xml:space="preserve">FY 2023 gross_profit: derived value 23263000000; concept OtherOperatingIncomeExpenseNet; form 10-K; accession 0000018230-26-000008; filed 2026-02-13; period end 2023-12-31; currency USD; unit USD; scale actual; method revenue_less_reconciled_cost_of_revenue</t>
  </si>
  <si>
    <t xml:space="preserve">FY 2024 gross_profit: derived value 23324000000; concept Revenues; form 10-K; accession 0000018230-26-000008; filed 2026-02-13; period end 2024-12-31; currency USD; unit USD; scale actual; method revenue_less_reconciled_cost_of_revenue</t>
  </si>
  <si>
    <t xml:space="preserve">FY 2024 gross_profit: derived value 23324000000; concept CostsAndExpenses; form 10-K; accession 0000018230-26-000008; filed 2026-02-13; period end 2024-12-31; currency USD; unit USD; scale actual; method revenue_less_reconciled_cost_of_revenue</t>
  </si>
  <si>
    <t xml:space="preserve">FY 2024 gross_profit: derived value 23324000000; concept SellingGeneralAndAdministrativeExpense; form 10-K; accession 0000018230-26-000008; filed 2026-02-13; period end 2024-12-31; currency USD; unit USD; scale actual; method revenue_less_reconciled_cost_of_revenue</t>
  </si>
  <si>
    <t xml:space="preserve">FY 2024 gross_profit: derived value 23324000000; concept ResearchAndDevelopmentExpense; form 10-K; accession 0000018230-26-000008; filed 2026-02-13; period end 2024-12-31; currency USD; unit USD; scale actual; method revenue_less_reconciled_cost_of_revenue</t>
  </si>
  <si>
    <t xml:space="preserve">FY 2024 gross_profit: derived value 23324000000; concept OtherOperatingIncomeExpenseNet; form 10-K; accession 0000018230-26-000008; filed 2026-02-13; period end 2024-12-31; currency USD; unit USD; scale actual; method revenue_less_reconciled_cost_of_revenue</t>
  </si>
  <si>
    <t xml:space="preserve">FY 2025 gross_profit: derived value 21478000000; concept Revenues; form 10-K; accession 0000018230-26-000008; filed 2026-02-13; period end 2025-12-31; currency USD; unit USD; scale actual; method revenue_less_reconciled_cost_of_revenue</t>
  </si>
  <si>
    <t xml:space="preserve">FY 2025 gross_profit: derived value 21478000000; concept CostsAndExpenses; form 10-K; accession 0000018230-26-000008; filed 2026-02-13; period end 2025-12-31; currency USD; unit USD; scale actual; method revenue_less_reconciled_cost_of_revenue</t>
  </si>
  <si>
    <t xml:space="preserve">FY 2025 gross_profit: derived value 21478000000; concept SellingGeneralAndAdministrativeExpense; form 10-K; accession 0000018230-26-000008; filed 2026-02-13; period end 2025-12-31; currency USD; unit USD; scale actual; method revenue_less_reconciled_cost_of_revenue</t>
  </si>
  <si>
    <t xml:space="preserve">FY 2025 gross_profit: derived value 21478000000; concept ResearchAndDevelopmentExpense; form 10-K; accession 0000018230-26-000008; filed 2026-02-13; period end 2025-12-31; currency USD; unit USD; scale actual; method revenue_less_reconciled_cost_of_revenue</t>
  </si>
  <si>
    <t xml:space="preserve">FY 2025 gross_profit: derived value 21478000000; concept OtherOperatingIncomeExpenseNet; form 10-K; accession 0000018230-26-000008; filed 2026-02-13; period end 2025-12-31; currency USD; unit USD; scale actual; method revenue_less_reconciled_cost_of_revenue</t>
  </si>
  <si>
    <t xml:space="preserve">FY 2021 ebit: sec_native value 6878000000; concept OperatingIncomeLoss; form 10-K; accession 0000018230-24-000009; filed 2024-02-16; period end 2021-12-31; currency USD; unit USD; scale actual; method preferred_direct</t>
  </si>
  <si>
    <t xml:space="preserve">FY 2022 ebit: sec_native value 7904000000; concept OperatingIncomeLoss; form 10-K; accession 0000018230-25-000008; filed 2025-02-14; period end 2022-12-31; currency USD; unit USD; scale actual; method preferred_direct</t>
  </si>
  <si>
    <t xml:space="preserve">FY 2023 ebit: sec_native value 12966000000; concept OperatingIncomeLoss; form 10-K; accession 0000018230-26-000008; filed 2026-02-13; period end 2023-12-31; currency USD; unit USD; scale actual; method preferred_direct</t>
  </si>
  <si>
    <t xml:space="preserve">FY 2024 ebit: sec_native value 13072000000; concept OperatingIncomeLoss; form 10-K; accession 0000018230-26-000008; filed 2026-02-13; period end 2024-12-31; currency USD; unit USD; scale actual; method preferred_direct</t>
  </si>
  <si>
    <t xml:space="preserve">FY 2025 ebit: sec_native value 11151000000; concept OperatingIncomeLoss; form 10-K; accession 0000018230-26-000008; filed 2026-02-13; period end 2025-12-31; currency USD; unit USD; scale actual; method preferred_direct</t>
  </si>
  <si>
    <t xml:space="preserve">FY 2021 ebitda: derived value 9230000000; concept OperatingIncomeLoss; form 10-K; accession 0000018230-24-000009; filed 2024-02-16; period end 2021-12-31; currency USD; unit USD; scale actual; method ebit_plus_da</t>
  </si>
  <si>
    <t xml:space="preserve">FY 2021 ebitda: derived value 9230000000; concept DepreciationDepletionAndAmortization; form 10-K; accession 0000018230-24-000009; filed 2024-02-16; period end 2021-12-31; currency USD; unit USD; scale actual; method ebit_plus_da</t>
  </si>
  <si>
    <t xml:space="preserve">FY 2022 ebitda: derived value 10123000000; concept OperatingIncomeLoss; form 10-K; accession 0000018230-25-000008; filed 2025-02-14; period end 2022-12-31; currency USD; unit USD; scale actual; method ebit_plus_da</t>
  </si>
  <si>
    <t xml:space="preserve">FY 2022 ebitda: derived value 10123000000; concept DepreciationDepletionAndAmortization; form 10-K; accession 0000018230-25-000008; filed 2025-02-14; period end 2022-12-31; currency USD; unit USD; scale actual; method ebit_plus_da</t>
  </si>
  <si>
    <t xml:space="preserve">FY 2023 ebitda: derived value 15110000000; concept OperatingIncomeLoss; form 10-K; accession 0000018230-26-000008; filed 2026-02-13; period end 2023-12-31; currency USD; unit USD; scale actual; method ebit_plus_da</t>
  </si>
  <si>
    <t xml:space="preserve">FY 2023 ebitda: derived value 15110000000; concept DepreciationDepletionAndAmortization; form 10-K; accession 0000018230-26-000008; filed 2026-02-13; period end 2023-12-31; currency USD; unit USD; scale actual; method ebit_plus_da</t>
  </si>
  <si>
    <t xml:space="preserve">FY 2024 ebitda: derived value 15225000000; concept OperatingIncomeLoss; form 10-K; accession 0000018230-26-000008; filed 2026-02-13; period end 2024-12-31; currency USD; unit USD; scale actual; method ebit_plus_da</t>
  </si>
  <si>
    <t xml:space="preserve">FY 2024 ebitda: derived value 15225000000; concept DepreciationDepletionAndAmortization; form 10-K; accession 0000018230-26-000008; filed 2026-02-13; period end 2024-12-31; currency USD; unit USD; scale actual; method ebit_plus_da</t>
  </si>
  <si>
    <t xml:space="preserve">FY 2025 ebitda: derived value 13413000000; concept OperatingIncomeLoss; form 10-K; accession 0000018230-26-000008; filed 2026-02-13; period end 2025-12-31; currency USD; unit USD; scale actual; method ebit_plus_da</t>
  </si>
  <si>
    <t xml:space="preserve">FY 2025 ebitda: derived value 13413000000; concept DepreciationDepletionAndAmortization; form 10-K; accession 0000018230-26-000008; filed 2026-02-13; period end 2025-12-31; currency USD; unit USD; scale actual; method ebit_plus_da</t>
  </si>
  <si>
    <t xml:space="preserve">FY 2021 income_tax_expense: sec_native value 1742000000; concept IncomeTaxExpenseBenefit; form 10-K; accession 0000018230-24-000009; filed 2024-02-16; period end 2021-12-31; currency USD; unit USD; scale actual; method preferred_direct</t>
  </si>
  <si>
    <t xml:space="preserve">FY 2022 income_tax_expense: sec_native value 2067000000; concept IncomeTaxExpenseBenefit; form 10-K; accession 0000018230-25-000008; filed 2025-02-14; period end 2022-12-31; currency USD; unit USD; scale actual; method preferred_direct</t>
  </si>
  <si>
    <t xml:space="preserve">FY 2023 income_tax_expense: sec_native value 2781000000; concept IncomeTaxExpenseBenefit; form 10-K; accession 0000018230-26-000008; filed 2026-02-13; period end 2023-12-31; currency USD; unit USD; scale actual; method preferred_direct</t>
  </si>
  <si>
    <t xml:space="preserve">FY 2024 income_tax_expense: sec_native value 2629000000; concept IncomeTaxExpenseBenefit; form 10-K; accession 0000018230-26-000008; filed 2026-02-13; period end 2024-12-31; currency USD; unit USD; scale actual; method preferred_direct</t>
  </si>
  <si>
    <t xml:space="preserve">FY 2025 income_tax_expense: sec_native value 2768000000; concept IncomeTaxExpenseBenefit; form 10-K; accession 0000018230-26-000008; filed 2026-02-13; period end 2025-12-31; currency USD; unit USD; scale actual; method preferred_direct</t>
  </si>
  <si>
    <t xml:space="preserve">FY 2021 net_income: sec_native value 6489000000; concept NetIncomeLossAvailableToCommonStockholdersBasic; form 10-K; accession 0000018230-24-000009; filed 2024-02-16; period end 2021-12-31; currency USD; unit USD; scale actual; method preferred_direct</t>
  </si>
  <si>
    <t xml:space="preserve">FY 2022 net_income: sec_native value 6705000000; concept NetIncomeLossAvailableToCommonStockholdersBasic; form 10-K; accession 0000018230-25-000008; filed 2025-02-14; period end 2022-12-31; currency USD; unit USD; scale actual; method preferred_direct</t>
  </si>
  <si>
    <t xml:space="preserve">FY 2023 net_income: sec_native value 10335000000; concept NetIncomeLossAvailableToCommonStockholdersBasic; form 10-K; accession 0000018230-26-000008; filed 2026-02-13; period end 2023-12-31; currency USD; unit USD; scale actual; method preferred_direct</t>
  </si>
  <si>
    <t xml:space="preserve">FY 2024 net_income: sec_native value 10792000000; concept NetIncomeLossAvailableToCommonStockholdersBasic; form 10-K; accession 0000018230-26-000008; filed 2026-02-13; period end 2024-12-31; currency USD; unit USD; scale actual; method preferred_direct</t>
  </si>
  <si>
    <t xml:space="preserve">FY 2025 net_income: sec_native value 8884000000; concept NetIncomeLossAvailableToCommonStockholdersBasic; form 10-K; accession 0000018230-26-000008; filed 2026-02-13; period end 2025-12-31; currency USD; unit USD; scale actual; method preferred_direct</t>
  </si>
  <si>
    <t xml:space="preserve">FY 2021 depreciation: sec_native value 2352000000; concept DepreciationDepletionAndAmortization; form 10-K; accession 0000018230-24-000009; filed 2024-02-16; period end 2021-12-31; currency USD; unit USD; scale actual; method preferred_direct</t>
  </si>
  <si>
    <t xml:space="preserve">FY 2022 depreciation: sec_native value 2219000000; concept DepreciationDepletionAndAmortization; form 10-K; accession 0000018230-25-000008; filed 2025-02-14; period end 2022-12-31; currency USD; unit USD; scale actual; method preferred_direct</t>
  </si>
  <si>
    <t xml:space="preserve">FY 2023 depreciation: sec_native value 2144000000; concept DepreciationDepletionAndAmortization; form 10-K; accession 0000018230-26-000008; filed 2026-02-13; period end 2023-12-31; currency USD; unit USD; scale actual; method preferred_direct</t>
  </si>
  <si>
    <t xml:space="preserve">FY 2024 depreciation: sec_native value 2153000000; concept DepreciationDepletionAndAmortization; form 10-K; accession 0000018230-26-000008; filed 2026-02-13; period end 2024-12-31; currency USD; unit USD; scale actual; method preferred_direct</t>
  </si>
  <si>
    <t xml:space="preserve">FY 2025 depreciation: sec_native value 2262000000; concept DepreciationDepletionAndAmortization; form 10-K; accession 0000018230-26-000008; filed 2026-02-13; period end 2025-12-31; currency USD; unit USD; scale actual; method preferred_direct</t>
  </si>
  <si>
    <t xml:space="preserve">FY 2021 stock_based_comp: sec_native value 200000000; concept AllocatedShareBasedCompensationExpense; form 10-K; accession 0000018230-24-000009; filed 2024-02-16; period end 2021-12-31; currency USD; unit USD; scale actual; method preferred_direct</t>
  </si>
  <si>
    <t xml:space="preserve">FY 2022 stock_based_comp: sec_native value 193000000; concept AllocatedShareBasedCompensationExpense; form 10-K; accession 0000018230-25-000008; filed 2025-02-14; period end 2022-12-31; currency USD; unit USD; scale actual; method preferred_direct</t>
  </si>
  <si>
    <t xml:space="preserve">FY 2023 stock_based_comp: sec_native value 208000000; concept AllocatedShareBasedCompensationExpense; form 10-K; accession 0000018230-26-000008; filed 2026-02-13; period end 2023-12-31; currency USD; unit USD; scale actual; method preferred_direct</t>
  </si>
  <si>
    <t xml:space="preserve">FY 2024 stock_based_comp: sec_native value 223000000; concept AllocatedShareBasedCompensationExpense; form 10-K; accession 0000018230-26-000008; filed 2026-02-13; period end 2024-12-31; currency USD; unit USD; scale actual; method preferred_direct</t>
  </si>
  <si>
    <t xml:space="preserve">FY 2025 stock_based_comp: sec_native value 242000000; concept AllocatedShareBasedCompensationExpense; form 10-K; accession 0000018230-26-000008; filed 2026-02-13; period end 2025-12-31; currency USD; unit USD; scale actual; method preferred_direct</t>
  </si>
  <si>
    <t xml:space="preserve">FY 2021 cfo: sec_native value 7198000000; concept NetCashProvidedByUsedInOperatingActivities; form 10-K; accession 0000018230-24-000009; filed 2024-02-16; period end 2021-12-31; currency USD; unit USD; scale actual; method preferred_direct</t>
  </si>
  <si>
    <t xml:space="preserve">FY 2022 cfo: sec_native value 7766000000; concept NetCashProvidedByUsedInOperatingActivities; form 10-K; accession 0000018230-25-000008; filed 2025-02-14; period end 2022-12-31; currency USD; unit USD; scale actual; method preferred_direct</t>
  </si>
  <si>
    <t xml:space="preserve">FY 2023 cfo: sec_native value 12885000000; concept NetCashProvidedByUsedInOperatingActivities; form 10-K; accession 0000018230-26-000008; filed 2026-02-13; period end 2023-12-31; currency USD; unit USD; scale actual; method preferred_direct</t>
  </si>
  <si>
    <t xml:space="preserve">FY 2024 cfo: sec_native value 12035000000; concept NetCashProvidedByUsedInOperatingActivities; form 10-K; accession 0000018230-26-000008; filed 2026-02-13; period end 2024-12-31; currency USD; unit USD; scale actual; method preferred_direct</t>
  </si>
  <si>
    <t xml:space="preserve">FY 2025 cfo: sec_native value 11739000000; concept NetCashProvidedByUsedInOperatingActivities; form 10-K; accession 0000018230-26-000008; filed 2026-02-13; period end 2025-12-31; currency USD; unit USD; scale actual; method preferred_direct</t>
  </si>
  <si>
    <t xml:space="preserve">FY 2021 capex: sec_native value 1093000000; concept PaymentsToAcquirePropertyPlantAndEquipment; form 10-K; accession 0000018230-24-000009; filed 2024-02-16; period end 2021-12-31; currency USD; unit USD; scale actual; method preferred_direct</t>
  </si>
  <si>
    <t xml:space="preserve">FY 2022 capex: sec_native value 1296000000; concept PaymentsToAcquirePropertyPlantAndEquipment; form 10-K; accession 0000018230-25-000008; filed 2025-02-14; period end 2022-12-31; currency USD; unit USD; scale actual; method preferred_direct</t>
  </si>
  <si>
    <t xml:space="preserve">FY 2023 capex: sec_native value 1597000000; concept PaymentsToAcquirePropertyPlantAndEquipment; form 10-K; accession 0000018230-26-000008; filed 2026-02-13; period end 2023-12-31; currency USD; unit USD; scale actual; method preferred_direct</t>
  </si>
  <si>
    <t xml:space="preserve">FY 2024 capex: sec_native value 1988000000; concept PaymentsToAcquirePropertyPlantAndEquipment; form 10-K; accession 0000018230-26-000008; filed 2026-02-13; period end 2024-12-31; currency USD; unit USD; scale actual; method preferred_direct</t>
  </si>
  <si>
    <t xml:space="preserve">FY 2025 capex: sec_native value 2821000000; concept PaymentsToAcquirePropertyPlantAndEquipment; form 10-K; accession 0000018230-26-000008; filed 2026-02-13; period end 2025-12-31; currency USD; unit USD; scale actual; method preferred_direct</t>
  </si>
  <si>
    <t xml:space="preserve">FY 2021 cash: sec_native value 9254000000; concept CashAndCashEquivalentsAtCarryingValue; form 10-K; accession 0000018230-23-000011; filed 2023-02-15; period end 2021-12-31; currency USD; unit USD; scale actual; method preferred_direct</t>
  </si>
  <si>
    <t xml:space="preserve">FY 2022 cash: sec_native value 7004000000; concept CashAndCashEquivalentsAtCarryingValue; form 10-K; accession 0000018230-24-000009; filed 2024-02-16; period end 2022-12-31; currency USD; unit USD; scale actual; method preferred_direct</t>
  </si>
  <si>
    <t xml:space="preserve">FY 2023 cash: sec_native value 6978000000; concept CashAndCashEquivalentsAtCarryingValue; form 10-K; accession 0000018230-25-000008; filed 2025-02-14; period end 2023-12-31; currency USD; unit USD; scale actual; method preferred_direct</t>
  </si>
  <si>
    <t xml:space="preserve">FY 2024 cash: sec_native value 6889000000; concept CashAndCashEquivalentsAtCarryingValue; form 10-K; accession 0000018230-26-000008; filed 2026-02-13; period end 2024-12-31; currency USD; unit USD; scale actual; method preferred_direct</t>
  </si>
  <si>
    <t xml:space="preserve">FY 2025 cash: sec_native value 9980000000; concept CashAndCashEquivalentsAtCarryingValue; form 10-K; accession 0000018230-26-000008; filed 2026-02-13; period end 2025-12-31; currency USD; unit USD; scale actual; method preferred_direct</t>
  </si>
  <si>
    <t xml:space="preserve">FY 2021 marketable_securities: not applicable; no_separately_reported_marketable_securities_in_filed_10k.</t>
  </si>
  <si>
    <t xml:space="preserve">FY 2022 marketable_securities: not applicable; no_separately_reported_marketable_securities_in_filed_10k.</t>
  </si>
  <si>
    <t xml:space="preserve">FY 2023 marketable_securities: not applicable; no_separately_reported_marketable_securities_in_filed_10k.</t>
  </si>
  <si>
    <t xml:space="preserve">FY 2024 marketable_securities: not applicable; no_separately_reported_marketable_securities_in_filed_10k.</t>
  </si>
  <si>
    <t xml:space="preserve">FY 2025 marketable_securities: not applicable; no_separately_reported_marketable_securities_in_filed_10k.</t>
  </si>
  <si>
    <t xml:space="preserve">FY 2021 marketable_securities_current: not applicable; no_separately_reported_marketable_securities_current_in_filed_10k.</t>
  </si>
  <si>
    <t xml:space="preserve">FY 2022 marketable_securities_current: not applicable; no_separately_reported_marketable_securities_current_in_filed_10k.</t>
  </si>
  <si>
    <t xml:space="preserve">FY 2023 marketable_securities_current: not applicable; no_separately_reported_marketable_securities_current_in_filed_10k.</t>
  </si>
  <si>
    <t xml:space="preserve">FY 2024 marketable_securities_current: not applicable; no_separately_reported_marketable_securities_current_in_filed_10k.</t>
  </si>
  <si>
    <t xml:space="preserve">FY 2025 marketable_securities_current: not applicable; no_separately_reported_marketable_securities_current_in_filed_10k.</t>
  </si>
  <si>
    <t xml:space="preserve">FY 2021 marketable_securities_noncurrent: not applicable; no_separately_reported_marketable_securities_noncurrent_in_filed_10k.</t>
  </si>
  <si>
    <t xml:space="preserve">FY 2022 marketable_securities_noncurrent: not applicable; no_separately_reported_marketable_securities_noncurrent_in_filed_10k.</t>
  </si>
  <si>
    <t xml:space="preserve">FY 2023 marketable_securities_noncurrent: not applicable; no_separately_reported_marketable_securities_noncurrent_in_filed_10k.</t>
  </si>
  <si>
    <t xml:space="preserve">FY 2024 marketable_securities_noncurrent: not applicable; no_separately_reported_marketable_securities_noncurrent_in_filed_10k.</t>
  </si>
  <si>
    <t xml:space="preserve">FY 2025 marketable_securities_noncurrent: not applicable; no_separately_reported_marketable_securities_noncurrent_in_filed_10k.</t>
  </si>
  <si>
    <t xml:space="preserve">FY 2021 long_term_debt_current: not applicable; no_separately_reported_current_debt_in_filed_10k.</t>
  </si>
  <si>
    <t xml:space="preserve">FY 2022 long_term_debt_current: not applicable; no_separately_reported_current_debt_in_filed_10k.</t>
  </si>
  <si>
    <t xml:space="preserve">FY 2023 long_term_debt_current: not applicable; no_separately_reported_current_debt_in_filed_10k.</t>
  </si>
  <si>
    <t xml:space="preserve">FY 2024 long_term_debt_current: not applicable; no_separately_reported_current_debt_in_filed_10k.</t>
  </si>
  <si>
    <t xml:space="preserve">FY 2025 long_term_debt_current: not applicable; no_separately_reported_current_debt_in_filed_10k.</t>
  </si>
  <si>
    <t xml:space="preserve">FY 2021 commercial_paper: not applicable; no_separately_reported_commercial_paper_in_filed_10k.</t>
  </si>
  <si>
    <t xml:space="preserve">FY 2022 commercial_paper: not applicable; no_separately_reported_commercial_paper_in_filed_10k.</t>
  </si>
  <si>
    <t xml:space="preserve">FY 2023 commercial_paper: not applicable; no_separately_reported_commercial_paper_in_filed_10k.</t>
  </si>
  <si>
    <t xml:space="preserve">FY 2024 commercial_paper: not applicable; no_separately_reported_commercial_paper_in_filed_10k.</t>
  </si>
  <si>
    <t xml:space="preserve">FY 2025 commercial_paper: not applicable; no_separately_reported_commercial_paper_in_filed_10k.</t>
  </si>
  <si>
    <t xml:space="preserve">FY 2021 current_debt: derived value 0; concept unavailable; form 10-K; accession 0000018230-22-000050; filed 2022-02-16; period end 2021-12-31; currency USD; unit USD; scale actual; method current_debt_and_commercial_paper_with_filed_absence_when_not_reported</t>
  </si>
  <si>
    <t xml:space="preserve">FY 2022 current_debt: derived value 0; concept unavailable; form 10-K; accession 0000018230-23-000011; filed 2023-02-15; period end 2022-12-31; currency USD; unit USD; scale actual; method current_debt_and_commercial_paper_with_filed_absence_when_not_reported</t>
  </si>
  <si>
    <t xml:space="preserve">FY 2023 current_debt: derived value 0; concept unavailable; form 10-K; accession 0000018230-24-000009; filed 2024-02-16; period end 2023-12-31; currency USD; unit USD; scale actual; method current_debt_and_commercial_paper_with_filed_absence_when_not_reported</t>
  </si>
  <si>
    <t xml:space="preserve">FY 2024 current_debt: derived value 0; concept unavailable; form 10-K; accession 0000018230-25-000008; filed 2025-02-14; period end 2024-12-31; currency USD; unit USD; scale actual; method current_debt_and_commercial_paper_with_filed_absence_when_not_reported</t>
  </si>
  <si>
    <t xml:space="preserve">FY 2025 current_debt: derived value 0; concept unavailable; form 10-K; accession 0000018230-26-000008; filed 2026-02-13; period end 2025-12-31; currency USD; unit USD; scale actual; method current_debt_and_commercial_paper_with_filed_absence_when_not_reported</t>
  </si>
  <si>
    <t xml:space="preserve">FY 2021 long_term_debt: sec_native value 26033000000; concept LongTermDebtNoncurrent; form 10-K; accession 0000018230-23-000011; filed 2023-02-15; period end 2021-12-31; currency USD; unit USD; scale actual; method preferred_direct</t>
  </si>
  <si>
    <t xml:space="preserve">FY 2022 long_term_debt: sec_native value 25714000000; concept LongTermDebtNoncurrent; form 10-K; accession 0000018230-24-000009; filed 2024-02-16; period end 2022-12-31; currency USD; unit USD; scale actual; method preferred_direct</t>
  </si>
  <si>
    <t xml:space="preserve">FY 2023 long_term_debt: sec_native value 24472000000; concept LongTermDebtNoncurrent; form 10-K; accession 0000018230-25-000008; filed 2025-02-14; period end 2023-12-31; currency USD; unit USD; scale actual; method preferred_direct</t>
  </si>
  <si>
    <t xml:space="preserve">FY 2024 long_term_debt: sec_native value 27351000000; concept LongTermDebtNoncurrent; form 10-K; accession 0000018230-26-000008; filed 2026-02-13; period end 2024-12-31; currency USD; unit USD; scale actual; method preferred_direct</t>
  </si>
  <si>
    <t xml:space="preserve">FY 2025 long_term_debt: sec_native value 30696000000; concept LongTermDebtNoncurrent; form 10-K; accession 0000018230-26-000008; filed 2026-02-13; period end 2025-12-31; currency USD; unit USD; scale actual; method preferred_direct</t>
  </si>
  <si>
    <t xml:space="preserve">FY 2021 debt: derived value 26033000000; concept unavailable; form 10-K; accession 0000018230-22-000050; filed 2022-02-16; period end 2021-12-31; currency USD; unit USD; scale actual; method current_plus_long_term_debt_with_filed_absence_when_not_reported</t>
  </si>
  <si>
    <t xml:space="preserve">FY 2021 debt: derived value 26033000000; concept LongTermDebtNoncurrent; form 10-K; accession 0000018230-23-000011; filed 2023-02-15; period end 2021-12-31; currency USD; unit USD; scale actual; method current_plus_long_term_debt_with_filed_absence_when_not_reported</t>
  </si>
  <si>
    <t xml:space="preserve">FY 2022 debt: derived value 25714000000; concept unavailable; form 10-K; accession 0000018230-23-000011; filed 2023-02-15; period end 2022-12-31; currency USD; unit USD; scale actual; method current_plus_long_term_debt_with_filed_absence_when_not_reported</t>
  </si>
  <si>
    <t xml:space="preserve">FY 2022 debt: derived value 25714000000; concept LongTermDebtNoncurrent; form 10-K; accession 0000018230-24-000009; filed 2024-02-16; period end 2022-12-31; currency USD; unit USD; scale actual; method current_plus_long_term_debt_with_filed_absence_when_not_reported</t>
  </si>
  <si>
    <t xml:space="preserve">FY 2023 debt: derived value 24472000000; concept unavailable; form 10-K; accession 0000018230-24-000009; filed 2024-02-16; period end 2023-12-31; currency USD; unit USD; scale actual; method current_plus_long_term_debt_with_filed_absence_when_not_reported</t>
  </si>
  <si>
    <t xml:space="preserve">FY 2023 debt: derived value 24472000000; concept LongTermDebtNoncurrent; form 10-K; accession 0000018230-25-000008; filed 2025-02-14; period end 2023-12-31; currency USD; unit USD; scale actual; method current_plus_long_term_debt_with_filed_absence_when_not_reported</t>
  </si>
  <si>
    <t xml:space="preserve">FY 2024 debt: derived value 27351000000; concept unavailable; form 10-K; accession 0000018230-25-000008; filed 2025-02-14; period end 2024-12-31; currency USD; unit USD; scale actual; method current_plus_long_term_debt_with_filed_absence_when_not_reported</t>
  </si>
  <si>
    <t xml:space="preserve">FY 2024 debt: derived value 27351000000; concept LongTermDebtNoncurrent; form 10-K; accession 0000018230-26-000008; filed 2026-02-13; period end 2024-12-31; currency USD; unit USD; scale actual; method current_plus_long_term_debt_with_filed_absence_when_not_reported</t>
  </si>
  <si>
    <t xml:space="preserve">FY 2025 debt: derived value 30696000000; concept unavailable; form 10-K; accession 0000018230-26-000008; filed 2026-02-13; period end 2025-12-31; currency USD; unit USD; scale actual; method current_plus_long_term_debt_with_filed_absence_when_not_reported</t>
  </si>
  <si>
    <t xml:space="preserve">FY 2025 debt: derived value 30696000000; concept LongTermDebtNoncurrent; form 10-K; accession 0000018230-26-000008; filed 2026-02-13; period end 2025-12-31; currency USD; unit USD; scale actual; method current_plus_long_term_debt_with_filed_absence_when_not_reported</t>
  </si>
  <si>
    <t xml:space="preserve">FY 2021 operating_lease_liability_current: sec_native value 158000000; concept OperatingLeaseLiabilityCurrent; form 10-K; accession 0000018230-23-000011; filed 2023-02-15; period end 2021-12-31; currency USD; unit USD; scale actual; method preferred_direct</t>
  </si>
  <si>
    <t xml:space="preserve">FY 2022 operating_lease_liability_current: sec_native value 151000000; concept OperatingLeaseLiabilityCurrent; form 10-K; accession 0000018230-24-000009; filed 2024-02-16; period end 2022-12-31; currency USD; unit USD; scale actual; method preferred_direct</t>
  </si>
  <si>
    <t xml:space="preserve">FY 2023 operating_lease_liability_current: sec_native value 147000000; concept OperatingLeaseLiabilityCurrent; form 10-K; accession 0000018230-25-000008; filed 2025-02-14; period end 2023-12-31; currency USD; unit USD; scale actual; method preferred_direct</t>
  </si>
  <si>
    <t xml:space="preserve">FY 2024 operating_lease_liability_current: sec_native value 143000000; concept OperatingLeaseLiabilityCurrent; form 10-K; accession 0000018230-26-000008; filed 2026-02-13; period end 2024-12-31; currency USD; unit USD; scale actual; method preferred_direct</t>
  </si>
  <si>
    <t xml:space="preserve">FY 2025 operating_lease_liability_current: sec_native value 158000000; concept OperatingLeaseLiabilityCurrent; form 10-K; accession 0000018230-26-000008; filed 2026-02-13; period end 2025-12-31; currency USD; unit USD; scale actual; method preferred_direct</t>
  </si>
  <si>
    <t xml:space="preserve">FY 2021 operating_lease_liability_noncurrent: sec_native value 484000000; concept OperatingLeaseLiabilityNoncurrent; form 10-K; accession 0000018230-23-000011; filed 2023-02-15; period end 2021-12-31; currency USD; unit USD; scale actual; method preferred_direct</t>
  </si>
  <si>
    <t xml:space="preserve">FY 2022 operating_lease_liability_noncurrent: sec_native value 428000000; concept OperatingLeaseLiabilityNoncurrent; form 10-K; accession 0000018230-24-000009; filed 2024-02-16; period end 2022-12-31; currency USD; unit USD; scale actual; method preferred_direct</t>
  </si>
  <si>
    <t xml:space="preserve">FY 2023 operating_lease_liability_noncurrent: sec_native value 427000000; concept OperatingLeaseLiabilityNoncurrent; form 10-K; accession 0000018230-25-000008; filed 2025-02-14; period end 2023-12-31; currency USD; unit USD; scale actual; method preferred_direct</t>
  </si>
  <si>
    <t xml:space="preserve">FY 2024 operating_lease_liability_noncurrent: sec_native value 459000000; concept OperatingLeaseLiabilityNoncurrent; form 10-K; accession 0000018230-26-000008; filed 2026-02-13; period end 2024-12-31; currency USD; unit USD; scale actual; method preferred_direct</t>
  </si>
  <si>
    <t xml:space="preserve">FY 2025 operating_lease_liability_noncurrent: sec_native value 570000000; concept OperatingLeaseLiabilityNoncurrent; form 10-K; accession 0000018230-26-000008; filed 2026-02-13; period end 2025-12-31; currency USD; unit USD; scale actual; method preferred_direct</t>
  </si>
  <si>
    <t xml:space="preserve">FY 2021 lease_liabilities: derived value 642000000; concept OperatingLeaseLiabilityCurrent; form 10-K; accession 0000018230-23-000011; filed 2023-02-15; period end 2021-12-31; currency USD; unit USD; scale actual; method current_plus_noncurrent_operating_lease_liabilities</t>
  </si>
  <si>
    <t xml:space="preserve">FY 2021 lease_liabilities: derived value 642000000; concept OperatingLeaseLiabilityNoncurrent; form 10-K; accession 0000018230-23-000011; filed 2023-02-15; period end 2021-12-31; currency USD; unit USD; scale actual; method current_plus_noncurrent_operating_lease_liabilities</t>
  </si>
  <si>
    <t xml:space="preserve">FY 2022 lease_liabilities: derived value 579000000; concept OperatingLeaseLiabilityCurrent; form 10-K; accession 0000018230-24-000009; filed 2024-02-16; period end 2022-12-31; currency USD; unit USD; scale actual; method current_plus_noncurrent_operating_lease_liabilities</t>
  </si>
  <si>
    <t xml:space="preserve">FY 2022 lease_liabilities: derived value 579000000; concept OperatingLeaseLiabilityNoncurrent; form 10-K; accession 0000018230-24-000009; filed 2024-02-16; period end 2022-12-31; currency USD; unit USD; scale actual; method current_plus_noncurrent_operating_lease_liabilities</t>
  </si>
  <si>
    <t xml:space="preserve">FY 2023 lease_liabilities: derived value 574000000; concept OperatingLeaseLiabilityCurrent; form 10-K; accession 0000018230-25-000008; filed 2025-02-14; period end 2023-12-31; currency USD; unit USD; scale actual; method current_plus_noncurrent_operating_lease_liabilities</t>
  </si>
  <si>
    <t xml:space="preserve">FY 2023 lease_liabilities: derived value 574000000; concept OperatingLeaseLiabilityNoncurrent; form 10-K; accession 0000018230-25-000008; filed 2025-02-14; period end 2023-12-31; currency USD; unit USD; scale actual; method current_plus_noncurrent_operating_lease_liabilities</t>
  </si>
  <si>
    <t xml:space="preserve">FY 2024 lease_liabilities: derived value 602000000; concept OperatingLeaseLiabilityCurrent; form 10-K; accession 0000018230-26-000008; filed 2026-02-13; period end 2024-12-31; currency USD; unit USD; scale actual; method current_plus_noncurrent_operating_lease_liabilities</t>
  </si>
  <si>
    <t xml:space="preserve">FY 2024 lease_liabilities: derived value 602000000; concept OperatingLeaseLiabilityNoncurrent; form 10-K; accession 0000018230-26-000008; filed 2026-02-13; period end 2024-12-31; currency USD; unit USD; scale actual; method current_plus_noncurrent_operating_lease_liabilities</t>
  </si>
  <si>
    <t xml:space="preserve">FY 2025 lease_liabilities: derived value 728000000; concept OperatingLeaseLiabilityCurrent; form 10-K; accession 0000018230-26-000008; filed 2026-02-13; period end 2025-12-31; currency USD; unit USD; scale actual; method current_plus_noncurrent_operating_lease_liabilities</t>
  </si>
  <si>
    <t xml:space="preserve">FY 2025 lease_liabilities: derived value 728000000; concept OperatingLeaseLiabilityNoncurrent; form 10-K; accession 0000018230-26-000008; filed 2026-02-13; period end 2025-12-31; currency USD; unit USD; scale actual; method current_plus_noncurrent_operating_lease_liabilities</t>
  </si>
  <si>
    <t xml:space="preserve">FY 2021 book_value: sec_native value 32000000; concept MinorityInterest; form 10-K; accession 0000018230-23-000011; filed 2023-02-15; period end 2021-12-31; currency USD; unit USD; scale actual; method preferred_direct</t>
  </si>
  <si>
    <t xml:space="preserve">FY 2022 book_value: sec_native value 22000000; concept MinorityInterest; form 10-K; accession 0000018230-24-000009; filed 2024-02-16; period end 2022-12-31; currency USD; unit USD; scale actual; method preferred_direct</t>
  </si>
  <si>
    <t xml:space="preserve">FY 2023 book_value: sec_native value 9000000; concept MinorityInterest; form 10-K; accession 0000018230-25-000008; filed 2025-02-14; period end 2023-12-31; currency USD; unit USD; scale actual; method preferred_direct</t>
  </si>
  <si>
    <t xml:space="preserve">FY 2024 book_value: sec_native value 3000000; concept MinorityInterest; form 10-K; accession 0000018230-26-000008; filed 2026-02-13; period end 2024-12-31; currency USD; unit USD; scale actual; method preferred_direct</t>
  </si>
  <si>
    <t xml:space="preserve">FY 2025 book_value: sec_native value 0; concept MinorityInterest; form 10-K; accession 0000018230-26-000008; filed 2026-02-13; period end 2025-12-31; currency USD; unit USD; scale actual; method preferred_direct</t>
  </si>
  <si>
    <t xml:space="preserve">FY 2021 accounts_receivable: sec_native value 8477000000; concept AccountsReceivableNetCurrent; form 10-K; accession 0000018230-23-000011; filed 2023-02-15; period end 2021-12-31; currency USD; unit USD; scale actual; method preferred_direct</t>
  </si>
  <si>
    <t xml:space="preserve">FY 2022 accounts_receivable: sec_native value 8856000000; concept AccountsReceivableNetCurrent; form 10-K; accession 0000018230-24-000009; filed 2024-02-16; period end 2022-12-31; currency USD; unit USD; scale actual; method preferred_direct</t>
  </si>
  <si>
    <t xml:space="preserve">FY 2023 accounts_receivable: sec_native value 9310000000; concept AccountsReceivableNetCurrent; form 10-K; accession 0000018230-25-000008; filed 2025-02-14; period end 2023-12-31; currency USD; unit USD; scale actual; method preferred_direct</t>
  </si>
  <si>
    <t xml:space="preserve">FY 2024 accounts_receivable: sec_native value 9282000000; concept AccountsReceivableNetCurrent; form 10-K; accession 0000018230-26-000008; filed 2026-02-13; period end 2024-12-31; currency USD; unit USD; scale actual; method preferred_direct</t>
  </si>
  <si>
    <t xml:space="preserve">FY 2025 accounts_receivable: sec_native value 10920000000; concept AccountsReceivableNetCurrent; form 10-K; accession 0000018230-26-000008; filed 2026-02-13; period end 2025-12-31; currency USD; unit USD; scale actual; method preferred_direct</t>
  </si>
  <si>
    <t xml:space="preserve">FY 2021 inventory: sec_native value 14038000000; concept InventoryNet; form 10-K; accession 0000018230-23-000011; filed 2023-02-15; period end 2021-12-31; currency USD; unit USD; scale actual; method preferred_direct</t>
  </si>
  <si>
    <t xml:space="preserve">FY 2022 inventory: sec_native value 16270000000; concept InventoryNet; form 10-K; accession 0000018230-24-000009; filed 2024-02-16; period end 2022-12-31; currency USD; unit USD; scale actual; method preferred_direct</t>
  </si>
  <si>
    <t xml:space="preserve">FY 2023 inventory: sec_native value 16565000000; concept InventoryNet; form 10-K; accession 0000018230-25-000008; filed 2025-02-14; period end 2023-12-31; currency USD; unit USD; scale actual; method preferred_direct</t>
  </si>
  <si>
    <t xml:space="preserve">FY 2024 inventory: sec_native value 16827000000; concept InventoryNet; form 10-K; accession 0000018230-26-000008; filed 2026-02-13; period end 2024-12-31; currency USD; unit USD; scale actual; method preferred_direct</t>
  </si>
  <si>
    <t xml:space="preserve">FY 2025 inventory: sec_native value 18135000000; concept InventoryNet; form 10-K; accession 0000018230-26-000008; filed 2026-02-13; period end 2025-12-31; currency USD; unit USD; scale actual; method preferred_direct</t>
  </si>
  <si>
    <t xml:space="preserve">FY 2021 accounts_payable: sec_native value 8154000000; concept AccountsPayableCurrent; form 10-K; accession 0000018230-23-000011; filed 2023-02-15; period end 2021-12-31; currency USD; unit USD; scale actual; method preferred_direct</t>
  </si>
  <si>
    <t xml:space="preserve">FY 2022 accounts_payable: sec_native value 8689000000; concept AccountsPayableCurrent; form 10-K; accession 0000018230-24-000009; filed 2024-02-16; period end 2022-12-31; currency USD; unit USD; scale actual; method preferred_direct</t>
  </si>
  <si>
    <t xml:space="preserve">FY 2023 accounts_payable: sec_native value 7906000000; concept AccountsPayableCurrent; form 10-K; accession 0000018230-25-000008; filed 2025-02-14; period end 2023-12-31; currency USD; unit USD; scale actual; method preferred_direct</t>
  </si>
  <si>
    <t xml:space="preserve">FY 2024 accounts_payable: sec_native value 7675000000; concept AccountsPayableCurrent; form 10-K; accession 0000018230-26-000008; filed 2026-02-13; period end 2024-12-31; currency USD; unit USD; scale actual; method preferred_direct</t>
  </si>
  <si>
    <t xml:space="preserve">FY 2025 accounts_payable: sec_native value 8968000000; concept AccountsPayableCurrent; form 10-K; accession 0000018230-26-000008; filed 2026-02-13; period end 2025-12-31; currency USD; unit USD; scale actual; method preferred_direct</t>
  </si>
  <si>
    <t xml:space="preserve">FY 2021 total_assets: sec_native value 82793000000; concept Assets; form 10-K; accession 0000018230-23-000011; filed 2023-02-15; period end 2021-12-31; currency USD; unit USD; scale actual; method preferred_direct</t>
  </si>
  <si>
    <t xml:space="preserve">FY 2022 total_assets: sec_native value 81943000000; concept Assets; form 10-K; accession 0000018230-24-000009; filed 2024-02-16; period end 2022-12-31; currency USD; unit USD; scale actual; method preferred_direct</t>
  </si>
  <si>
    <t xml:space="preserve">FY 2023 total_assets: sec_native value 87476000000; concept Assets; form 10-K; accession 0000018230-25-000008; filed 2025-02-14; period end 2023-12-31; currency USD; unit USD; scale actual; method preferred_direct</t>
  </si>
  <si>
    <t xml:space="preserve">FY 2024 total_assets: sec_native value 87764000000; concept Assets; form 10-K; accession 0000018230-26-000008; filed 2026-02-13; period end 2024-12-31; currency USD; unit USD; scale actual; method preferred_direct</t>
  </si>
  <si>
    <t xml:space="preserve">FY 2025 total_assets: sec_native value 98585000000; concept Assets; form 10-K; accession 0000018230-26-000008; filed 2026-02-13; period end 2025-12-31; currency USD; unit USD; scale actual; method preferred_direct</t>
  </si>
  <si>
    <t xml:space="preserve">FY 2021 total_liabilities: sec_native value 66277000000; concept Liabilities; form 10-K; accession 0000018230-23-000011; filed 2023-02-15; period end 2021-12-31; currency USD; unit USD; scale actual; method preferred_direct</t>
  </si>
  <si>
    <t xml:space="preserve">FY 2022 total_liabilities: sec_native value 66052000000; concept Liabilities; form 10-K; accession 0000018230-24-000009; filed 2024-02-16; period end 2022-12-31; currency USD; unit USD; scale actual; method preferred_direct</t>
  </si>
  <si>
    <t xml:space="preserve">FY 2023 total_liabilities: sec_native value 67973000000; concept Liabilities; form 10-K; accession 0000018230-25-000008; filed 2025-02-14; period end 2023-12-31; currency USD; unit USD; scale actual; method preferred_direct</t>
  </si>
  <si>
    <t xml:space="preserve">FY 2024 total_liabilities: sec_native value 68270000000; concept Liabilities; form 10-K; accession 0000018230-26-000008; filed 2026-02-13; period end 2024-12-31; currency USD; unit USD; scale actual; method preferred_direct</t>
  </si>
  <si>
    <t xml:space="preserve">FY 2025 total_liabilities: sec_native value 77267000000; concept Liabilities; form 10-K; accession 0000018230-26-000008; filed 2026-02-13; period end 2025-12-31; currency USD; unit USD; scale actual; method preferred_direct</t>
  </si>
  <si>
    <t xml:space="preserve">FY 2021 retained_earnings: sec_native value 39282000000; concept RetainedEarningsAccumulatedDeficit; form 10-K; accession 0000018230-23-000011; filed 2023-02-15; period end 2021-12-31; currency USD; unit USD; scale actual; method preferred_direct</t>
  </si>
  <si>
    <t xml:space="preserve">FY 2022 retained_earnings: sec_native value 43514000000; concept RetainedEarningsAccumulatedDeficit; form 10-K; accession 0000018230-24-000009; filed 2024-02-16; period end 2022-12-31; currency USD; unit USD; scale actual; method preferred_direct</t>
  </si>
  <si>
    <t xml:space="preserve">FY 2023 retained_earnings: sec_native value 51250000000; concept RetainedEarningsAccumulatedDeficit; form 10-K; accession 0000018230-25-000008; filed 2025-02-14; period end 2023-12-31; currency USD; unit USD; scale actual; method preferred_direct</t>
  </si>
  <si>
    <t xml:space="preserve">FY 2024 retained_earnings: sec_native value 59352000000; concept RetainedEarningsAccumulatedDeficit; form 10-K; accession 0000018230-26-000008; filed 2026-02-13; period end 2024-12-31; currency USD; unit USD; scale actual; method preferred_direct</t>
  </si>
  <si>
    <t xml:space="preserve">FY 2025 retained_earnings: sec_native value 65448000000; concept RetainedEarningsAccumulatedDeficit; form 10-K; accession 0000018230-26-000008; filed 2026-02-13; period end 2025-12-31; currency USD; unit USD; scale actual; method preferred_direct</t>
  </si>
  <si>
    <t xml:space="preserve">FY 2021 dividends_paid: sec_native value 2332000000; concept PaymentsOfDividendsCommonStock; form 10-K; accession 0000018230-24-000009; filed 2024-02-16; period end 2021-12-31; currency USD; unit USD; scale actual; method preferred_direct</t>
  </si>
  <si>
    <t xml:space="preserve">FY 2022 dividends_paid: sec_native value 2440000000; concept PaymentsOfDividendsCommonStock; form 10-K; accession 0000018230-25-000008; filed 2025-02-14; period end 2022-12-31; currency USD; unit USD; scale actual; method preferred_direct</t>
  </si>
  <si>
    <t xml:space="preserve">FY 2023 dividends_paid: sec_native value 2563000000; concept PaymentsOfDividendsCommonStock; form 10-K; accession 0000018230-26-000008; filed 2026-02-13; period end 2023-12-31; currency USD; unit USD; scale actual; method preferred_direct</t>
  </si>
  <si>
    <t xml:space="preserve">FY 2024 dividends_paid: sec_native value 2646000000; concept PaymentsOfDividendsCommonStock; form 10-K; accession 0000018230-26-000008; filed 2026-02-13; period end 2024-12-31; currency USD; unit USD; scale actual; method preferred_direct</t>
  </si>
  <si>
    <t xml:space="preserve">FY 2025 dividends_paid: sec_native value 2749000000; concept PaymentsOfDividendsCommonStock; form 10-K; accession 0000018230-26-000008; filed 2026-02-13; period end 2025-12-31; currency USD; unit USD; scale actual; method preferred_direct</t>
  </si>
  <si>
    <t xml:space="preserve">FY 2021 non_controlling_interest: sec_native value 32000000; concept MinorityInterest; form 10-K; accession 0000018230-23-000011; filed 2023-02-15; period end 2021-12-31; currency USD; unit USD; scale actual; method preferred_direct</t>
  </si>
  <si>
    <t xml:space="preserve">FY 2022 non_controlling_interest: sec_native value 22000000; concept MinorityInterest; form 10-K; accession 0000018230-24-000009; filed 2024-02-16; period end 2022-12-31; currency USD; unit USD; scale actual; method preferred_direct</t>
  </si>
  <si>
    <t xml:space="preserve">FY 2023 non_controlling_interest: sec_native value 9000000; concept MinorityInterest; form 10-K; accession 0000018230-25-000008; filed 2025-02-14; period end 2023-12-31; currency USD; unit USD; scale actual; method preferred_direct</t>
  </si>
  <si>
    <t xml:space="preserve">FY 2024 non_controlling_interest: sec_native value 3000000; concept MinorityInterest; form 10-K; accession 0000018230-26-000008; filed 2026-02-13; period end 2024-12-31; currency USD; unit USD; scale actual; method preferred_direct</t>
  </si>
  <si>
    <t xml:space="preserve">FY 2025 non_controlling_interest: sec_native value 0; concept MinorityInterest; form 10-K; accession 0000018230-26-000008; filed 2026-02-13; period end 2025-12-31; currency USD; unit USD; scale actual; method preferred_direct</t>
  </si>
  <si>
    <t xml:space="preserve">FY 2021 preferred_equity: not applicable; no_preferred_stock_fact_disclosed_in_filed_10k.</t>
  </si>
  <si>
    <t xml:space="preserve">FY 2022 preferred_equity: not applicable; no_preferred_stock_fact_disclosed_in_filed_10k.</t>
  </si>
  <si>
    <t xml:space="preserve">FY 2023 preferred_equity: not applicable; no_preferred_stock_fact_disclosed_in_filed_10k.</t>
  </si>
  <si>
    <t xml:space="preserve">FY 2024 preferred_equity: not applicable; no_preferred_stock_fact_disclosed_in_filed_10k.</t>
  </si>
  <si>
    <t xml:space="preserve">FY 2025 preferred_equity: not applicable; no_preferred_stock_fact_disclosed_in_filed_10k.</t>
  </si>
  <si>
    <t xml:space="preserve">FY 2021 total_current_assets: sec_native value 43455000000; concept AssetsCurrent; form 10-K; accession 0000018230-23-000011; filed 2023-02-15; period end 2021-12-31; currency USD; unit USD; scale actual; method preferred_direct</t>
  </si>
  <si>
    <t xml:space="preserve">FY 2022 total_current_assets: sec_native value 43785000000; concept AssetsCurrent; form 10-K; accession 0000018230-24-000009; filed 2024-02-16; period end 2022-12-31; currency USD; unit USD; scale actual; method preferred_direct</t>
  </si>
  <si>
    <t xml:space="preserve">FY 2023 total_current_assets: sec_native value 46949000000; concept AssetsCurrent; form 10-K; accession 0000018230-25-000008; filed 2025-02-14; period end 2023-12-31; currency USD; unit USD; scale actual; method preferred_direct</t>
  </si>
  <si>
    <t xml:space="preserve">FY 2024 total_current_assets: sec_native value 45682000000; concept AssetsCurrent; form 10-K; accession 0000018230-26-000008; filed 2026-02-13; period end 2024-12-31; currency USD; unit USD; scale actual; method preferred_direct</t>
  </si>
  <si>
    <t xml:space="preserve">FY 2025 total_current_assets: sec_native value 52485000000; concept AssetsCurrent; form 10-K; accession 0000018230-26-000008; filed 2026-02-13; period end 2025-12-31; currency USD; unit USD; scale actual; method preferred_direct</t>
  </si>
  <si>
    <t xml:space="preserve">FY 2021 other_current_assets: sec_native value 2788000000; concept PrepaidExpenseAndOtherAssetsCurrent; form 10-K; accession 0000018230-23-000011; filed 2023-02-15; period end 2021-12-31; currency USD; unit USD; scale actual; method preferred_direct</t>
  </si>
  <si>
    <t xml:space="preserve">FY 2022 other_current_assets: sec_native value 2642000000; concept PrepaidExpenseAndOtherAssetsCurrent; form 10-K; accession 0000018230-24-000009; filed 2024-02-16; period end 2022-12-31; currency USD; unit USD; scale actual; method preferred_direct</t>
  </si>
  <si>
    <t xml:space="preserve">FY 2023 other_current_assets: sec_native value 4586000000; concept PrepaidExpenseAndOtherAssetsCurrent; form 10-K; accession 0000018230-25-000008; filed 2025-02-14; period end 2023-12-31; currency USD; unit USD; scale actual; method preferred_direct</t>
  </si>
  <si>
    <t xml:space="preserve">FY 2024 other_current_assets: sec_native value 3119000000; concept PrepaidExpenseAndOtherAssetsCurrent; form 10-K; accession 0000018230-26-000008; filed 2026-02-13; period end 2024-12-31; currency USD; unit USD; scale actual; method preferred_direct</t>
  </si>
  <si>
    <t xml:space="preserve">FY 2025 other_current_assets: sec_native value 2801000000; concept PrepaidExpenseAndOtherAssetsCurrent; form 10-K; accession 0000018230-26-000008; filed 2026-02-13; period end 2025-12-31; currency USD; unit USD; scale actual; method preferred_direct</t>
  </si>
  <si>
    <t xml:space="preserve">FY 2021 ppe_net: sec_native value 12090000000; concept PropertyPlantAndEquipmentNet; form 10-K; accession 0000018230-23-000011; filed 2023-02-15; period end 2021-12-31; currency USD; unit USD; scale actual; method preferred_direct</t>
  </si>
  <si>
    <t xml:space="preserve">FY 2022 ppe_net: sec_native value 12028000000; concept PropertyPlantAndEquipmentNet; form 10-K; accession 0000018230-24-000009; filed 2024-02-16; period end 2022-12-31; currency USD; unit USD; scale actual; method preferred_direct</t>
  </si>
  <si>
    <t xml:space="preserve">FY 2023 ppe_net: sec_native value 12680000000; concept PropertyPlantAndEquipmentNet; form 10-K; accession 0000018230-25-000008; filed 2025-02-14; period end 2023-12-31; currency USD; unit USD; scale actual; method preferred_direct</t>
  </si>
  <si>
    <t xml:space="preserve">FY 2024 ppe_net: sec_native value 13361000000; concept PropertyPlantAndEquipmentNet; form 10-K; accession 0000018230-26-000008; filed 2026-02-13; period end 2024-12-31; currency USD; unit USD; scale actual; method preferred_direct</t>
  </si>
  <si>
    <t xml:space="preserve">FY 2025 ppe_net: sec_native value 15140000000; concept PropertyPlantAndEquipmentNet; form 10-K; accession 0000018230-26-000008; filed 2026-02-13; period end 2025-12-31; currency USD; unit USD; scale actual; method preferred_direct</t>
  </si>
  <si>
    <t xml:space="preserve">FY 2021 other_assets: sec_native value 4131000000; concept OtherAssetsNoncurrent; form 10-K; accession 0000018230-23-000011; filed 2023-02-15; period end 2021-12-31; currency USD; unit USD; scale actual; method preferred_direct</t>
  </si>
  <si>
    <t xml:space="preserve">FY 2022 other_assets: sec_native value 4593000000; concept OtherAssetsNoncurrent; form 10-K; accession 0000018230-24-000009; filed 2024-02-16; period end 2022-12-31; currency USD; unit USD; scale actual; method preferred_direct</t>
  </si>
  <si>
    <t xml:space="preserve">FY 2023 other_assets: sec_native value 5257000000; concept OtherAssetsNoncurrent; form 10-K; accession 0000018230-25-000008; filed 2025-02-14; period end 2023-12-31; currency USD; unit USD; scale actual; method preferred_direct</t>
  </si>
  <si>
    <t xml:space="preserve">FY 2024 other_assets: sec_native value 5302000000; concept OtherAssetsNoncurrent; form 10-K; accession 0000018230-26-000008; filed 2026-02-13; period end 2024-12-31; currency USD; unit USD; scale actual; method preferred_direct</t>
  </si>
  <si>
    <t xml:space="preserve">FY 2025 other_assets: sec_native value 6102000000; concept OtherAssetsNoncurrent; form 10-K; accession 0000018230-26-000008; filed 2026-02-13; period end 2025-12-31; currency USD; unit USD; scale actual; method preferred_direct</t>
  </si>
  <si>
    <t xml:space="preserve">FY 2021 other_liabilities: sec_native value 4805000000; concept OtherLiabilitiesNoncurrent; form 10-K; accession 0000018230-23-000011; filed 2023-02-15; period end 2021-12-31; currency USD; unit USD; scale actual; method preferred_direct</t>
  </si>
  <si>
    <t xml:space="preserve">FY 2022 other_liabilities: sec_native value 4604000000; concept OtherLiabilitiesNoncurrent; form 10-K; accession 0000018230-24-000009; filed 2024-02-16; period end 2022-12-31; currency USD; unit USD; scale actual; method preferred_direct</t>
  </si>
  <si>
    <t xml:space="preserve">FY 2023 other_liabilities: sec_native value 4675000000; concept OtherLiabilitiesNoncurrent; form 10-K; accession 0000018230-25-000008; filed 2025-02-14; period end 2023-12-31; currency USD; unit USD; scale actual; method preferred_direct</t>
  </si>
  <si>
    <t xml:space="preserve">FY 2024 other_liabilities: sec_native value 4890000000; concept OtherLiabilitiesNoncurrent; form 10-K; accession 0000018230-26-000008; filed 2026-02-13; period end 2024-12-31; currency USD; unit USD; scale actual; method preferred_direct</t>
  </si>
  <si>
    <t xml:space="preserve">FY 2025 other_liabilities: sec_native value 6175000000; concept OtherLiabilitiesNoncurrent; form 10-K; accession 0000018230-26-000008; filed 2026-02-13; period end 2025-12-31; currency USD; unit USD; scale actual; method preferred_direct</t>
  </si>
  <si>
    <t xml:space="preserve">FY 2021 total_current_liabilities: sec_native value 29847000000; concept LiabilitiesCurrent; form 10-K; accession 0000018230-23-000011; filed 2023-02-15; period end 2021-12-31; currency USD; unit USD; scale actual; method preferred_direct</t>
  </si>
  <si>
    <t xml:space="preserve">FY 2022 total_current_liabilities: sec_native value 31531000000; concept LiabilitiesCurrent; form 10-K; accession 0000018230-24-000009; filed 2024-02-16; period end 2022-12-31; currency USD; unit USD; scale actual; method preferred_direct</t>
  </si>
  <si>
    <t xml:space="preserve">FY 2023 total_current_liabilities: sec_native value 34728000000; concept LiabilitiesCurrent; form 10-K; accession 0000018230-25-000008; filed 2025-02-14; period end 2023-12-31; currency USD; unit USD; scale actual; method preferred_direct</t>
  </si>
  <si>
    <t xml:space="preserve">FY 2024 total_current_liabilities: sec_native value 32272000000; concept LiabilitiesCurrent; form 10-K; accession 0000018230-26-000008; filed 2026-02-13; period end 2024-12-31; currency USD; unit USD; scale actual; method preferred_direct</t>
  </si>
  <si>
    <t xml:space="preserve">FY 2025 total_current_liabilities: sec_native value 36558000000; concept LiabilitiesCurrent; form 10-K; accession 0000018230-26-000008; filed 2026-02-13; period end 2025-12-31; currency USD; unit USD; scale actual; method preferred_direct</t>
  </si>
  <si>
    <t xml:space="preserve">FY 2021 other_current_liabilities: sec_native value 2256000000; concept us-gaap:OtherLiabilitiesCurrent; form 10-K; accession 0000018230-23-000011; filed 2023-02-15; period end 2021-12-31; currency USD; unit USD; scale actual; method companyfacts_preferred_direct</t>
  </si>
  <si>
    <t xml:space="preserve">FY 2022 other_current_liabilities: sec_native value 2690000000; concept us-gaap:OtherLiabilitiesCurrent; form 10-K; accession 0000018230-24-000009; filed 2024-02-16; period end 2022-12-31; currency USD; unit USD; scale actual; method companyfacts_preferred_direct</t>
  </si>
  <si>
    <t xml:space="preserve">FY 2023 other_current_liabilities: sec_native value 3123000000; concept us-gaap:OtherLiabilitiesCurrent; form 10-K; accession 0000018230-25-000008; filed 2025-02-14; period end 2023-12-31; currency USD; unit USD; scale actual; method companyfacts_preferred_direct</t>
  </si>
  <si>
    <t xml:space="preserve">FY 2024 other_current_liabilities: sec_native value 2909000000; concept us-gaap:OtherLiabilitiesCurrent; form 10-K; accession 0000018230-26-000008; filed 2026-02-13; period end 2024-12-31; currency USD; unit USD; scale actual; method companyfacts_preferred_direct</t>
  </si>
  <si>
    <t xml:space="preserve">FY 2025 other_current_liabilities: sec_native value 2798000000; concept us-gaap:OtherLiabilitiesCurrent; form 10-K; accession 0000018230-26-000008; filed 2026-02-13; period end 2025-12-31; currency USD; unit USD; scale actual; method companyfacts_preferred_direct</t>
  </si>
  <si>
    <t xml:space="preserve">FY 2021 deferred_revenue: sec_native value 1557000000; concept us-gaap:ContractWithCustomerLiability; form 10-K; accession 0000018230-24-000009; filed 2024-02-16; period end 2021-12-31; currency USD; unit USD; scale actual; method companyfacts_preferred_direct</t>
  </si>
  <si>
    <t xml:space="preserve">FY 2022 deferred_revenue: sec_native value 2314000000; concept us-gaap:ContractWithCustomerLiability; form 10-K; accession 0000018230-25-000008; filed 2025-02-14; period end 2022-12-31; currency USD; unit USD; scale actual; method companyfacts_preferred_direct</t>
  </si>
  <si>
    <t xml:space="preserve">FY 2023 deferred_revenue: sec_native value 2389000000; concept us-gaap:ContractWithCustomerLiability; form 10-K; accession 0000018230-26-000008; filed 2026-02-13; period end 2023-12-31; currency USD; unit USD; scale actual; method companyfacts_preferred_direct</t>
  </si>
  <si>
    <t xml:space="preserve">FY 2024 deferred_revenue: sec_native value 2745000000; concept us-gaap:ContractWithCustomerLiability; form 10-K; accession 0000018230-26-000008; filed 2026-02-13; period end 2024-12-31; currency USD; unit USD; scale actual; method companyfacts_preferred_direct</t>
  </si>
  <si>
    <t xml:space="preserve">FY 2025 deferred_revenue: sec_native value 4678000000; concept us-gaap:ContractWithCustomerLiability; form 10-K; accession 0000018230-26-000008; filed 2026-02-13; period end 2025-12-31; currency USD; unit USD; scale actual; method companyfacts_preferred_direct</t>
  </si>
  <si>
    <t xml:space="preserve">FY 2021 research_and_development: sec_native value 1686000000; concept ResearchAndDevelopmentExpense; form 10-K; accession 0000018230-24-000009; filed 2024-02-16; period end 2021-12-31; currency USD; unit USD; scale actual; method preferred_direct</t>
  </si>
  <si>
    <t xml:space="preserve">FY 2022 research_and_development: sec_native value 1814000000; concept ResearchAndDevelopmentExpense; form 10-K; accession 0000018230-25-000008; filed 2025-02-14; period end 2022-12-31; currency USD; unit USD; scale actual; method preferred_direct</t>
  </si>
  <si>
    <t xml:space="preserve">FY 2023 research_and_development: sec_native value 2108000000; concept ResearchAndDevelopmentExpense; form 10-K; accession 0000018230-26-000008; filed 2026-02-13; period end 2023-12-31; currency USD; unit USD; scale actual; method preferred_direct</t>
  </si>
  <si>
    <t xml:space="preserve">FY 2024 research_and_development: sec_native value 2107000000; concept ResearchAndDevelopmentExpense; form 10-K; accession 0000018230-26-000008; filed 2026-02-13; period end 2024-12-31; currency USD; unit USD; scale actual; method preferred_direct</t>
  </si>
  <si>
    <t xml:space="preserve">FY 2025 research_and_development: sec_native value 2148000000; concept ResearchAndDevelopmentExpense; form 10-K; accession 0000018230-26-000008; filed 2026-02-13; period end 2025-12-31; currency USD; unit USD; scale actual; method preferred_direct</t>
  </si>
  <si>
    <t xml:space="preserve">FY 2021 general_and_administrative: sec_native value 5365000000; concept SellingGeneralAndAdministrativeExpense; form 10-K; accession 0000018230-24-000009; filed 2024-02-16; period end 2021-12-31; currency USD; unit USD; scale actual; method preferred_direct</t>
  </si>
  <si>
    <t xml:space="preserve">FY 2022 general_and_administrative: sec_native value 5651000000; concept SellingGeneralAndAdministrativeExpense; form 10-K; accession 0000018230-25-000008; filed 2025-02-14; period end 2022-12-31; currency USD; unit USD; scale actual; method preferred_direct</t>
  </si>
  <si>
    <t xml:space="preserve">FY 2023 general_and_administrative: sec_native value 6371000000; concept SellingGeneralAndAdministrativeExpense; form 10-K; accession 0000018230-26-000008; filed 2026-02-13; period end 2023-12-31; currency USD; unit USD; scale actual; method preferred_direct</t>
  </si>
  <si>
    <t xml:space="preserve">FY 2024 general_and_administrative: sec_native value 6667000000; concept SellingGeneralAndAdministrativeExpense; form 10-K; accession 0000018230-26-000008; filed 2026-02-13; period end 2024-12-31; currency USD; unit USD; scale actual; method preferred_direct</t>
  </si>
  <si>
    <t xml:space="preserve">FY 2025 general_and_administrative: sec_native value 6985000000; concept SellingGeneralAndAdministrativeExpense; form 10-K; accession 0000018230-26-000008; filed 2026-02-13; period end 2025-12-31; currency USD; unit USD; scale actual; method preferred_direct</t>
  </si>
  <si>
    <t xml:space="preserve">FY 2021 other_operating_expenses: derived value 1074000000; concept Revenues; form 10-K; accession 0000018230-24-000009; filed 2024-02-16; period end 2021-12-31; currency USD; unit USD; scale actual; method gross_profit_less_ebit_rd_and_sga</t>
  </si>
  <si>
    <t xml:space="preserve">FY 2021 other_operating_expenses: derived value 1074000000; concept CostsAndExpenses; form 10-K; accession 0000018230-24-000009; filed 2024-02-16; period end 2021-12-31; currency USD; unit USD; scale actual; method gross_profit_less_ebit_rd_and_sga</t>
  </si>
  <si>
    <t xml:space="preserve">FY 2021 other_operating_expenses: derived value 1074000000; concept SellingGeneralAndAdministrativeExpense; form 10-K; accession 0000018230-24-000009; filed 2024-02-16; period end 2021-12-31; currency USD; unit USD; scale actual; method gross_profit_less_ebit_rd_and_sga</t>
  </si>
  <si>
    <t xml:space="preserve">FY 2021 other_operating_expenses: derived value 1074000000; concept ResearchAndDevelopmentExpense; form 10-K; accession 0000018230-24-000009; filed 2024-02-16; period end 2021-12-31; currency USD; unit USD; scale actual; method gross_profit_less_ebit_rd_and_sga</t>
  </si>
  <si>
    <t xml:space="preserve">FY 2021 other_operating_expenses: derived value 1074000000; concept OtherOperatingIncomeExpenseNet; form 10-K; accession 0000018230-24-000009; filed 2024-02-16; period end 2021-12-31; currency USD; unit USD; scale actual; method gross_profit_less_ebit_rd_and_sga</t>
  </si>
  <si>
    <t xml:space="preserve">FY 2021 other_operating_expenses: derived value 1074000000; concept OperatingIncomeLoss; form 10-K; accession 0000018230-24-000009; filed 2024-02-16; period end 2021-12-31; currency USD; unit USD; scale actual; method gross_profit_less_ebit_rd_and_sga</t>
  </si>
  <si>
    <t xml:space="preserve">FY 2022 other_operating_expenses: derived value 1218000000; concept Revenues; form 10-K; accession 0000018230-25-000008; filed 2025-02-14; period end 2022-12-31; currency USD; unit USD; scale actual; method gross_profit_less_ebit_rd_and_sga</t>
  </si>
  <si>
    <t xml:space="preserve">FY 2022 other_operating_expenses: derived value 1218000000; concept CostsAndExpenses; form 10-K; accession 0000018230-25-000008; filed 2025-02-14; period end 2022-12-31; currency USD; unit USD; scale actual; method gross_profit_less_ebit_rd_and_sga</t>
  </si>
  <si>
    <t xml:space="preserve">FY 2022 other_operating_expenses: derived value 1218000000; concept SellingGeneralAndAdministrativeExpense; form 10-K; accession 0000018230-25-000008; filed 2025-02-14; period end 2022-12-31; currency USD; unit USD; scale actual; method gross_profit_less_ebit_rd_and_sga</t>
  </si>
  <si>
    <t xml:space="preserve">FY 2022 other_operating_expenses: derived value 1218000000; concept ResearchAndDevelopmentExpense; form 10-K; accession 0000018230-25-000008; filed 2025-02-14; period end 2022-12-31; currency USD; unit USD; scale actual; method gross_profit_less_ebit_rd_and_sga</t>
  </si>
  <si>
    <t xml:space="preserve">FY 2022 other_operating_expenses: derived value 1218000000; concept OtherOperatingIncomeExpenseNet; form 10-K; accession 0000018230-25-000008; filed 2025-02-14; period end 2022-12-31; currency USD; unit USD; scale actual; method gross_profit_less_ebit_rd_and_sga</t>
  </si>
  <si>
    <t xml:space="preserve">FY 2022 other_operating_expenses: derived value 1218000000; concept OperatingIncomeLoss; form 10-K; accession 0000018230-25-000008; filed 2025-02-14; period end 2022-12-31; currency USD; unit USD; scale actual; method gross_profit_less_ebit_rd_and_sga</t>
  </si>
  <si>
    <t xml:space="preserve">FY 2023 other_operating_expenses: derived value 1818000000; concept Revenues; form 10-K; accession 0000018230-26-000008; filed 2026-02-13; period end 2023-12-31; currency USD; unit USD; scale actual; method gross_profit_less_ebit_rd_and_sga</t>
  </si>
  <si>
    <t xml:space="preserve">FY 2023 other_operating_expenses: derived value 1818000000; concept CostsAndExpenses; form 10-K; accession 0000018230-26-000008; filed 2026-02-13; period end 2023-12-31; currency USD; unit USD; scale actual; method gross_profit_less_ebit_rd_and_sga</t>
  </si>
  <si>
    <t xml:space="preserve">FY 2023 other_operating_expenses: derived value 1818000000; concept SellingGeneralAndAdministrativeExpense; form 10-K; accession 0000018230-26-000008; filed 2026-02-13; period end 2023-12-31; currency USD; unit USD; scale actual; method gross_profit_less_ebit_rd_and_sga</t>
  </si>
  <si>
    <t xml:space="preserve">FY 2023 other_operating_expenses: derived value 1818000000; concept ResearchAndDevelopmentExpense; form 10-K; accession 0000018230-26-000008; filed 2026-02-13; period end 2023-12-31; currency USD; unit USD; scale actual; method gross_profit_less_ebit_rd_and_sga</t>
  </si>
  <si>
    <t xml:space="preserve">FY 2023 other_operating_expenses: derived value 1818000000; concept OtherOperatingIncomeExpenseNet; form 10-K; accession 0000018230-26-000008; filed 2026-02-13; period end 2023-12-31; currency USD; unit USD; scale actual; method gross_profit_less_ebit_rd_and_sga</t>
  </si>
  <si>
    <t xml:space="preserve">FY 2023 other_operating_expenses: derived value 1818000000; concept OperatingIncomeLoss; form 10-K; accession 0000018230-26-000008; filed 2026-02-13; period end 2023-12-31; currency USD; unit USD; scale actual; method gross_profit_less_ebit_rd_and_sga</t>
  </si>
  <si>
    <t xml:space="preserve">FY 2024 other_operating_expenses: derived value 1478000000; concept Revenues; form 10-K; accession 0000018230-26-000008; filed 2026-02-13; period end 2024-12-31; currency USD; unit USD; scale actual; method gross_profit_less_ebit_rd_and_sga</t>
  </si>
  <si>
    <t xml:space="preserve">FY 2024 other_operating_expenses: derived value 1478000000; concept CostsAndExpenses; form 10-K; accession 0000018230-26-000008; filed 2026-02-13; period end 2024-12-31; currency USD; unit USD; scale actual; method gross_profit_less_ebit_rd_and_sga</t>
  </si>
  <si>
    <t xml:space="preserve">FY 2024 other_operating_expenses: derived value 1478000000; concept SellingGeneralAndAdministrativeExpense; form 10-K; accession 0000018230-26-000008; filed 2026-02-13; period end 2024-12-31; currency USD; unit USD; scale actual; method gross_profit_less_ebit_rd_and_sga</t>
  </si>
  <si>
    <t xml:space="preserve">FY 2024 other_operating_expenses: derived value 1478000000; concept ResearchAndDevelopmentExpense; form 10-K; accession 0000018230-26-000008; filed 2026-02-13; period end 2024-12-31; currency USD; unit USD; scale actual; method gross_profit_less_ebit_rd_and_sga</t>
  </si>
  <si>
    <t xml:space="preserve">FY 2024 other_operating_expenses: derived value 1478000000; concept OtherOperatingIncomeExpenseNet; form 10-K; accession 0000018230-26-000008; filed 2026-02-13; period end 2024-12-31; currency USD; unit USD; scale actual; method gross_profit_less_ebit_rd_and_sga</t>
  </si>
  <si>
    <t xml:space="preserve">FY 2024 other_operating_expenses: derived value 1478000000; concept OperatingIncomeLoss; form 10-K; accession 0000018230-26-000008; filed 2026-02-13; period end 2024-12-31; currency USD; unit USD; scale actual; method gross_profit_less_ebit_rd_and_sga</t>
  </si>
  <si>
    <t xml:space="preserve">FY 2025 other_operating_expenses: derived value 1194000000; concept Revenues; form 10-K; accession 0000018230-26-000008; filed 2026-02-13; period end 2025-12-31; currency USD; unit USD; scale actual; method gross_profit_less_ebit_rd_and_sga</t>
  </si>
  <si>
    <t xml:space="preserve">FY 2025 other_operating_expenses: derived value 1194000000; concept CostsAndExpenses; form 10-K; accession 0000018230-26-000008; filed 2026-02-13; period end 2025-12-31; currency USD; unit USD; scale actual; method gross_profit_less_ebit_rd_and_sga</t>
  </si>
  <si>
    <t xml:space="preserve">FY 2025 other_operating_expenses: derived value 1194000000; concept SellingGeneralAndAdministrativeExpense; form 10-K; accession 0000018230-26-000008; filed 2026-02-13; period end 2025-12-31; currency USD; unit USD; scale actual; method gross_profit_less_ebit_rd_and_sga</t>
  </si>
  <si>
    <t xml:space="preserve">FY 2025 other_operating_expenses: derived value 1194000000; concept ResearchAndDevelopmentExpense; form 10-K; accession 0000018230-26-000008; filed 2026-02-13; period end 2025-12-31; currency USD; unit USD; scale actual; method gross_profit_less_ebit_rd_and_sga</t>
  </si>
  <si>
    <t xml:space="preserve">FY 2025 other_operating_expenses: derived value 1194000000; concept OtherOperatingIncomeExpenseNet; form 10-K; accession 0000018230-26-000008; filed 2026-02-13; period end 2025-12-31; currency USD; unit USD; scale actual; method gross_profit_less_ebit_rd_and_sga</t>
  </si>
  <si>
    <t xml:space="preserve">FY 2025 other_operating_expenses: derived value 1194000000; concept OperatingIncomeLoss; form 10-K; accession 0000018230-26-000008; filed 2026-02-13; period end 2025-12-31; currency USD; unit USD; scale actual; method gross_profit_less_ebit_rd_and_sga</t>
  </si>
  <si>
    <t xml:space="preserve">FY 2021 deferred_tax: sec_native value -383000000; concept DeferredIncomeTaxExpenseBenefit; form 10-K; accession 0000018230-24-000009; filed 2024-02-16; period end 2021-12-31; currency USD; unit USD; scale actual; method preferred_direct</t>
  </si>
  <si>
    <t xml:space="preserve">FY 2022 deferred_tax: sec_native value -377000000; concept DeferredIncomeTaxExpenseBenefit; form 10-K; accession 0000018230-25-000008; filed 2025-02-14; period end 2022-12-31; currency USD; unit USD; scale actual; method preferred_direct</t>
  </si>
  <si>
    <t xml:space="preserve">FY 2023 deferred_tax: sec_native value -592000000; concept DeferredIncomeTaxExpenseBenefit; form 10-K; accession 0000018230-26-000008; filed 2026-02-13; period end 2023-12-31; currency USD; unit USD; scale actual; method preferred_direct</t>
  </si>
  <si>
    <t xml:space="preserve">FY 2024 deferred_tax: sec_native value -621000000; concept DeferredIncomeTaxExpenseBenefit; form 10-K; accession 0000018230-26-000008; filed 2026-02-13; period end 2024-12-31; currency USD; unit USD; scale actual; method preferred_direct</t>
  </si>
  <si>
    <t xml:space="preserve">FY 2025 deferred_tax: sec_native value 465000000; concept DeferredIncomeTaxExpenseBenefit; form 10-K; accession 0000018230-26-000008; filed 2026-02-13; period end 2025-12-31; currency USD; unit USD; scale actual; method preferred_direct</t>
  </si>
  <si>
    <t xml:space="preserve">FY 2021 nwc_change: not applicable; no_prior_fiscal_period.</t>
  </si>
  <si>
    <t xml:space="preserve">FY 2022 nwc_change: derived value 2076000000; concept AccountsReceivableNetCurrent; form 10-K; accession 0000018230-24-000009; filed 2024-02-16; period end 2022-12-31; currency USD; unit USD; scale actual; method change_in_accounts_receivable_plus_inventory_less_accounts_payable</t>
  </si>
  <si>
    <t xml:space="preserve">FY 2022 nwc_change: derived value 2076000000; concept InventoryNet; form 10-K; accession 0000018230-24-000009; filed 2024-02-16; period end 2022-12-31; currency USD; unit USD; scale actual; method change_in_accounts_receivable_plus_inventory_less_accounts_payable</t>
  </si>
  <si>
    <t xml:space="preserve">FY 2022 nwc_change: derived value 2076000000; concept AccountsPayableCurrent; form 10-K; accession 0000018230-24-000009; filed 2024-02-16; period end 2022-12-31; currency USD; unit USD; scale actual; method change_in_accounts_receivable_plus_inventory_less_accounts_payable</t>
  </si>
  <si>
    <t xml:space="preserve">FY 2022 nwc_change: derived value 2076000000; concept AccountsReceivableNetCurrent; form 10-K; accession 0000018230-23-000011; filed 2023-02-15; period end 2021-12-31; currency USD; unit USD; scale actual; method change_in_accounts_receivable_plus_inventory_less_accounts_payable</t>
  </si>
  <si>
    <t xml:space="preserve">FY 2022 nwc_change: derived value 2076000000; concept InventoryNet; form 10-K; accession 0000018230-23-000011; filed 2023-02-15; period end 2021-12-31; currency USD; unit USD; scale actual; method change_in_accounts_receivable_plus_inventory_less_accounts_payable</t>
  </si>
  <si>
    <t xml:space="preserve">FY 2022 nwc_change: derived value 2076000000; concept AccountsPayableCurrent; form 10-K; accession 0000018230-23-000011; filed 2023-02-15; period end 2021-12-31; currency USD; unit USD; scale actual; method change_in_accounts_receivable_plus_inventory_less_accounts_payable</t>
  </si>
  <si>
    <t xml:space="preserve">FY 2023 nwc_change: derived value 1532000000; concept AccountsReceivableNetCurrent; form 10-K; accession 0000018230-25-000008; filed 2025-02-14; period end 2023-12-31; currency USD; unit USD; scale actual; method change_in_accounts_receivable_plus_inventory_less_accounts_payable</t>
  </si>
  <si>
    <t xml:space="preserve">FY 2023 nwc_change: derived value 1532000000; concept InventoryNet; form 10-K; accession 0000018230-25-000008; filed 2025-02-14; period end 2023-12-31; currency USD; unit USD; scale actual; method change_in_accounts_receivable_plus_inventory_less_accounts_payable</t>
  </si>
  <si>
    <t xml:space="preserve">FY 2023 nwc_change: derived value 1532000000; concept AccountsPayableCurrent; form 10-K; accession 0000018230-25-000008; filed 2025-02-14; period end 2023-12-31; currency USD; unit USD; scale actual; method change_in_accounts_receivable_plus_inventory_less_accounts_payable</t>
  </si>
  <si>
    <t xml:space="preserve">FY 2023 nwc_change: derived value 1532000000; concept AccountsReceivableNetCurrent; form 10-K; accession 0000018230-24-000009; filed 2024-02-16; period end 2022-12-31; currency USD; unit USD; scale actual; method change_in_accounts_receivable_plus_inventory_less_accounts_payable</t>
  </si>
  <si>
    <t xml:space="preserve">FY 2023 nwc_change: derived value 1532000000; concept InventoryNet; form 10-K; accession 0000018230-24-000009; filed 2024-02-16; period end 2022-12-31; currency USD; unit USD; scale actual; method change_in_accounts_receivable_plus_inventory_less_accounts_payable</t>
  </si>
  <si>
    <t xml:space="preserve">FY 2023 nwc_change: derived value 1532000000; concept AccountsPayableCurrent; form 10-K; accession 0000018230-24-000009; filed 2024-02-16; period end 2022-12-31; currency USD; unit USD; scale actual; method change_in_accounts_receivable_plus_inventory_less_accounts_payable</t>
  </si>
  <si>
    <t xml:space="preserve">FY 2024 nwc_change: derived value 465000000; concept AccountsReceivableNetCurrent; form 10-K; accession 0000018230-26-000008; filed 2026-02-13; period end 2024-12-31; currency USD; unit USD; scale actual; method change_in_accounts_receivable_plus_inventory_less_accounts_payable</t>
  </si>
  <si>
    <t xml:space="preserve">FY 2024 nwc_change: derived value 465000000; concept InventoryNet; form 10-K; accession 0000018230-26-000008; filed 2026-02-13; period end 2024-12-31; currency USD; unit USD; scale actual; method change_in_accounts_receivable_plus_inventory_less_accounts_payable</t>
  </si>
  <si>
    <t xml:space="preserve">FY 2024 nwc_change: derived value 465000000; concept AccountsPayableCurrent; form 10-K; accession 0000018230-26-000008; filed 2026-02-13; period end 2024-12-31; currency USD; unit USD; scale actual; method change_in_accounts_receivable_plus_inventory_less_accounts_payable</t>
  </si>
  <si>
    <t xml:space="preserve">FY 2024 nwc_change: derived value 465000000; concept AccountsReceivableNetCurrent; form 10-K; accession 0000018230-25-000008; filed 2025-02-14; period end 2023-12-31; currency USD; unit USD; scale actual; method change_in_accounts_receivable_plus_inventory_less_accounts_payable</t>
  </si>
  <si>
    <t xml:space="preserve">FY 2024 nwc_change: derived value 465000000; concept InventoryNet; form 10-K; accession 0000018230-25-000008; filed 2025-02-14; period end 2023-12-31; currency USD; unit USD; scale actual; method change_in_accounts_receivable_plus_inventory_less_accounts_payable</t>
  </si>
  <si>
    <t xml:space="preserve">FY 2024 nwc_change: derived value 465000000; concept AccountsPayableCurrent; form 10-K; accession 0000018230-25-000008; filed 2025-02-14; period end 2023-12-31; currency USD; unit USD; scale actual; method change_in_accounts_receivable_plus_inventory_less_accounts_payable</t>
  </si>
  <si>
    <t xml:space="preserve">FY 2025 nwc_change: derived value 1653000000; concept AccountsReceivableNetCurrent; form 10-K; accession 0000018230-26-000008; filed 2026-02-13; period end 2025-12-31; currency USD; unit USD; scale actual; method change_in_accounts_receivable_plus_inventory_less_accounts_payable</t>
  </si>
  <si>
    <t xml:space="preserve">FY 2025 nwc_change: derived value 1653000000; concept InventoryNet; form 10-K; accession 0000018230-26-000008; filed 2026-02-13; period end 2025-12-31; currency USD; unit USD; scale actual; method change_in_accounts_receivable_plus_inventory_less_accounts_payable</t>
  </si>
  <si>
    <t xml:space="preserve">FY 2025 nwc_change: derived value 1653000000; concept AccountsPayableCurrent; form 10-K; accession 0000018230-26-000008; filed 2026-02-13; period end 2025-12-31; currency USD; unit USD; scale actual; method change_in_accounts_receivable_plus_inventory_less_accounts_payable</t>
  </si>
  <si>
    <t xml:space="preserve">FY 2025 nwc_change: derived value 1653000000; concept AccountsReceivableNetCurrent; form 10-K; accession 0000018230-26-000008; filed 2026-02-13; period end 2024-12-31; currency USD; unit USD; scale actual; method change_in_accounts_receivable_plus_inventory_less_accounts_payable</t>
  </si>
  <si>
    <t xml:space="preserve">FY 2025 nwc_change: derived value 1653000000; concept InventoryNet; form 10-K; accession 0000018230-26-000008; filed 2026-02-13; period end 2024-12-31; currency USD; unit USD; scale actual; method change_in_accounts_receivable_plus_inventory_less_accounts_payable</t>
  </si>
  <si>
    <t xml:space="preserve">FY 2025 nwc_change: derived value 1653000000; concept AccountsPayableCurrent; form 10-K; accession 0000018230-26-000008; filed 2026-02-13; period end 2024-12-31; currency USD; unit USD; scale actual; method change_in_accounts_receivable_plus_inventory_less_accounts_payable</t>
  </si>
  <si>
    <t xml:space="preserve">FY 2021 operating_net_working_capital: derived value 4354000000; concept AssetsCurrent; form 10-K; accession 0000018230-23-000011; filed 2023-02-15; period end 2021-12-31; currency USD; unit USD; scale actual; method noncash_current_assets_less_current_liabilities_plus_current_debt</t>
  </si>
  <si>
    <t xml:space="preserve">FY 2021 operating_net_working_capital: derived value 4354000000; concept CashAndCashEquivalentsAtCarryingValue; form 10-K; accession 0000018230-23-000011; filed 2023-02-15; period end 2021-12-31; currency USD; unit USD; scale actual; method noncash_current_assets_less_current_liabilities_plus_current_debt</t>
  </si>
  <si>
    <t xml:space="preserve">FY 2021 operating_net_working_capital: derived value 4354000000; concept unavailable; form 10-K; accession 0000018230-22-000050; filed 2022-02-16; period end 2021-12-31; currency USD; unit USD; scale actual; method noncash_current_assets_less_current_liabilities_plus_current_debt</t>
  </si>
  <si>
    <t xml:space="preserve">FY 2021 operating_net_working_capital: derived value 4354000000; concept LiabilitiesCurrent; form 10-K; accession 0000018230-23-000011; filed 2023-02-15; period end 2021-12-31; currency USD; unit USD; scale actual; method noncash_current_assets_less_current_liabilities_plus_current_debt</t>
  </si>
  <si>
    <t xml:space="preserve">FY 2022 operating_net_working_capital: derived value 5250000000; concept AssetsCurrent; form 10-K; accession 0000018230-24-000009; filed 2024-02-16; period end 2022-12-31; currency USD; unit USD; scale actual; method noncash_current_assets_less_current_liabilities_plus_current_debt</t>
  </si>
  <si>
    <t xml:space="preserve">FY 2022 operating_net_working_capital: derived value 5250000000; concept CashAndCashEquivalentsAtCarryingValue; form 10-K; accession 0000018230-24-000009; filed 2024-02-16; period end 2022-12-31; currency USD; unit USD; scale actual; method noncash_current_assets_less_current_liabilities_plus_current_debt</t>
  </si>
  <si>
    <t xml:space="preserve">FY 2022 operating_net_working_capital: derived value 5250000000; concept unavailable; form 10-K; accession 0000018230-23-000011; filed 2023-02-15; period end 2022-12-31; currency USD; unit USD; scale actual; method noncash_current_assets_less_current_liabilities_plus_current_debt</t>
  </si>
  <si>
    <t xml:space="preserve">FY 2022 operating_net_working_capital: derived value 5250000000; concept LiabilitiesCurrent; form 10-K; accession 0000018230-24-000009; filed 2024-02-16; period end 2022-12-31; currency USD; unit USD; scale actual; method noncash_current_assets_less_current_liabilities_plus_current_debt</t>
  </si>
  <si>
    <t xml:space="preserve">FY 2023 operating_net_working_capital: derived value 5243000000; concept AssetsCurrent; form 10-K; accession 0000018230-25-000008; filed 2025-02-14; period end 2023-12-31; currency USD; unit USD; scale actual; method noncash_current_assets_less_current_liabilities_plus_current_debt</t>
  </si>
  <si>
    <t xml:space="preserve">FY 2023 operating_net_working_capital: derived value 5243000000; concept CashAndCashEquivalentsAtCarryingValue; form 10-K; accession 0000018230-25-000008; filed 2025-02-14; period end 2023-12-31; currency USD; unit USD; scale actual; method noncash_current_assets_less_current_liabilities_plus_current_debt</t>
  </si>
  <si>
    <t xml:space="preserve">FY 2023 operating_net_working_capital: derived value 5243000000; concept unavailable; form 10-K; accession 0000018230-24-000009; filed 2024-02-16; period end 2023-12-31; currency USD; unit USD; scale actual; method noncash_current_assets_less_current_liabilities_plus_current_debt</t>
  </si>
  <si>
    <t xml:space="preserve">FY 2023 operating_net_working_capital: derived value 5243000000; concept LiabilitiesCurrent; form 10-K; accession 0000018230-25-000008; filed 2025-02-14; period end 2023-12-31; currency USD; unit USD; scale actual; method noncash_current_assets_less_current_liabilities_plus_current_debt</t>
  </si>
  <si>
    <t xml:space="preserve">FY 2024 operating_net_working_capital: derived value 6521000000; concept AssetsCurrent; form 10-K; accession 0000018230-26-000008; filed 2026-02-13; period end 2024-12-31; currency USD; unit USD; scale actual; method noncash_current_assets_less_current_liabilities_plus_current_debt</t>
  </si>
  <si>
    <t xml:space="preserve">FY 2024 operating_net_working_capital: derived value 6521000000; concept CashAndCashEquivalentsAtCarryingValue; form 10-K; accession 0000018230-26-000008; filed 2026-02-13; period end 2024-12-31; currency USD; unit USD; scale actual; method noncash_current_assets_less_current_liabilities_plus_current_debt</t>
  </si>
  <si>
    <t xml:space="preserve">FY 2024 operating_net_working_capital: derived value 6521000000; concept unavailable; form 10-K; accession 0000018230-25-000008; filed 2025-02-14; period end 2024-12-31; currency USD; unit USD; scale actual; method noncash_current_assets_less_current_liabilities_plus_current_debt</t>
  </si>
  <si>
    <t xml:space="preserve">FY 2024 operating_net_working_capital: derived value 6521000000; concept LiabilitiesCurrent; form 10-K; accession 0000018230-26-000008; filed 2026-02-13; period end 2024-12-31; currency USD; unit USD; scale actual; method noncash_current_assets_less_current_liabilities_plus_current_debt</t>
  </si>
  <si>
    <t xml:space="preserve">FY 2025 operating_net_working_capital: derived value 5947000000; concept AssetsCurrent; form 10-K; accession 0000018230-26-000008; filed 2026-02-13; period end 2025-12-31; currency USD; unit USD; scale actual; method noncash_current_assets_less_current_liabilities_plus_current_debt</t>
  </si>
  <si>
    <t xml:space="preserve">FY 2025 operating_net_working_capital: derived value 5947000000; concept CashAndCashEquivalentsAtCarryingValue; form 10-K; accession 0000018230-26-000008; filed 2026-02-13; period end 2025-12-31; currency USD; unit USD; scale actual; method noncash_current_assets_less_current_liabilities_plus_current_debt</t>
  </si>
  <si>
    <t xml:space="preserve">FY 2025 operating_net_working_capital: derived value 5947000000; concept unavailable; form 10-K; accession 0000018230-26-000008; filed 2026-02-13; period end 2025-12-31; currency USD; unit USD; scale actual; method noncash_current_assets_less_current_liabilities_plus_current_debt</t>
  </si>
  <si>
    <t xml:space="preserve">FY 2025 operating_net_working_capital: derived value 5947000000; concept LiabilitiesCurrent; form 10-K; accession 0000018230-26-000008; filed 2026-02-13; period end 2025-12-31; currency USD; unit USD; scale actual; method noncash_current_assets_less_current_liabilities_plus_current_debt</t>
  </si>
  <si>
    <t xml:space="preserve">FY 2021 fcff: not applicable; no_prior_fiscal_period.</t>
  </si>
  <si>
    <t xml:space="preserve">FY 2022 fcff: derived value 1235278190.4118843; concept OperatingIncomeLoss; form 10-K; accession 0000018230-25-000008; filed 2025-02-14; period end 2022-12-31; currency USD; unit USD; scale actual; method ebit_after_tax_plus_da_less_capex_and_nwc_change</t>
  </si>
  <si>
    <t xml:space="preserve">FY 2022 fcff: derived value 1235278190.4118843; concept IncomeTaxExpenseBenefit; form 10-K; accession 0000018230-25-000008; filed 2025-02-14; period end 2022-12-31; currency USD; unit USD; scale actual; method ebit_after_tax_plus_da_less_capex_and_nwc_change</t>
  </si>
  <si>
    <t xml:space="preserve">FY 2022 fcff: derived value 1235278190.4118843; concept IncomeLossFromContinuingOperationsBeforeIncomeTaxesDomestic; form 10-K; accession 0000018230-25-000008; filed 2025-02-14; period end 2022-12-31; currency USD; unit USD; scale actual; method ebit_after_tax_plus_da_less_capex_and_nwc_change</t>
  </si>
  <si>
    <t xml:space="preserve">FY 2022 fcff: derived value 1235278190.4118843; concept DepreciationDepletionAndAmortization; form 10-K; accession 0000018230-25-000008; filed 2025-02-14; period end 2022-12-31; currency USD; unit USD; scale actual; method ebit_after_tax_plus_da_less_capex_and_nwc_change</t>
  </si>
  <si>
    <t xml:space="preserve">FY 2022 fcff: derived value 1235278190.4118843; concept PaymentsToAcquirePropertyPlantAndEquipment; form 10-K; accession 0000018230-25-000008; filed 2025-02-14; period end 2022-12-31; currency USD; unit USD; scale actual; method ebit_after_tax_plus_da_less_capex_and_nwc_change</t>
  </si>
  <si>
    <t xml:space="preserve">FY 2022 fcff: derived value 1235278190.4118843; concept AccountsReceivableNetCurrent; form 10-K; accession 0000018230-24-000009; filed 2024-02-16; period end 2022-12-31; currency USD; unit USD; scale actual; method ebit_after_tax_plus_da_less_capex_and_nwc_change</t>
  </si>
  <si>
    <t xml:space="preserve">FY 2022 fcff: derived value 1235278190.4118843; concept InventoryNet; form 10-K; accession 0000018230-24-000009; filed 2024-02-16; period end 2022-12-31; currency USD; unit USD; scale actual; method ebit_after_tax_plus_da_less_capex_and_nwc_change</t>
  </si>
  <si>
    <t xml:space="preserve">FY 2022 fcff: derived value 1235278190.4118843; concept AccountsPayableCurrent; form 10-K; accession 0000018230-24-000009; filed 2024-02-16; period end 2022-12-31; currency USD; unit USD; scale actual; method ebit_after_tax_plus_da_less_capex_and_nwc_change</t>
  </si>
  <si>
    <t xml:space="preserve">FY 2022 fcff: derived value 1235278190.4118843; concept AccountsReceivableNetCurrent; form 10-K; accession 0000018230-23-000011; filed 2023-02-15; period end 2021-12-31; currency USD; unit USD; scale actual; method ebit_after_tax_plus_da_less_capex_and_nwc_change</t>
  </si>
  <si>
    <t xml:space="preserve">FY 2022 fcff: derived value 1235278190.4118843; concept InventoryNet; form 10-K; accession 0000018230-23-000011; filed 2023-02-15; period end 2021-12-31; currency USD; unit USD; scale actual; method ebit_after_tax_plus_da_less_capex_and_nwc_change</t>
  </si>
  <si>
    <t xml:space="preserve">FY 2022 fcff: derived value 1235278190.4118843; concept AccountsPayableCurrent; form 10-K; accession 0000018230-23-000011; filed 2023-02-15; period end 2021-12-31; currency USD; unit USD; scale actual; method ebit_after_tax_plus_da_less_capex_and_nwc_change</t>
  </si>
  <si>
    <t xml:space="preserve">FY 2023 fcff: derived value 6401788178.864304; concept OperatingIncomeLoss; form 10-K; accession 0000018230-26-000008; filed 2026-02-13; period end 2023-12-31; currency USD; unit USD; scale actual; method ebit_after_tax_plus_da_less_capex_and_nwc_change</t>
  </si>
  <si>
    <t xml:space="preserve">FY 2023 fcff: derived value 6401788178.864304; concept IncomeTaxExpenseBenefit; form 10-K; accession 0000018230-26-000008; filed 2026-02-13; period end 2023-12-31; currency USD; unit USD; scale actual; method ebit_after_tax_plus_da_less_capex_and_nwc_change</t>
  </si>
  <si>
    <t xml:space="preserve">FY 2023 fcff: derived value 6401788178.864304; concept IncomeLossFromContinuingOperationsBeforeIncomeTaxesDomestic; form 10-K; accession 0000018230-26-000008; filed 2026-02-13; period end 2023-12-31; currency USD; unit USD; scale actual; method ebit_after_tax_plus_da_less_capex_and_nwc_change</t>
  </si>
  <si>
    <t xml:space="preserve">FY 2023 fcff: derived value 6401788178.864304; concept DepreciationDepletionAndAmortization; form 10-K; accession 0000018230-26-000008; filed 2026-02-13; period end 2023-12-31; currency USD; unit USD; scale actual; method ebit_after_tax_plus_da_less_capex_and_nwc_change</t>
  </si>
  <si>
    <t xml:space="preserve">FY 2023 fcff: derived value 6401788178.864304; concept PaymentsToAcquirePropertyPlantAndEquipment; form 10-K; accession 0000018230-26-000008; filed 2026-02-13; period end 2023-12-31; currency USD; unit USD; scale actual; method ebit_after_tax_plus_da_less_capex_and_nwc_change</t>
  </si>
  <si>
    <t xml:space="preserve">FY 2023 fcff: derived value 6401788178.864304; concept AccountsReceivableNetCurrent; form 10-K; accession 0000018230-25-000008; filed 2025-02-14; period end 2023-12-31; currency USD; unit USD; scale actual; method ebit_after_tax_plus_da_less_capex_and_nwc_change</t>
  </si>
  <si>
    <t xml:space="preserve">FY 2023 fcff: derived value 6401788178.864304; concept InventoryNet; form 10-K; accession 0000018230-25-000008; filed 2025-02-14; period end 2023-12-31; currency USD; unit USD; scale actual; method ebit_after_tax_plus_da_less_capex_and_nwc_change</t>
  </si>
  <si>
    <t xml:space="preserve">FY 2023 fcff: derived value 6401788178.864304; concept AccountsPayableCurrent; form 10-K; accession 0000018230-25-000008; filed 2025-02-14; period end 2023-12-31; currency USD; unit USD; scale actual; method ebit_after_tax_plus_da_less_capex_and_nwc_change</t>
  </si>
  <si>
    <t xml:space="preserve">FY 2023 fcff: derived value 6401788178.864304; concept AccountsReceivableNetCurrent; form 10-K; accession 0000018230-24-000009; filed 2024-02-16; period end 2022-12-31; currency USD; unit USD; scale actual; method ebit_after_tax_plus_da_less_capex_and_nwc_change</t>
  </si>
  <si>
    <t xml:space="preserve">FY 2023 fcff: derived value 6401788178.864304; concept InventoryNet; form 10-K; accession 0000018230-24-000009; filed 2024-02-16; period end 2022-12-31; currency USD; unit USD; scale actual; method ebit_after_tax_plus_da_less_capex_and_nwc_change</t>
  </si>
  <si>
    <t xml:space="preserve">FY 2023 fcff: derived value 6401788178.864304; concept AccountsPayableCurrent; form 10-K; accession 0000018230-24-000009; filed 2024-02-16; period end 2022-12-31; currency USD; unit USD; scale actual; method ebit_after_tax_plus_da_less_capex_and_nwc_change</t>
  </si>
  <si>
    <t xml:space="preserve">FY 2024 fcff: derived value 7245984885.029747; concept OperatingIncomeLoss; form 10-K; accession 0000018230-26-000008; filed 2026-02-13; period end 2024-12-31; currency USD; unit USD; scale actual; method ebit_after_tax_plus_da_less_capex_and_nwc_change</t>
  </si>
  <si>
    <t xml:space="preserve">FY 2024 fcff: derived value 7245984885.029747; concept IncomeTaxExpenseBenefit; form 10-K; accession 0000018230-26-000008; filed 2026-02-13; period end 2024-12-31; currency USD; unit USD; scale actual; method ebit_after_tax_plus_da_less_capex_and_nwc_change</t>
  </si>
  <si>
    <t xml:space="preserve">FY 2024 fcff: derived value 7245984885.029747; concept IncomeLossFromContinuingOperationsBeforeIncomeTaxesDomestic; form 10-K; accession 0000018230-26-000008; filed 2026-02-13; period end 2024-12-31; currency USD; unit USD; scale actual; method ebit_after_tax_plus_da_less_capex_and_nwc_change</t>
  </si>
  <si>
    <t xml:space="preserve">FY 2024 fcff: derived value 7245984885.029747; concept DepreciationDepletionAndAmortization; form 10-K; accession 0000018230-26-000008; filed 2026-02-13; period end 2024-12-31; currency USD; unit USD; scale actual; method ebit_after_tax_plus_da_less_capex_and_nwc_change</t>
  </si>
  <si>
    <t xml:space="preserve">FY 2024 fcff: derived value 7245984885.029747; concept PaymentsToAcquirePropertyPlantAndEquipment; form 10-K; accession 0000018230-26-000008; filed 2026-02-13; period end 2024-12-31; currency USD; unit USD; scale actual; method ebit_after_tax_plus_da_less_capex_and_nwc_change</t>
  </si>
  <si>
    <t xml:space="preserve">FY 2024 fcff: derived value 7245984885.029747; concept AccountsReceivableNetCurrent; form 10-K; accession 0000018230-26-000008; filed 2026-02-13; period end 2024-12-31; currency USD; unit USD; scale actual; method ebit_after_tax_plus_da_less_capex_and_nwc_change</t>
  </si>
  <si>
    <t xml:space="preserve">FY 2024 fcff: derived value 7245984885.029747; concept InventoryNet; form 10-K; accession 0000018230-26-000008; filed 2026-02-13; period end 2024-12-31; currency USD; unit USD; scale actual; method ebit_after_tax_plus_da_less_capex_and_nwc_change</t>
  </si>
  <si>
    <t xml:space="preserve">FY 2024 fcff: derived value 7245984885.029747; concept AccountsPayableCurrent; form 10-K; accession 0000018230-26-000008; filed 2026-02-13; period end 2024-12-31; currency USD; unit USD; scale actual; method ebit_after_tax_plus_da_less_capex_and_nwc_change</t>
  </si>
  <si>
    <t xml:space="preserve">FY 2024 fcff: derived value 7245984885.029747; concept AccountsReceivableNetCurrent; form 10-K; accession 0000018230-25-000008; filed 2025-02-14; period end 2023-12-31; currency USD; unit USD; scale actual; method ebit_after_tax_plus_da_less_capex_and_nwc_change</t>
  </si>
  <si>
    <t xml:space="preserve">FY 2024 fcff: derived value 7245984885.029747; concept InventoryNet; form 10-K; accession 0000018230-25-000008; filed 2025-02-14; period end 2023-12-31; currency USD; unit USD; scale actual; method ebit_after_tax_plus_da_less_capex_and_nwc_change</t>
  </si>
  <si>
    <t xml:space="preserve">FY 2024 fcff: derived value 7245984885.029747; concept AccountsPayableCurrent; form 10-K; accession 0000018230-25-000008; filed 2025-02-14; period end 2023-12-31; currency USD; unit USD; scale actual; method ebit_after_tax_plus_da_less_capex_and_nwc_change</t>
  </si>
  <si>
    <t xml:space="preserve">FY 2025 fcff: derived value 3230479933.4196415; concept OperatingIncomeLoss; form 10-K; accession 0000018230-26-000008; filed 2026-02-13; period end 2025-12-31; currency USD; unit USD; scale actual; method ebit_after_tax_plus_da_less_capex_and_nwc_change</t>
  </si>
  <si>
    <t xml:space="preserve">FY 2025 fcff: derived value 3230479933.4196415; concept IncomeTaxExpenseBenefit; form 10-K; accession 0000018230-26-000008; filed 2026-02-13; period end 2025-12-31; currency USD; unit USD; scale actual; method ebit_after_tax_plus_da_less_capex_and_nwc_change</t>
  </si>
  <si>
    <t xml:space="preserve">FY 2025 fcff: derived value 3230479933.4196415; concept IncomeLossFromContinuingOperationsBeforeIncomeTaxesDomestic; form 10-K; accession 0000018230-26-000008; filed 2026-02-13; period end 2025-12-31; currency USD; unit USD; scale actual; method ebit_after_tax_plus_da_less_capex_and_nwc_change</t>
  </si>
  <si>
    <t xml:space="preserve">FY 2025 fcff: derived value 3230479933.4196415; concept DepreciationDepletionAndAmortization; form 10-K; accession 0000018230-26-000008; filed 2026-02-13; period end 2025-12-31; currency USD; unit USD; scale actual; method ebit_after_tax_plus_da_less_capex_and_nwc_change</t>
  </si>
  <si>
    <t xml:space="preserve">FY 2025 fcff: derived value 3230479933.4196415; concept PaymentsToAcquirePropertyPlantAndEquipment; form 10-K; accession 0000018230-26-000008; filed 2026-02-13; period end 2025-12-31; currency USD; unit USD; scale actual; method ebit_after_tax_plus_da_less_capex_and_nwc_change</t>
  </si>
  <si>
    <t xml:space="preserve">FY 2025 fcff: derived value 3230479933.4196415; concept AccountsReceivableNetCurrent; form 10-K; accession 0000018230-26-000008; filed 2026-02-13; period end 2025-12-31; currency USD; unit USD; scale actual; method ebit_after_tax_plus_da_less_capex_and_nwc_change</t>
  </si>
  <si>
    <t xml:space="preserve">FY 2025 fcff: derived value 3230479933.4196415; concept InventoryNet; form 10-K; accession 0000018230-26-000008; filed 2026-02-13; period end 2025-12-31; currency USD; unit USD; scale actual; method ebit_after_tax_plus_da_less_capex_and_nwc_change</t>
  </si>
  <si>
    <t xml:space="preserve">FY 2025 fcff: derived value 3230479933.4196415; concept AccountsPayableCurrent; form 10-K; accession 0000018230-26-000008; filed 2026-02-13; period end 2025-12-31; currency USD; unit USD; scale actual; method ebit_after_tax_plus_da_less_capex_and_nwc_change</t>
  </si>
  <si>
    <t xml:space="preserve">FY 2025 fcff: derived value 3230479933.4196415; concept AccountsReceivableNetCurrent; form 10-K; accession 0000018230-26-000008; filed 2026-02-13; period end 2024-12-31; currency USD; unit USD; scale actual; method ebit_after_tax_plus_da_less_capex_and_nwc_change</t>
  </si>
  <si>
    <t xml:space="preserve">FY 2025 fcff: derived value 3230479933.4196415; concept InventoryNet; form 10-K; accession 0000018230-26-000008; filed 2026-02-13; period end 2024-12-31; currency USD; unit USD; scale actual; method ebit_after_tax_plus_da_less_capex_and_nwc_change</t>
  </si>
  <si>
    <t xml:space="preserve">FY 2025 fcff: derived value 3230479933.4196415; concept AccountsPayableCurrent; form 10-K; accession 0000018230-26-000008; filed 2026-02-13; period end 2024-12-31; currency USD; unit USD; scale actual; method ebit_after_tax_plus_da_less_capex_and_nwc_change</t>
  </si>
  <si>
    <t xml:space="preserve">FY 2021 balance_sheet_check: derived value 16452000000; concept Assets; form 10-K; accession 0000018230-23-000011; filed 2023-02-15; period end 2021-12-31; currency USD; unit USD; scale actual; method assets_less_liabilities_equity_and_nci</t>
  </si>
  <si>
    <t xml:space="preserve">FY 2021 balance_sheet_check: derived value 16452000000; concept Liabilities; form 10-K; accession 0000018230-23-000011; filed 2023-02-15; period end 2021-12-31; currency USD; unit USD; scale actual; method assets_less_liabilities_equity_and_nci</t>
  </si>
  <si>
    <t xml:space="preserve">FY 2021 balance_sheet_check: derived value 16452000000; concept MinorityInterest; form 10-K; accession 0000018230-23-000011; filed 2023-02-15; period end 2021-12-31; currency USD; unit USD; scale actual; method assets_less_liabilities_equity_and_nci</t>
  </si>
  <si>
    <t xml:space="preserve">FY 2022 balance_sheet_check: derived value 15847000000; concept Assets; form 10-K; accession 0000018230-24-000009; filed 2024-02-16; period end 2022-12-31; currency USD; unit USD; scale actual; method assets_less_liabilities_equity_and_nci</t>
  </si>
  <si>
    <t xml:space="preserve">FY 2022 balance_sheet_check: derived value 15847000000; concept Liabilities; form 10-K; accession 0000018230-24-000009; filed 2024-02-16; period end 2022-12-31; currency USD; unit USD; scale actual; method assets_less_liabilities_equity_and_nci</t>
  </si>
  <si>
    <t xml:space="preserve">FY 2022 balance_sheet_check: derived value 15847000000; concept MinorityInterest; form 10-K; accession 0000018230-24-000009; filed 2024-02-16; period end 2022-12-31; currency USD; unit USD; scale actual; method assets_less_liabilities_equity_and_nci</t>
  </si>
  <si>
    <t xml:space="preserve">FY 2023 balance_sheet_check: derived value 19485000000; concept Assets; form 10-K; accession 0000018230-25-000008; filed 2025-02-14; period end 2023-12-31; currency USD; unit USD; scale actual; method assets_less_liabilities_equity_and_nci</t>
  </si>
  <si>
    <t xml:space="preserve">FY 2023 balance_sheet_check: derived value 19485000000; concept Liabilities; form 10-K; accession 0000018230-25-000008; filed 2025-02-14; period end 2023-12-31; currency USD; unit USD; scale actual; method assets_less_liabilities_equity_and_nci</t>
  </si>
  <si>
    <t xml:space="preserve">FY 2023 balance_sheet_check: derived value 19485000000; concept MinorityInterest; form 10-K; accession 0000018230-25-000008; filed 2025-02-14; period end 2023-12-31; currency USD; unit USD; scale actual; method assets_less_liabilities_equity_and_nci</t>
  </si>
  <si>
    <t xml:space="preserve">FY 2024 balance_sheet_check: derived value 19488000000; concept Assets; form 10-K; accession 0000018230-26-000008; filed 2026-02-13; period end 2024-12-31; currency USD; unit USD; scale actual; method assets_less_liabilities_equity_and_nci</t>
  </si>
  <si>
    <t xml:space="preserve">FY 2024 balance_sheet_check: derived value 19488000000; concept Liabilities; form 10-K; accession 0000018230-26-000008; filed 2026-02-13; period end 2024-12-31; currency USD; unit USD; scale actual; method assets_less_liabilities_equity_and_nci</t>
  </si>
  <si>
    <t xml:space="preserve">FY 2024 balance_sheet_check: derived value 19488000000; concept MinorityInterest; form 10-K; accession 0000018230-26-000008; filed 2026-02-13; period end 2024-12-31; currency USD; unit USD; scale actual; method assets_less_liabilities_equity_and_nci</t>
  </si>
  <si>
    <t xml:space="preserve">FY 2025 balance_sheet_check: derived value 21318000000; concept Assets; form 10-K; accession 0000018230-26-000008; filed 2026-02-13; period end 2025-12-31; currency USD; unit USD; scale actual; method assets_less_liabilities_equity_and_nci</t>
  </si>
  <si>
    <t xml:space="preserve">FY 2025 balance_sheet_check: derived value 21318000000; concept Liabilities; form 10-K; accession 0000018230-26-000008; filed 2026-02-13; period end 2025-12-31; currency USD; unit USD; scale actual; method assets_less_liabilities_equity_and_nci</t>
  </si>
  <si>
    <t xml:space="preserve">FY 2025 balance_sheet_check: derived value 21318000000; concept MinorityInterest; form 10-K; accession 0000018230-26-000008; filed 2026-02-13; period end 2025-12-31; currency USD; unit USD; scale actual; method assets_less_liabilities_equity_and_nci</t>
  </si>
  <si>
    <t xml:space="preserve">FY 2021 tax_rate: derived value 0.6357664233576642; concept IncomeTaxExpenseBenefit; form 10-K; accession 0000018230-24-000009; filed 2024-02-16; period end 2021-12-31; currency USD; unit USD; scale actual; method income_tax_expense_over_pretax_income</t>
  </si>
  <si>
    <t xml:space="preserve">FY 2021 tax_rate: derived value 0.6357664233576642; concept IncomeLossFromContinuingOperationsBeforeIncomeTaxesDomestic; form 10-K; accession 0000018230-24-000009; filed 2024-02-16; period end 2021-12-31; currency USD; unit USD; scale actual; method income_tax_expense_over_pretax_income</t>
  </si>
  <si>
    <t xml:space="preserve">FY 2022 tax_rate: derived value 0.6978392977717758; concept IncomeTaxExpenseBenefit; form 10-K; accession 0000018230-25-000008; filed 2025-02-14; period end 2022-12-31; currency USD; unit USD; scale actual; method income_tax_expense_over_pretax_income</t>
  </si>
  <si>
    <t xml:space="preserve">FY 2022 tax_rate: derived value 0.6978392977717758; concept IncomeLossFromContinuingOperationsBeforeIncomeTaxesDomestic; form 10-K; accession 0000018230-25-000008; filed 2025-02-14; period end 2022-12-31; currency USD; unit USD; scale actual; method income_tax_expense_over_pretax_income</t>
  </si>
  <si>
    <t xml:space="preserve">FY 2023 tax_rate: derived value 0.43029552839238744; concept IncomeTaxExpenseBenefit; form 10-K; accession 0000018230-26-000008; filed 2026-02-13; period end 2023-12-31; currency USD; unit USD; scale actual; method income_tax_expense_over_pretax_income</t>
  </si>
  <si>
    <t xml:space="preserve">FY 2023 tax_rate: derived value 0.43029552839238744; concept IncomeLossFromContinuingOperationsBeforeIncomeTaxesDomestic; form 10-K; accession 0000018230-26-000008; filed 2026-02-13; period end 2023-12-31; currency USD; unit USD; scale actual; method income_tax_expense_over_pretax_income</t>
  </si>
  <si>
    <t xml:space="preserve">FY 2024 tax_rate: derived value 0.4227367744010291; concept IncomeTaxExpenseBenefit; form 10-K; accession 0000018230-26-000008; filed 2026-02-13; period end 2024-12-31; currency USD; unit USD; scale actual; method income_tax_expense_over_pretax_income</t>
  </si>
  <si>
    <t xml:space="preserve">FY 2024 tax_rate: derived value 0.4227367744010291; concept IncomeLossFromContinuingOperationsBeforeIncomeTaxesDomestic; form 10-K; accession 0000018230-26-000008; filed 2026-02-13; period end 2024-12-31; currency USD; unit USD; scale actual; method income_tax_expense_over_pretax_income</t>
  </si>
  <si>
    <t xml:space="preserve">FY 2025 tax_rate: derived value 0.5119289809506196; concept IncomeTaxExpenseBenefit; form 10-K; accession 0000018230-26-000008; filed 2026-02-13; period end 2025-12-31; currency USD; unit USD; scale actual; method income_tax_expense_over_pretax_income</t>
  </si>
  <si>
    <t xml:space="preserve">FY 2025 tax_rate: derived value 0.5119289809506196; concept IncomeLossFromContinuingOperationsBeforeIncomeTaxesDomestic; form 10-K; accession 0000018230-26-000008; filed 2026-02-13; period end 2025-12-31; currency USD; unit USD; scale actual; method income_tax_expense_over_pretax_income</t>
  </si>
  <si>
    <t xml:space="preserve">FY 2021 shares: sec_native value 548500000; concept us-gaap:WeightedAverageNumberOfDilutedSharesOutstanding; form 10-K; accession 0000018230-24-000009; filed 2024-02-16; period end 2021-12-31; currency unavailable; unit shares; scale actual; method companyfacts_preferred_direct</t>
  </si>
  <si>
    <t xml:space="preserve">FY 2022 shares: sec_native value 530400000; concept us-gaap:WeightedAverageNumberOfDilutedSharesOutstanding; form 10-K; accession 0000018230-25-000008; filed 2025-02-14; period end 2022-12-31; currency unavailable; unit shares; scale actual; method companyfacts_preferred_direct</t>
  </si>
  <si>
    <t xml:space="preserve">FY 2023 shares: sec_native value 513600000; concept us-gaap:WeightedAverageNumberOfDilutedSharesOutstanding; form 10-K; accession 0000018230-26-000008; filed 2026-02-13; period end 2023-12-31; currency unavailable; unit shares; scale actual; method companyfacts_preferred_direct</t>
  </si>
  <si>
    <t xml:space="preserve">FY 2024 shares: sec_native value 489400000; concept us-gaap:WeightedAverageNumberOfDilutedSharesOutstanding; form 10-K; accession 0000018230-26-000008; filed 2026-02-13; period end 2024-12-31; currency unavailable; unit shares; scale actual; method companyfacts_preferred_direct</t>
  </si>
  <si>
    <t xml:space="preserve">FY 2025 shares: sec_native value 472300000; concept us-gaap:WeightedAverageNumberOfDilutedSharesOutstanding; form 10-K; accession 0000018230-26-000008; filed 2026-02-13; period end 2025-12-31; currency unavailable; unit shares; scale actual; method companyfacts_preferred_direct</t>
  </si>
  <si>
    <t xml:space="preserve">FY2025 operating lease liabilities are 728000000; lease expense remains in EBIT/FCFF, so leases are not deducted again in the enterprise-to-common-equity bridge.</t>
  </si>
  <si>
    <t xml:space="preserve">EV/EBITDA valuation applies the median of 5 current source-ready peer multiples (DE 28.25x, PCAR 19.53x, CNH 39.53x, AGCO 10.51x, CMI 15.57x); peer set source curated, fetched 2026-10-03T22:04:25.336Z.</t>
  </si>
  <si>
    <t xml:space="preserve">Target ebitda is FY2025 filed ebitda (0000018230-26-000008; filed 2026-02-13); the peer median is an editable formula in the workbook.</t>
  </si>
  <si>
    <t xml:space="preserve">The common-equity bridge uses filed cash, marketable securities, debt, noncontrolling interest, preferred equity, and diluted shares. No forecast cash-flow discounting is applied.</t>
  </si>
  <si>
    <t xml:space="preserve">Financial statements are annual through FY2025; interim filings are not included. Review current-year forecasts against the latest SEC quarterly results.</t>
  </si>
  <si>
    <t xml:space="preserve">Market context as of 2026-10-03</t>
  </si>
  <si>
    <t xml:space="preserve">financials: edgartools_native</t>
  </si>
  <si>
    <t xml:space="preserve">profile: SEC Edgar</t>
  </si>
  <si>
    <t xml:space="preserve">market_data: openbb_yfinance</t>
  </si>
  <si>
    <t xml:space="preserve">market_context: backend_canonical_valuation_context</t>
  </si>
  <si>
    <t xml:space="preserve">peers: backend_peer_pipeline</t>
  </si>
  <si>
    <t xml:space="preserve">insider_trades: lazy_optional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</si>
</sst>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0%"/>
    <numFmt numFmtId="168" formatCode="#,##0.0;\(#,##0.0\);\-"/>
    <numFmt numFmtId="169" formatCode="0.0\x"/>
    <numFmt numFmtId="170" formatCode="0%;\(0%\);\-"/>
    <numFmt numFmtId="171" formatCode="\$0.00;&quot;($&quot;0.00\);\-"/>
    <numFmt numFmtId="172" formatCode="0.0%;\(0.0%\);\-"/>
  </numFmts>
  <fonts count="2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charset val="1"/>
    </font>
    <font>
      <sz val="8"/>
      <name val="Arial"/>
      <family val="2"/>
      <charset val="1"/>
    </font>
    <font>
      <sz val="11"/>
      <color rgb="FF000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color rgb="FF000000"/>
      <name val="Times New Roman"/>
      <family val="1"/>
      <charset val="1"/>
    </font>
    <font>
      <sz val="9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rgb="FF000000"/>
      <name val="Aptos Narrow"/>
      <family val="2"/>
      <charset val="1"/>
    </font>
    <font>
      <sz val="10"/>
      <color theme="1"/>
      <name val="Trebuchet MS"/>
      <family val="2"/>
      <charset val="1"/>
    </font>
    <font>
      <sz val="9"/>
      <color rgb="FF000000"/>
      <name val="Arial"/>
      <family val="2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i val="true"/>
      <sz val="10"/>
      <color rgb="FF40404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365F91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thin">
        <color rgb="FFB7C9D6"/>
      </bottom>
      <diagonal/>
    </border>
  </borders>
  <cellStyleXfs count="5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9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FE" xfId="20"/>
    <cellStyle name="Comma 2" xfId="21"/>
    <cellStyle name="Comma 3" xfId="22"/>
    <cellStyle name="Comma 4" xfId="23"/>
    <cellStyle name="Comma 4 2" xfId="24"/>
    <cellStyle name="Comma 5" xfId="25"/>
    <cellStyle name="Comma 6" xfId="26"/>
    <cellStyle name="Currency 2" xfId="27"/>
    <cellStyle name="Currency 4" xfId="28"/>
    <cellStyle name="HeaderCellStyle" xfId="29"/>
    <cellStyle name="Normal 10" xfId="30"/>
    <cellStyle name="Normal 17" xfId="31"/>
    <cellStyle name="Normal 18" xfId="32"/>
    <cellStyle name="Normal 2" xfId="33"/>
    <cellStyle name="Normal 2 2" xfId="34"/>
    <cellStyle name="Normal 2 2 2" xfId="35"/>
    <cellStyle name="Normal 2 3" xfId="36"/>
    <cellStyle name="Normal 3" xfId="37"/>
    <cellStyle name="Normal 3 2 3" xfId="38"/>
    <cellStyle name="Normal 3 2 3 2" xfId="39"/>
    <cellStyle name="Normal 4" xfId="40"/>
    <cellStyle name="Normal 5" xfId="41"/>
    <cellStyle name="Normal 5 2" xfId="42"/>
    <cellStyle name="Normal 5 3" xfId="43"/>
    <cellStyle name="Normal 5 4" xfId="44"/>
    <cellStyle name="Normal 6" xfId="45"/>
    <cellStyle name="Normal 7" xfId="46"/>
    <cellStyle name="Normal 8" xfId="47"/>
    <cellStyle name="Normal_Ch01 Pics v2.2" xfId="48"/>
    <cellStyle name="Percent 2" xfId="49"/>
    <cellStyle name="Percent 3" xfId="50"/>
  </cellStyles>
  <dxfs count="6">
    <dxf>
      <fill>
        <patternFill patternType="solid">
          <fgColor rgb="FF365F9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365F91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3" topLeftCell="A24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10" min="9" style="0" width="12"/>
    <col collapsed="false" customWidth="true" hidden="false" outlineLevel="0" max="12" min="11" style="0" width="20"/>
    <col collapsed="false" customWidth="true" hidden="false" outlineLevel="0" max="13" min="13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3</v>
      </c>
      <c r="B4" s="5" t="n">
        <v>13413</v>
      </c>
      <c r="I4" s="2" t="s">
        <v>4</v>
      </c>
    </row>
    <row r="5" customFormat="false" ht="15" hidden="false" customHeight="false" outlineLevel="0" collapsed="false">
      <c r="A5" s="4" t="s">
        <v>5</v>
      </c>
      <c r="B5" s="6" t="n">
        <f aca="false">MEDIAN(G24:G28)</f>
        <v>19.5258000038812</v>
      </c>
      <c r="I5" s="7" t="s">
        <v>6</v>
      </c>
      <c r="J5" s="7" t="s">
        <v>7</v>
      </c>
      <c r="K5" s="7" t="s">
        <v>8</v>
      </c>
      <c r="L5" s="7" t="s">
        <v>9</v>
      </c>
      <c r="M5" s="7" t="s">
        <v>10</v>
      </c>
    </row>
    <row r="6" customFormat="false" ht="15" hidden="false" customHeight="false" outlineLevel="0" collapsed="false">
      <c r="A6" s="4" t="s">
        <v>11</v>
      </c>
      <c r="B6" s="8"/>
      <c r="I6" s="9" t="n">
        <v>-0.2</v>
      </c>
      <c r="J6" s="10" t="n">
        <f aca="false">$B$7*(1+I6)</f>
        <v>15.6206400031049</v>
      </c>
      <c r="K6" s="11" t="n">
        <f aca="false">$B$4*J6</f>
        <v>209519.644361646</v>
      </c>
      <c r="L6" s="11" t="n">
        <f aca="false">K6+$B$10+$B$11-$B$12-$B$13-$B$14</f>
        <v>188803.644361646</v>
      </c>
      <c r="M6" s="12" t="n">
        <f aca="false">IFERROR(L6/$B$16,0)</f>
        <v>399.753640401538</v>
      </c>
    </row>
    <row r="7" customFormat="false" ht="15" hidden="false" customHeight="false" outlineLevel="0" collapsed="false">
      <c r="A7" s="13" t="s">
        <v>12</v>
      </c>
      <c r="B7" s="14" t="n">
        <f aca="false">IF(B6&gt;0,B6,B5)</f>
        <v>19.5258000038812</v>
      </c>
      <c r="I7" s="9" t="n">
        <v>0</v>
      </c>
      <c r="J7" s="10" t="n">
        <f aca="false">$B$7*(1+I7)</f>
        <v>19.5258000038812</v>
      </c>
      <c r="K7" s="11" t="n">
        <f aca="false">$B$4*J7</f>
        <v>261899.555452058</v>
      </c>
      <c r="L7" s="11" t="n">
        <f aca="false">K7+$B$10+$B$11-$B$12-$B$13-$B$14</f>
        <v>241183.555452058</v>
      </c>
      <c r="M7" s="12" t="n">
        <f aca="false">IFERROR(L7/$B$16,0)</f>
        <v>510.657538539187</v>
      </c>
    </row>
    <row r="8" customFormat="false" ht="15" hidden="false" customHeight="false" outlineLevel="0" collapsed="false">
      <c r="A8" s="13" t="s">
        <v>8</v>
      </c>
      <c r="B8" s="15" t="n">
        <f aca="false">B4*B7</f>
        <v>261899.555452058</v>
      </c>
      <c r="I8" s="9" t="n">
        <v>0.2</v>
      </c>
      <c r="J8" s="10" t="n">
        <f aca="false">$B$7*(1+I8)</f>
        <v>23.4309600046574</v>
      </c>
      <c r="K8" s="11" t="n">
        <f aca="false">$B$4*J8</f>
        <v>314279.46654247</v>
      </c>
      <c r="L8" s="11" t="n">
        <f aca="false">K8+$B$10+$B$11-$B$12-$B$13-$B$14</f>
        <v>293563.46654247</v>
      </c>
      <c r="M8" s="12" t="n">
        <f aca="false">IFERROR(L8/$B$16,0)</f>
        <v>621.561436676836</v>
      </c>
    </row>
    <row r="9" customFormat="false" ht="15" hidden="false" customHeight="false" outlineLevel="0" collapsed="false">
      <c r="A9" s="4"/>
      <c r="B9" s="4"/>
    </row>
    <row r="10" customFormat="false" ht="15" hidden="false" customHeight="false" outlineLevel="0" collapsed="false">
      <c r="A10" s="4" t="s">
        <v>13</v>
      </c>
      <c r="B10" s="5" t="n">
        <v>9980</v>
      </c>
    </row>
    <row r="11" customFormat="false" ht="15" hidden="false" customHeight="false" outlineLevel="0" collapsed="false">
      <c r="A11" s="4" t="s">
        <v>14</v>
      </c>
      <c r="B11" s="5" t="n">
        <v>0</v>
      </c>
    </row>
    <row r="12" customFormat="false" ht="15" hidden="false" customHeight="false" outlineLevel="0" collapsed="false">
      <c r="A12" s="4" t="s">
        <v>15</v>
      </c>
      <c r="B12" s="5" t="n">
        <v>30696</v>
      </c>
    </row>
    <row r="13" customFormat="false" ht="15" hidden="false" customHeight="false" outlineLevel="0" collapsed="false">
      <c r="A13" s="4" t="s">
        <v>16</v>
      </c>
      <c r="B13" s="5" t="n">
        <v>0</v>
      </c>
    </row>
    <row r="14" customFormat="false" ht="15" hidden="false" customHeight="false" outlineLevel="0" collapsed="false">
      <c r="A14" s="4" t="s">
        <v>17</v>
      </c>
      <c r="B14" s="5" t="n">
        <v>0</v>
      </c>
    </row>
    <row r="15" customFormat="false" ht="15" hidden="false" customHeight="false" outlineLevel="0" collapsed="false">
      <c r="A15" s="13" t="s">
        <v>18</v>
      </c>
      <c r="B15" s="15" t="n">
        <f aca="false">B8+B10+B11-B12-B13-B14</f>
        <v>241183.555452058</v>
      </c>
    </row>
    <row r="16" customFormat="false" ht="15" hidden="false" customHeight="false" outlineLevel="0" collapsed="false">
      <c r="A16" s="4" t="s">
        <v>19</v>
      </c>
      <c r="B16" s="5" t="n">
        <v>472.3</v>
      </c>
    </row>
    <row r="17" customFormat="false" ht="15" hidden="false" customHeight="false" outlineLevel="0" collapsed="false">
      <c r="A17" s="13" t="s">
        <v>20</v>
      </c>
      <c r="B17" s="16" t="n">
        <f aca="false">IFERROR(B15/B16,0)</f>
        <v>510.657538539187</v>
      </c>
    </row>
    <row r="18" customFormat="false" ht="15" hidden="false" customHeight="false" outlineLevel="0" collapsed="false">
      <c r="A18" s="4" t="s">
        <v>21</v>
      </c>
      <c r="B18" s="17" t="n">
        <v>845.42</v>
      </c>
    </row>
    <row r="19" customFormat="false" ht="15" hidden="false" customHeight="false" outlineLevel="0" collapsed="false">
      <c r="A19" s="13" t="s">
        <v>22</v>
      </c>
      <c r="B19" s="18" t="n">
        <f aca="false">IFERROR(B17/B18-1,0)</f>
        <v>-0.395971779069354</v>
      </c>
    </row>
    <row r="22" customFormat="false" ht="15" hidden="false" customHeight="false" outlineLevel="0" collapsed="false">
      <c r="A22" s="2" t="s">
        <v>23</v>
      </c>
    </row>
    <row r="23" customFormat="false" ht="15" hidden="false" customHeight="false" outlineLevel="0" collapsed="false">
      <c r="A23" s="19" t="s">
        <v>24</v>
      </c>
      <c r="B23" s="19" t="s">
        <v>25</v>
      </c>
      <c r="C23" s="19" t="s">
        <v>8</v>
      </c>
      <c r="D23" s="19" t="s">
        <v>26</v>
      </c>
      <c r="E23" s="19" t="s">
        <v>27</v>
      </c>
      <c r="F23" s="19" t="s">
        <v>28</v>
      </c>
      <c r="G23" s="19" t="s">
        <v>29</v>
      </c>
    </row>
    <row r="24" customFormat="false" ht="15" hidden="false" customHeight="false" outlineLevel="0" collapsed="false">
      <c r="A24" s="0" t="s">
        <v>30</v>
      </c>
      <c r="B24" s="0" t="s">
        <v>31</v>
      </c>
      <c r="C24" s="11" t="n">
        <v>242921.652224</v>
      </c>
      <c r="D24" s="11" t="n">
        <v>47927.001088</v>
      </c>
      <c r="E24" s="11" t="n">
        <v>8600.000512</v>
      </c>
      <c r="F24" s="10" t="n">
        <f aca="false">IFERROR(C24/D24,0)</f>
        <v>5.06857609926324</v>
      </c>
      <c r="G24" s="10" t="n">
        <f aca="false">IFERROR(C24/E24,0)</f>
        <v>28.2467020653126</v>
      </c>
    </row>
    <row r="25" customFormat="false" ht="15" hidden="false" customHeight="false" outlineLevel="0" collapsed="false">
      <c r="A25" s="0" t="s">
        <v>32</v>
      </c>
      <c r="B25" s="0" t="s">
        <v>33</v>
      </c>
      <c r="C25" s="11" t="n">
        <v>63880.609792</v>
      </c>
      <c r="D25" s="11" t="n">
        <v>27815.800832</v>
      </c>
      <c r="E25" s="11" t="n">
        <v>3271.600128</v>
      </c>
      <c r="F25" s="10" t="n">
        <f aca="false">IFERROR(C25/D25,0)</f>
        <v>2.29655835464964</v>
      </c>
      <c r="G25" s="10" t="n">
        <f aca="false">IFERROR(C25/E25,0)</f>
        <v>19.5258000038812</v>
      </c>
    </row>
    <row r="26" customFormat="false" ht="15" hidden="false" customHeight="false" outlineLevel="0" collapsed="false">
      <c r="A26" s="0" t="s">
        <v>34</v>
      </c>
      <c r="B26" s="0" t="s">
        <v>35</v>
      </c>
      <c r="C26" s="11" t="n">
        <v>41667.170304</v>
      </c>
      <c r="D26" s="11" t="n">
        <v>18185.00096</v>
      </c>
      <c r="E26" s="11" t="n">
        <v>1054</v>
      </c>
      <c r="F26" s="10" t="n">
        <f aca="false">IFERROR(C26/D26,0)</f>
        <v>2.29129326941757</v>
      </c>
      <c r="G26" s="10" t="n">
        <f aca="false">IFERROR(C26/E26,0)</f>
        <v>39.5324196432638</v>
      </c>
    </row>
    <row r="27" customFormat="false" ht="15" hidden="false" customHeight="false" outlineLevel="0" collapsed="false">
      <c r="A27" s="0" t="s">
        <v>36</v>
      </c>
      <c r="B27" s="0" t="s">
        <v>37</v>
      </c>
      <c r="C27" s="11" t="n">
        <v>10633.836544</v>
      </c>
      <c r="D27" s="11" t="n">
        <v>10349.100032</v>
      </c>
      <c r="E27" s="11" t="n">
        <v>1011.6</v>
      </c>
      <c r="F27" s="10" t="n">
        <f aca="false">IFERROR(C27/D27,0)</f>
        <v>1.02751316647047</v>
      </c>
      <c r="G27" s="10" t="n">
        <f aca="false">IFERROR(C27/E27,0)</f>
        <v>10.5118985211546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11" t="n">
        <v>78151.901184</v>
      </c>
      <c r="D28" s="11" t="n">
        <v>34708.000768</v>
      </c>
      <c r="E28" s="11" t="n">
        <v>5020.000256</v>
      </c>
      <c r="F28" s="10" t="n">
        <f aca="false">IFERROR(C28/D28,0)</f>
        <v>2.25169699938621</v>
      </c>
      <c r="G28" s="10" t="n">
        <f aca="false">IFERROR(C28/E28,0)</f>
        <v>15.5681070116663</v>
      </c>
    </row>
  </sheetData>
  <autoFilter ref="A23:G28"/>
  <mergeCells count="2">
    <mergeCell ref="A1:G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00"/>
  </cols>
  <sheetData>
    <row r="1" customFormat="false" ht="25.5" hidden="false" customHeight="true" outlineLevel="0" collapsed="false">
      <c r="A1" s="20" t="s">
        <v>40</v>
      </c>
      <c r="B1" s="20"/>
      <c r="C1" s="20"/>
    </row>
    <row r="2" customFormat="false" ht="31.5" hidden="false" customHeight="true" outlineLevel="0" collapsed="false">
      <c r="A2" s="21" t="s">
        <v>41</v>
      </c>
      <c r="B2" s="21"/>
      <c r="C2" s="21"/>
    </row>
    <row r="3" customFormat="false" ht="15" hidden="false" customHeight="false" outlineLevel="0" collapsed="false">
      <c r="A3" s="22" t="s">
        <v>42</v>
      </c>
      <c r="B3" s="23" t="s">
        <v>43</v>
      </c>
    </row>
    <row r="5" customFormat="false" ht="19.5" hidden="false" customHeight="true" outlineLevel="0" collapsed="false">
      <c r="A5" s="24" t="s">
        <v>44</v>
      </c>
      <c r="B5" s="24" t="s">
        <v>45</v>
      </c>
      <c r="C5" s="24" t="s">
        <v>46</v>
      </c>
    </row>
    <row r="6" customFormat="false" ht="31.5" hidden="false" customHeight="true" outlineLevel="0" collapsed="false">
      <c r="A6" s="25" t="s">
        <v>47</v>
      </c>
      <c r="B6" s="26" t="s">
        <v>48</v>
      </c>
      <c r="C6" s="26" t="s">
        <v>49</v>
      </c>
    </row>
    <row r="7" customFormat="false" ht="31.5" hidden="false" customHeight="true" outlineLevel="0" collapsed="false">
      <c r="A7" s="25" t="s">
        <v>47</v>
      </c>
      <c r="B7" s="26" t="s">
        <v>50</v>
      </c>
      <c r="C7" s="26" t="s">
        <v>51</v>
      </c>
    </row>
    <row r="8" customFormat="false" ht="31.5" hidden="false" customHeight="true" outlineLevel="0" collapsed="false">
      <c r="A8" s="25" t="s">
        <v>47</v>
      </c>
      <c r="B8" s="26" t="s">
        <v>52</v>
      </c>
      <c r="C8" s="26" t="s">
        <v>53</v>
      </c>
    </row>
    <row r="9" customFormat="false" ht="31.5" hidden="false" customHeight="true" outlineLevel="0" collapsed="false">
      <c r="A9" s="25" t="s">
        <v>47</v>
      </c>
      <c r="B9" s="26" t="s">
        <v>54</v>
      </c>
      <c r="C9" s="26" t="s">
        <v>55</v>
      </c>
    </row>
    <row r="10" customFormat="false" ht="31.5" hidden="false" customHeight="true" outlineLevel="0" collapsed="false">
      <c r="A10" s="25" t="s">
        <v>47</v>
      </c>
      <c r="B10" s="26" t="s">
        <v>56</v>
      </c>
      <c r="C10" s="26" t="s">
        <v>57</v>
      </c>
    </row>
    <row r="11" customFormat="false" ht="31.5" hidden="false" customHeight="true" outlineLevel="0" collapsed="false">
      <c r="A11" s="25" t="s">
        <v>47</v>
      </c>
      <c r="B11" s="26" t="s">
        <v>58</v>
      </c>
      <c r="C11" s="26" t="s">
        <v>59</v>
      </c>
    </row>
    <row r="12" customFormat="false" ht="31.5" hidden="false" customHeight="true" outlineLevel="0" collapsed="false">
      <c r="A12" s="25" t="s">
        <v>47</v>
      </c>
      <c r="B12" s="26" t="s">
        <v>60</v>
      </c>
      <c r="C12" s="26" t="s">
        <v>61</v>
      </c>
    </row>
    <row r="13" customFormat="false" ht="31.5" hidden="false" customHeight="true" outlineLevel="0" collapsed="false">
      <c r="A13" s="25" t="s">
        <v>47</v>
      </c>
      <c r="B13" s="26" t="s">
        <v>62</v>
      </c>
      <c r="C13" s="26" t="s">
        <v>63</v>
      </c>
    </row>
    <row r="14" customFormat="false" ht="31.5" hidden="false" customHeight="true" outlineLevel="0" collapsed="false">
      <c r="A14" s="25" t="s">
        <v>47</v>
      </c>
      <c r="B14" s="26" t="s">
        <v>64</v>
      </c>
      <c r="C14" s="26" t="s">
        <v>65</v>
      </c>
    </row>
    <row r="15" customFormat="false" ht="31.5" hidden="false" customHeight="true" outlineLevel="0" collapsed="false">
      <c r="A15" s="25" t="s">
        <v>47</v>
      </c>
      <c r="B15" s="26" t="s">
        <v>66</v>
      </c>
      <c r="C15" s="26" t="s">
        <v>67</v>
      </c>
    </row>
    <row r="16" customFormat="false" ht="31.5" hidden="false" customHeight="true" outlineLevel="0" collapsed="false">
      <c r="A16" s="25" t="s">
        <v>47</v>
      </c>
      <c r="B16" s="26" t="s">
        <v>68</v>
      </c>
      <c r="C16" s="26" t="s">
        <v>69</v>
      </c>
    </row>
    <row r="17" customFormat="false" ht="31.5" hidden="false" customHeight="true" outlineLevel="0" collapsed="false">
      <c r="A17" s="25" t="s">
        <v>47</v>
      </c>
      <c r="B17" s="26" t="s">
        <v>70</v>
      </c>
      <c r="C17" s="26" t="s">
        <v>71</v>
      </c>
    </row>
    <row r="18" customFormat="false" ht="31.5" hidden="false" customHeight="true" outlineLevel="0" collapsed="false">
      <c r="A18" s="25" t="s">
        <v>47</v>
      </c>
      <c r="B18" s="26" t="s">
        <v>72</v>
      </c>
      <c r="C18" s="26" t="s">
        <v>73</v>
      </c>
    </row>
    <row r="19" customFormat="false" ht="31.5" hidden="false" customHeight="true" outlineLevel="0" collapsed="false">
      <c r="A19" s="25" t="s">
        <v>47</v>
      </c>
      <c r="B19" s="26" t="s">
        <v>74</v>
      </c>
      <c r="C19" s="26" t="s">
        <v>75</v>
      </c>
    </row>
    <row r="20" customFormat="false" ht="31.5" hidden="false" customHeight="true" outlineLevel="0" collapsed="false">
      <c r="A20" s="25" t="s">
        <v>47</v>
      </c>
      <c r="B20" s="26" t="s">
        <v>76</v>
      </c>
      <c r="C20" s="26" t="s">
        <v>77</v>
      </c>
    </row>
    <row r="21" customFormat="false" ht="31.5" hidden="false" customHeight="true" outlineLevel="0" collapsed="false">
      <c r="A21" s="25" t="s">
        <v>47</v>
      </c>
      <c r="B21" s="26" t="s">
        <v>78</v>
      </c>
      <c r="C21" s="26" t="s">
        <v>79</v>
      </c>
    </row>
    <row r="22" customFormat="false" ht="31.5" hidden="false" customHeight="true" outlineLevel="0" collapsed="false">
      <c r="A22" s="25" t="s">
        <v>47</v>
      </c>
      <c r="B22" s="26" t="s">
        <v>80</v>
      </c>
      <c r="C22" s="26" t="s">
        <v>81</v>
      </c>
    </row>
    <row r="23" customFormat="false" ht="31.5" hidden="false" customHeight="true" outlineLevel="0" collapsed="false">
      <c r="A23" s="25" t="s">
        <v>47</v>
      </c>
      <c r="B23" s="26" t="s">
        <v>82</v>
      </c>
      <c r="C23" s="26" t="s">
        <v>83</v>
      </c>
    </row>
    <row r="24" customFormat="false" ht="31.5" hidden="false" customHeight="true" outlineLevel="0" collapsed="false">
      <c r="A24" s="25" t="s">
        <v>47</v>
      </c>
      <c r="B24" s="26" t="s">
        <v>84</v>
      </c>
      <c r="C24" s="26" t="s">
        <v>85</v>
      </c>
    </row>
    <row r="25" customFormat="false" ht="31.5" hidden="false" customHeight="true" outlineLevel="0" collapsed="false">
      <c r="A25" s="25" t="s">
        <v>47</v>
      </c>
      <c r="B25" s="26" t="s">
        <v>86</v>
      </c>
      <c r="C25" s="26" t="s">
        <v>87</v>
      </c>
    </row>
    <row r="26" customFormat="false" ht="31.5" hidden="false" customHeight="true" outlineLevel="0" collapsed="false">
      <c r="A26" s="25" t="s">
        <v>47</v>
      </c>
      <c r="B26" s="26" t="s">
        <v>88</v>
      </c>
      <c r="C26" s="26" t="s">
        <v>89</v>
      </c>
    </row>
    <row r="27" customFormat="false" ht="31.5" hidden="false" customHeight="true" outlineLevel="0" collapsed="false">
      <c r="A27" s="25" t="s">
        <v>47</v>
      </c>
      <c r="B27" s="26" t="s">
        <v>90</v>
      </c>
      <c r="C27" s="26" t="s">
        <v>91</v>
      </c>
    </row>
    <row r="28" customFormat="false" ht="31.5" hidden="false" customHeight="true" outlineLevel="0" collapsed="false">
      <c r="A28" s="25" t="s">
        <v>47</v>
      </c>
      <c r="B28" s="26" t="s">
        <v>92</v>
      </c>
      <c r="C28" s="26" t="s">
        <v>93</v>
      </c>
    </row>
    <row r="29" customFormat="false" ht="31.5" hidden="false" customHeight="true" outlineLevel="0" collapsed="false">
      <c r="A29" s="25" t="s">
        <v>47</v>
      </c>
      <c r="B29" s="26" t="s">
        <v>94</v>
      </c>
      <c r="C29" s="26" t="s">
        <v>95</v>
      </c>
    </row>
    <row r="30" customFormat="false" ht="31.5" hidden="false" customHeight="true" outlineLevel="0" collapsed="false">
      <c r="A30" s="25" t="s">
        <v>47</v>
      </c>
      <c r="B30" s="26" t="s">
        <v>96</v>
      </c>
      <c r="C30" s="26" t="s">
        <v>97</v>
      </c>
    </row>
    <row r="31" customFormat="false" ht="31.5" hidden="false" customHeight="true" outlineLevel="0" collapsed="false">
      <c r="A31" s="25" t="s">
        <v>47</v>
      </c>
      <c r="B31" s="26" t="s">
        <v>98</v>
      </c>
      <c r="C31" s="26" t="s">
        <v>99</v>
      </c>
    </row>
    <row r="32" customFormat="false" ht="31.5" hidden="false" customHeight="true" outlineLevel="0" collapsed="false">
      <c r="A32" s="25" t="s">
        <v>47</v>
      </c>
      <c r="B32" s="26" t="s">
        <v>100</v>
      </c>
      <c r="C32" s="26" t="s">
        <v>101</v>
      </c>
    </row>
    <row r="33" customFormat="false" ht="31.5" hidden="false" customHeight="true" outlineLevel="0" collapsed="false">
      <c r="A33" s="27" t="s">
        <v>102</v>
      </c>
      <c r="B33" s="26" t="s">
        <v>103</v>
      </c>
      <c r="C33" s="26" t="s">
        <v>104</v>
      </c>
    </row>
    <row r="34" customFormat="false" ht="31.5" hidden="false" customHeight="true" outlineLevel="0" collapsed="false">
      <c r="A34" s="27" t="s">
        <v>102</v>
      </c>
      <c r="B34" s="26" t="s">
        <v>103</v>
      </c>
      <c r="C34" s="26" t="s">
        <v>105</v>
      </c>
    </row>
    <row r="35" customFormat="false" ht="31.5" hidden="false" customHeight="true" outlineLevel="0" collapsed="false">
      <c r="A35" s="27" t="s">
        <v>102</v>
      </c>
      <c r="B35" s="26" t="s">
        <v>103</v>
      </c>
      <c r="C35" s="26" t="s">
        <v>106</v>
      </c>
    </row>
    <row r="36" customFormat="false" ht="31.5" hidden="false" customHeight="true" outlineLevel="0" collapsed="false">
      <c r="A36" s="27" t="s">
        <v>102</v>
      </c>
      <c r="B36" s="26" t="s">
        <v>103</v>
      </c>
      <c r="C36" s="26" t="s">
        <v>107</v>
      </c>
    </row>
    <row r="37" customFormat="false" ht="31.5" hidden="false" customHeight="true" outlineLevel="0" collapsed="false">
      <c r="A37" s="27" t="s">
        <v>102</v>
      </c>
      <c r="B37" s="26" t="s">
        <v>103</v>
      </c>
      <c r="C37" s="26" t="s">
        <v>108</v>
      </c>
    </row>
    <row r="38" customFormat="false" ht="31.5" hidden="false" customHeight="true" outlineLevel="0" collapsed="false">
      <c r="A38" s="27" t="s">
        <v>102</v>
      </c>
      <c r="B38" s="26" t="s">
        <v>103</v>
      </c>
      <c r="C38" s="26" t="s">
        <v>109</v>
      </c>
    </row>
    <row r="39" customFormat="false" ht="31.5" hidden="false" customHeight="true" outlineLevel="0" collapsed="false">
      <c r="A39" s="27" t="s">
        <v>102</v>
      </c>
      <c r="B39" s="26" t="s">
        <v>103</v>
      </c>
      <c r="C39" s="26" t="s">
        <v>110</v>
      </c>
    </row>
    <row r="40" customFormat="false" ht="31.5" hidden="false" customHeight="true" outlineLevel="0" collapsed="false">
      <c r="A40" s="27" t="s">
        <v>102</v>
      </c>
      <c r="B40" s="26" t="s">
        <v>103</v>
      </c>
      <c r="C40" s="26" t="s">
        <v>111</v>
      </c>
    </row>
    <row r="41" customFormat="false" ht="31.5" hidden="false" customHeight="true" outlineLevel="0" collapsed="false">
      <c r="A41" s="27" t="s">
        <v>102</v>
      </c>
      <c r="B41" s="26" t="s">
        <v>103</v>
      </c>
      <c r="C41" s="26" t="s">
        <v>112</v>
      </c>
    </row>
    <row r="42" customFormat="false" ht="31.5" hidden="false" customHeight="true" outlineLevel="0" collapsed="false">
      <c r="A42" s="27" t="s">
        <v>102</v>
      </c>
      <c r="B42" s="26" t="s">
        <v>103</v>
      </c>
      <c r="C42" s="26" t="s">
        <v>113</v>
      </c>
    </row>
    <row r="43" customFormat="false" ht="31.5" hidden="false" customHeight="true" outlineLevel="0" collapsed="false">
      <c r="A43" s="27" t="s">
        <v>102</v>
      </c>
      <c r="B43" s="26" t="s">
        <v>103</v>
      </c>
      <c r="C43" s="26" t="s">
        <v>114</v>
      </c>
    </row>
    <row r="44" customFormat="false" ht="31.5" hidden="false" customHeight="true" outlineLevel="0" collapsed="false">
      <c r="A44" s="27" t="s">
        <v>102</v>
      </c>
      <c r="B44" s="26" t="s">
        <v>103</v>
      </c>
      <c r="C44" s="26" t="s">
        <v>115</v>
      </c>
    </row>
    <row r="45" customFormat="false" ht="31.5" hidden="false" customHeight="true" outlineLevel="0" collapsed="false">
      <c r="A45" s="27" t="s">
        <v>102</v>
      </c>
      <c r="B45" s="26" t="s">
        <v>103</v>
      </c>
      <c r="C45" s="26" t="s">
        <v>116</v>
      </c>
    </row>
    <row r="46" customFormat="false" ht="31.5" hidden="false" customHeight="true" outlineLevel="0" collapsed="false">
      <c r="A46" s="27" t="s">
        <v>102</v>
      </c>
      <c r="B46" s="26" t="s">
        <v>103</v>
      </c>
      <c r="C46" s="26" t="s">
        <v>117</v>
      </c>
    </row>
    <row r="47" customFormat="false" ht="31.5" hidden="false" customHeight="true" outlineLevel="0" collapsed="false">
      <c r="A47" s="27" t="s">
        <v>102</v>
      </c>
      <c r="B47" s="26" t="s">
        <v>103</v>
      </c>
      <c r="C47" s="26" t="s">
        <v>118</v>
      </c>
    </row>
    <row r="48" customFormat="false" ht="31.5" hidden="false" customHeight="true" outlineLevel="0" collapsed="false">
      <c r="A48" s="27" t="s">
        <v>102</v>
      </c>
      <c r="B48" s="26" t="s">
        <v>103</v>
      </c>
      <c r="C48" s="26" t="s">
        <v>119</v>
      </c>
    </row>
    <row r="49" customFormat="false" ht="31.5" hidden="false" customHeight="true" outlineLevel="0" collapsed="false">
      <c r="A49" s="27" t="s">
        <v>102</v>
      </c>
      <c r="B49" s="26" t="s">
        <v>103</v>
      </c>
      <c r="C49" s="26" t="s">
        <v>120</v>
      </c>
    </row>
    <row r="50" customFormat="false" ht="31.5" hidden="false" customHeight="true" outlineLevel="0" collapsed="false">
      <c r="A50" s="27" t="s">
        <v>102</v>
      </c>
      <c r="B50" s="26" t="s">
        <v>103</v>
      </c>
      <c r="C50" s="26" t="s">
        <v>121</v>
      </c>
    </row>
    <row r="51" customFormat="false" ht="31.5" hidden="false" customHeight="true" outlineLevel="0" collapsed="false">
      <c r="A51" s="27" t="s">
        <v>102</v>
      </c>
      <c r="B51" s="26" t="s">
        <v>103</v>
      </c>
      <c r="C51" s="26" t="s">
        <v>122</v>
      </c>
    </row>
    <row r="52" customFormat="false" ht="31.5" hidden="false" customHeight="true" outlineLevel="0" collapsed="false">
      <c r="A52" s="27" t="s">
        <v>102</v>
      </c>
      <c r="B52" s="26" t="s">
        <v>103</v>
      </c>
      <c r="C52" s="26" t="s">
        <v>123</v>
      </c>
    </row>
    <row r="53" customFormat="false" ht="31.5" hidden="false" customHeight="true" outlineLevel="0" collapsed="false">
      <c r="A53" s="27" t="s">
        <v>102</v>
      </c>
      <c r="B53" s="26" t="s">
        <v>103</v>
      </c>
      <c r="C53" s="26" t="s">
        <v>124</v>
      </c>
    </row>
    <row r="54" customFormat="false" ht="31.5" hidden="false" customHeight="true" outlineLevel="0" collapsed="false">
      <c r="A54" s="27" t="s">
        <v>102</v>
      </c>
      <c r="B54" s="26" t="s">
        <v>103</v>
      </c>
      <c r="C54" s="26" t="s">
        <v>125</v>
      </c>
    </row>
    <row r="55" customFormat="false" ht="31.5" hidden="false" customHeight="true" outlineLevel="0" collapsed="false">
      <c r="A55" s="27" t="s">
        <v>102</v>
      </c>
      <c r="B55" s="26" t="s">
        <v>103</v>
      </c>
      <c r="C55" s="26" t="s">
        <v>126</v>
      </c>
    </row>
    <row r="56" customFormat="false" ht="31.5" hidden="false" customHeight="true" outlineLevel="0" collapsed="false">
      <c r="A56" s="27" t="s">
        <v>102</v>
      </c>
      <c r="B56" s="26" t="s">
        <v>103</v>
      </c>
      <c r="C56" s="26" t="s">
        <v>127</v>
      </c>
    </row>
    <row r="57" customFormat="false" ht="31.5" hidden="false" customHeight="true" outlineLevel="0" collapsed="false">
      <c r="A57" s="27" t="s">
        <v>102</v>
      </c>
      <c r="B57" s="26" t="s">
        <v>103</v>
      </c>
      <c r="C57" s="26" t="s">
        <v>128</v>
      </c>
    </row>
    <row r="58" customFormat="false" ht="31.5" hidden="false" customHeight="true" outlineLevel="0" collapsed="false">
      <c r="A58" s="27" t="s">
        <v>102</v>
      </c>
      <c r="B58" s="26" t="s">
        <v>103</v>
      </c>
      <c r="C58" s="26" t="s">
        <v>129</v>
      </c>
    </row>
    <row r="59" customFormat="false" ht="31.5" hidden="false" customHeight="true" outlineLevel="0" collapsed="false">
      <c r="A59" s="27" t="s">
        <v>102</v>
      </c>
      <c r="B59" s="26" t="s">
        <v>103</v>
      </c>
      <c r="C59" s="26" t="s">
        <v>130</v>
      </c>
    </row>
    <row r="60" customFormat="false" ht="31.5" hidden="false" customHeight="true" outlineLevel="0" collapsed="false">
      <c r="A60" s="27" t="s">
        <v>102</v>
      </c>
      <c r="B60" s="26" t="s">
        <v>103</v>
      </c>
      <c r="C60" s="26" t="s">
        <v>131</v>
      </c>
    </row>
    <row r="61" customFormat="false" ht="31.5" hidden="false" customHeight="true" outlineLevel="0" collapsed="false">
      <c r="A61" s="27" t="s">
        <v>102</v>
      </c>
      <c r="B61" s="26" t="s">
        <v>103</v>
      </c>
      <c r="C61" s="26" t="s">
        <v>132</v>
      </c>
    </row>
    <row r="62" customFormat="false" ht="31.5" hidden="false" customHeight="true" outlineLevel="0" collapsed="false">
      <c r="A62" s="27" t="s">
        <v>102</v>
      </c>
      <c r="B62" s="26" t="s">
        <v>103</v>
      </c>
      <c r="C62" s="26" t="s">
        <v>133</v>
      </c>
    </row>
    <row r="63" customFormat="false" ht="31.5" hidden="false" customHeight="true" outlineLevel="0" collapsed="false">
      <c r="A63" s="27" t="s">
        <v>102</v>
      </c>
      <c r="B63" s="26" t="s">
        <v>103</v>
      </c>
      <c r="C63" s="26" t="s">
        <v>134</v>
      </c>
    </row>
    <row r="64" customFormat="false" ht="31.5" hidden="false" customHeight="true" outlineLevel="0" collapsed="false">
      <c r="A64" s="27" t="s">
        <v>102</v>
      </c>
      <c r="B64" s="26" t="s">
        <v>103</v>
      </c>
      <c r="C64" s="26" t="s">
        <v>135</v>
      </c>
    </row>
    <row r="65" customFormat="false" ht="31.5" hidden="false" customHeight="true" outlineLevel="0" collapsed="false">
      <c r="A65" s="27" t="s">
        <v>102</v>
      </c>
      <c r="B65" s="26" t="s">
        <v>103</v>
      </c>
      <c r="C65" s="26" t="s">
        <v>136</v>
      </c>
    </row>
    <row r="66" customFormat="false" ht="31.5" hidden="false" customHeight="true" outlineLevel="0" collapsed="false">
      <c r="A66" s="27" t="s">
        <v>102</v>
      </c>
      <c r="B66" s="26" t="s">
        <v>103</v>
      </c>
      <c r="C66" s="26" t="s">
        <v>137</v>
      </c>
    </row>
    <row r="67" customFormat="false" ht="31.5" hidden="false" customHeight="true" outlineLevel="0" collapsed="false">
      <c r="A67" s="27" t="s">
        <v>102</v>
      </c>
      <c r="B67" s="26" t="s">
        <v>103</v>
      </c>
      <c r="C67" s="26" t="s">
        <v>138</v>
      </c>
    </row>
    <row r="68" customFormat="false" ht="31.5" hidden="false" customHeight="true" outlineLevel="0" collapsed="false">
      <c r="A68" s="27" t="s">
        <v>102</v>
      </c>
      <c r="B68" s="26" t="s">
        <v>103</v>
      </c>
      <c r="C68" s="26" t="s">
        <v>139</v>
      </c>
    </row>
    <row r="69" customFormat="false" ht="31.5" hidden="false" customHeight="true" outlineLevel="0" collapsed="false">
      <c r="A69" s="27" t="s">
        <v>102</v>
      </c>
      <c r="B69" s="26" t="s">
        <v>103</v>
      </c>
      <c r="C69" s="26" t="s">
        <v>140</v>
      </c>
    </row>
    <row r="70" customFormat="false" ht="31.5" hidden="false" customHeight="true" outlineLevel="0" collapsed="false">
      <c r="A70" s="27" t="s">
        <v>102</v>
      </c>
      <c r="B70" s="26" t="s">
        <v>103</v>
      </c>
      <c r="C70" s="26" t="s">
        <v>141</v>
      </c>
    </row>
    <row r="71" customFormat="false" ht="31.5" hidden="false" customHeight="true" outlineLevel="0" collapsed="false">
      <c r="A71" s="27" t="s">
        <v>102</v>
      </c>
      <c r="B71" s="26" t="s">
        <v>103</v>
      </c>
      <c r="C71" s="26" t="s">
        <v>142</v>
      </c>
    </row>
    <row r="72" customFormat="false" ht="31.5" hidden="false" customHeight="true" outlineLevel="0" collapsed="false">
      <c r="A72" s="27" t="s">
        <v>102</v>
      </c>
      <c r="B72" s="26" t="s">
        <v>103</v>
      </c>
      <c r="C72" s="26" t="s">
        <v>143</v>
      </c>
    </row>
    <row r="73" customFormat="false" ht="31.5" hidden="false" customHeight="true" outlineLevel="0" collapsed="false">
      <c r="A73" s="27" t="s">
        <v>102</v>
      </c>
      <c r="B73" s="26" t="s">
        <v>103</v>
      </c>
      <c r="C73" s="26" t="s">
        <v>144</v>
      </c>
    </row>
    <row r="74" customFormat="false" ht="31.5" hidden="false" customHeight="true" outlineLevel="0" collapsed="false">
      <c r="A74" s="27" t="s">
        <v>102</v>
      </c>
      <c r="B74" s="26" t="s">
        <v>103</v>
      </c>
      <c r="C74" s="26" t="s">
        <v>145</v>
      </c>
    </row>
    <row r="75" customFormat="false" ht="31.5" hidden="false" customHeight="true" outlineLevel="0" collapsed="false">
      <c r="A75" s="27" t="s">
        <v>102</v>
      </c>
      <c r="B75" s="26" t="s">
        <v>103</v>
      </c>
      <c r="C75" s="26" t="s">
        <v>146</v>
      </c>
    </row>
    <row r="76" customFormat="false" ht="31.5" hidden="false" customHeight="true" outlineLevel="0" collapsed="false">
      <c r="A76" s="27" t="s">
        <v>102</v>
      </c>
      <c r="B76" s="26" t="s">
        <v>103</v>
      </c>
      <c r="C76" s="26" t="s">
        <v>147</v>
      </c>
    </row>
    <row r="77" customFormat="false" ht="31.5" hidden="false" customHeight="true" outlineLevel="0" collapsed="false">
      <c r="A77" s="27" t="s">
        <v>102</v>
      </c>
      <c r="B77" s="26" t="s">
        <v>103</v>
      </c>
      <c r="C77" s="26" t="s">
        <v>148</v>
      </c>
    </row>
    <row r="78" customFormat="false" ht="31.5" hidden="false" customHeight="true" outlineLevel="0" collapsed="false">
      <c r="A78" s="27" t="s">
        <v>102</v>
      </c>
      <c r="B78" s="26" t="s">
        <v>103</v>
      </c>
      <c r="C78" s="26" t="s">
        <v>149</v>
      </c>
    </row>
    <row r="79" customFormat="false" ht="31.5" hidden="false" customHeight="true" outlineLevel="0" collapsed="false">
      <c r="A79" s="27" t="s">
        <v>102</v>
      </c>
      <c r="B79" s="26" t="s">
        <v>103</v>
      </c>
      <c r="C79" s="26" t="s">
        <v>150</v>
      </c>
    </row>
    <row r="80" customFormat="false" ht="31.5" hidden="false" customHeight="true" outlineLevel="0" collapsed="false">
      <c r="A80" s="27" t="s">
        <v>102</v>
      </c>
      <c r="B80" s="26" t="s">
        <v>103</v>
      </c>
      <c r="C80" s="26" t="s">
        <v>151</v>
      </c>
    </row>
    <row r="81" customFormat="false" ht="31.5" hidden="false" customHeight="true" outlineLevel="0" collapsed="false">
      <c r="A81" s="27" t="s">
        <v>102</v>
      </c>
      <c r="B81" s="26" t="s">
        <v>103</v>
      </c>
      <c r="C81" s="26" t="s">
        <v>152</v>
      </c>
    </row>
    <row r="82" customFormat="false" ht="31.5" hidden="false" customHeight="true" outlineLevel="0" collapsed="false">
      <c r="A82" s="27" t="s">
        <v>102</v>
      </c>
      <c r="B82" s="26" t="s">
        <v>103</v>
      </c>
      <c r="C82" s="26" t="s">
        <v>153</v>
      </c>
    </row>
    <row r="83" customFormat="false" ht="31.5" hidden="false" customHeight="true" outlineLevel="0" collapsed="false">
      <c r="A83" s="27" t="s">
        <v>102</v>
      </c>
      <c r="B83" s="26" t="s">
        <v>103</v>
      </c>
      <c r="C83" s="26" t="s">
        <v>154</v>
      </c>
    </row>
    <row r="84" customFormat="false" ht="31.5" hidden="false" customHeight="true" outlineLevel="0" collapsed="false">
      <c r="A84" s="27" t="s">
        <v>102</v>
      </c>
      <c r="B84" s="26" t="s">
        <v>103</v>
      </c>
      <c r="C84" s="26" t="s">
        <v>155</v>
      </c>
    </row>
    <row r="85" customFormat="false" ht="31.5" hidden="false" customHeight="true" outlineLevel="0" collapsed="false">
      <c r="A85" s="27" t="s">
        <v>102</v>
      </c>
      <c r="B85" s="26" t="s">
        <v>103</v>
      </c>
      <c r="C85" s="26" t="s">
        <v>156</v>
      </c>
    </row>
    <row r="86" customFormat="false" ht="31.5" hidden="false" customHeight="true" outlineLevel="0" collapsed="false">
      <c r="A86" s="27" t="s">
        <v>102</v>
      </c>
      <c r="B86" s="26" t="s">
        <v>103</v>
      </c>
      <c r="C86" s="26" t="s">
        <v>157</v>
      </c>
    </row>
    <row r="87" customFormat="false" ht="31.5" hidden="false" customHeight="true" outlineLevel="0" collapsed="false">
      <c r="A87" s="27" t="s">
        <v>102</v>
      </c>
      <c r="B87" s="26" t="s">
        <v>103</v>
      </c>
      <c r="C87" s="26" t="s">
        <v>158</v>
      </c>
    </row>
    <row r="88" customFormat="false" ht="31.5" hidden="false" customHeight="true" outlineLevel="0" collapsed="false">
      <c r="A88" s="27" t="s">
        <v>102</v>
      </c>
      <c r="B88" s="26" t="s">
        <v>103</v>
      </c>
      <c r="C88" s="26" t="s">
        <v>159</v>
      </c>
    </row>
    <row r="89" customFormat="false" ht="31.5" hidden="false" customHeight="true" outlineLevel="0" collapsed="false">
      <c r="A89" s="27" t="s">
        <v>102</v>
      </c>
      <c r="B89" s="26" t="s">
        <v>103</v>
      </c>
      <c r="C89" s="26" t="s">
        <v>160</v>
      </c>
    </row>
    <row r="90" customFormat="false" ht="31.5" hidden="false" customHeight="true" outlineLevel="0" collapsed="false">
      <c r="A90" s="27" t="s">
        <v>102</v>
      </c>
      <c r="B90" s="26" t="s">
        <v>103</v>
      </c>
      <c r="C90" s="26" t="s">
        <v>161</v>
      </c>
    </row>
    <row r="91" customFormat="false" ht="31.5" hidden="false" customHeight="true" outlineLevel="0" collapsed="false">
      <c r="A91" s="27" t="s">
        <v>102</v>
      </c>
      <c r="B91" s="26" t="s">
        <v>103</v>
      </c>
      <c r="C91" s="26" t="s">
        <v>162</v>
      </c>
    </row>
    <row r="92" customFormat="false" ht="31.5" hidden="false" customHeight="true" outlineLevel="0" collapsed="false">
      <c r="A92" s="27" t="s">
        <v>102</v>
      </c>
      <c r="B92" s="26" t="s">
        <v>103</v>
      </c>
      <c r="C92" s="26" t="s">
        <v>163</v>
      </c>
    </row>
    <row r="93" customFormat="false" ht="31.5" hidden="false" customHeight="true" outlineLevel="0" collapsed="false">
      <c r="A93" s="27" t="s">
        <v>102</v>
      </c>
      <c r="B93" s="26" t="s">
        <v>103</v>
      </c>
      <c r="C93" s="26" t="s">
        <v>164</v>
      </c>
    </row>
    <row r="94" customFormat="false" ht="31.5" hidden="false" customHeight="true" outlineLevel="0" collapsed="false">
      <c r="A94" s="27" t="s">
        <v>102</v>
      </c>
      <c r="B94" s="26" t="s">
        <v>103</v>
      </c>
      <c r="C94" s="26" t="s">
        <v>165</v>
      </c>
    </row>
    <row r="95" customFormat="false" ht="31.5" hidden="false" customHeight="true" outlineLevel="0" collapsed="false">
      <c r="A95" s="27" t="s">
        <v>102</v>
      </c>
      <c r="B95" s="26" t="s">
        <v>103</v>
      </c>
      <c r="C95" s="26" t="s">
        <v>166</v>
      </c>
    </row>
    <row r="96" customFormat="false" ht="31.5" hidden="false" customHeight="true" outlineLevel="0" collapsed="false">
      <c r="A96" s="27" t="s">
        <v>102</v>
      </c>
      <c r="B96" s="26" t="s">
        <v>103</v>
      </c>
      <c r="C96" s="26" t="s">
        <v>167</v>
      </c>
    </row>
    <row r="97" customFormat="false" ht="31.5" hidden="false" customHeight="true" outlineLevel="0" collapsed="false">
      <c r="A97" s="27" t="s">
        <v>102</v>
      </c>
      <c r="B97" s="26" t="s">
        <v>103</v>
      </c>
      <c r="C97" s="26" t="s">
        <v>168</v>
      </c>
    </row>
    <row r="98" customFormat="false" ht="31.5" hidden="false" customHeight="true" outlineLevel="0" collapsed="false">
      <c r="A98" s="27" t="s">
        <v>102</v>
      </c>
      <c r="B98" s="26" t="s">
        <v>103</v>
      </c>
      <c r="C98" s="26" t="s">
        <v>169</v>
      </c>
    </row>
    <row r="99" customFormat="false" ht="31.5" hidden="false" customHeight="true" outlineLevel="0" collapsed="false">
      <c r="A99" s="27" t="s">
        <v>102</v>
      </c>
      <c r="B99" s="26" t="s">
        <v>103</v>
      </c>
      <c r="C99" s="26" t="s">
        <v>170</v>
      </c>
    </row>
    <row r="100" customFormat="false" ht="31.5" hidden="false" customHeight="true" outlineLevel="0" collapsed="false">
      <c r="A100" s="27" t="s">
        <v>102</v>
      </c>
      <c r="B100" s="26" t="s">
        <v>103</v>
      </c>
      <c r="C100" s="26" t="s">
        <v>171</v>
      </c>
    </row>
    <row r="101" customFormat="false" ht="31.5" hidden="false" customHeight="true" outlineLevel="0" collapsed="false">
      <c r="A101" s="27" t="s">
        <v>102</v>
      </c>
      <c r="B101" s="26" t="s">
        <v>103</v>
      </c>
      <c r="C101" s="26" t="s">
        <v>172</v>
      </c>
    </row>
    <row r="102" customFormat="false" ht="31.5" hidden="false" customHeight="true" outlineLevel="0" collapsed="false">
      <c r="A102" s="27" t="s">
        <v>102</v>
      </c>
      <c r="B102" s="26" t="s">
        <v>103</v>
      </c>
      <c r="C102" s="26" t="s">
        <v>173</v>
      </c>
    </row>
    <row r="103" customFormat="false" ht="31.5" hidden="false" customHeight="true" outlineLevel="0" collapsed="false">
      <c r="A103" s="27" t="s">
        <v>102</v>
      </c>
      <c r="B103" s="26" t="s">
        <v>103</v>
      </c>
      <c r="C103" s="26" t="s">
        <v>174</v>
      </c>
    </row>
    <row r="104" customFormat="false" ht="31.5" hidden="false" customHeight="true" outlineLevel="0" collapsed="false">
      <c r="A104" s="27" t="s">
        <v>102</v>
      </c>
      <c r="B104" s="26" t="s">
        <v>103</v>
      </c>
      <c r="C104" s="26" t="s">
        <v>175</v>
      </c>
    </row>
    <row r="105" customFormat="false" ht="31.5" hidden="false" customHeight="true" outlineLevel="0" collapsed="false">
      <c r="A105" s="27" t="s">
        <v>102</v>
      </c>
      <c r="B105" s="26" t="s">
        <v>103</v>
      </c>
      <c r="C105" s="26" t="s">
        <v>176</v>
      </c>
    </row>
    <row r="106" customFormat="false" ht="31.5" hidden="false" customHeight="true" outlineLevel="0" collapsed="false">
      <c r="A106" s="27" t="s">
        <v>102</v>
      </c>
      <c r="B106" s="26" t="s">
        <v>103</v>
      </c>
      <c r="C106" s="26" t="s">
        <v>177</v>
      </c>
    </row>
    <row r="107" customFormat="false" ht="31.5" hidden="false" customHeight="true" outlineLevel="0" collapsed="false">
      <c r="A107" s="27" t="s">
        <v>102</v>
      </c>
      <c r="B107" s="26" t="s">
        <v>103</v>
      </c>
      <c r="C107" s="26" t="s">
        <v>178</v>
      </c>
    </row>
    <row r="108" customFormat="false" ht="31.5" hidden="false" customHeight="true" outlineLevel="0" collapsed="false">
      <c r="A108" s="27" t="s">
        <v>102</v>
      </c>
      <c r="B108" s="26" t="s">
        <v>103</v>
      </c>
      <c r="C108" s="26" t="s">
        <v>179</v>
      </c>
    </row>
    <row r="109" customFormat="false" ht="31.5" hidden="false" customHeight="true" outlineLevel="0" collapsed="false">
      <c r="A109" s="27" t="s">
        <v>102</v>
      </c>
      <c r="B109" s="26" t="s">
        <v>103</v>
      </c>
      <c r="C109" s="26" t="s">
        <v>180</v>
      </c>
    </row>
    <row r="110" customFormat="false" ht="31.5" hidden="false" customHeight="true" outlineLevel="0" collapsed="false">
      <c r="A110" s="27" t="s">
        <v>102</v>
      </c>
      <c r="B110" s="26" t="s">
        <v>103</v>
      </c>
      <c r="C110" s="26" t="s">
        <v>181</v>
      </c>
    </row>
    <row r="111" customFormat="false" ht="31.5" hidden="false" customHeight="true" outlineLevel="0" collapsed="false">
      <c r="A111" s="27" t="s">
        <v>102</v>
      </c>
      <c r="B111" s="26" t="s">
        <v>103</v>
      </c>
      <c r="C111" s="26" t="s">
        <v>182</v>
      </c>
    </row>
    <row r="112" customFormat="false" ht="31.5" hidden="false" customHeight="true" outlineLevel="0" collapsed="false">
      <c r="A112" s="27" t="s">
        <v>102</v>
      </c>
      <c r="B112" s="26" t="s">
        <v>103</v>
      </c>
      <c r="C112" s="26" t="s">
        <v>183</v>
      </c>
    </row>
    <row r="113" customFormat="false" ht="31.5" hidden="false" customHeight="true" outlineLevel="0" collapsed="false">
      <c r="A113" s="27" t="s">
        <v>102</v>
      </c>
      <c r="B113" s="26" t="s">
        <v>103</v>
      </c>
      <c r="C113" s="26" t="s">
        <v>184</v>
      </c>
    </row>
    <row r="114" customFormat="false" ht="31.5" hidden="false" customHeight="true" outlineLevel="0" collapsed="false">
      <c r="A114" s="27" t="s">
        <v>102</v>
      </c>
      <c r="B114" s="26" t="s">
        <v>103</v>
      </c>
      <c r="C114" s="26" t="s">
        <v>185</v>
      </c>
    </row>
    <row r="115" customFormat="false" ht="31.5" hidden="false" customHeight="true" outlineLevel="0" collapsed="false">
      <c r="A115" s="27" t="s">
        <v>102</v>
      </c>
      <c r="B115" s="26" t="s">
        <v>103</v>
      </c>
      <c r="C115" s="26" t="s">
        <v>186</v>
      </c>
    </row>
    <row r="116" customFormat="false" ht="31.5" hidden="false" customHeight="true" outlineLevel="0" collapsed="false">
      <c r="A116" s="27" t="s">
        <v>102</v>
      </c>
      <c r="B116" s="26" t="s">
        <v>103</v>
      </c>
      <c r="C116" s="26" t="s">
        <v>187</v>
      </c>
    </row>
    <row r="117" customFormat="false" ht="31.5" hidden="false" customHeight="true" outlineLevel="0" collapsed="false">
      <c r="A117" s="27" t="s">
        <v>102</v>
      </c>
      <c r="B117" s="26" t="s">
        <v>103</v>
      </c>
      <c r="C117" s="26" t="s">
        <v>188</v>
      </c>
    </row>
    <row r="118" customFormat="false" ht="31.5" hidden="false" customHeight="true" outlineLevel="0" collapsed="false">
      <c r="A118" s="27" t="s">
        <v>102</v>
      </c>
      <c r="B118" s="26" t="s">
        <v>103</v>
      </c>
      <c r="C118" s="26" t="s">
        <v>189</v>
      </c>
    </row>
    <row r="119" customFormat="false" ht="31.5" hidden="false" customHeight="true" outlineLevel="0" collapsed="false">
      <c r="A119" s="27" t="s">
        <v>102</v>
      </c>
      <c r="B119" s="26" t="s">
        <v>103</v>
      </c>
      <c r="C119" s="26" t="s">
        <v>190</v>
      </c>
    </row>
    <row r="120" customFormat="false" ht="31.5" hidden="false" customHeight="true" outlineLevel="0" collapsed="false">
      <c r="A120" s="27" t="s">
        <v>102</v>
      </c>
      <c r="B120" s="26" t="s">
        <v>103</v>
      </c>
      <c r="C120" s="26" t="s">
        <v>191</v>
      </c>
    </row>
    <row r="121" customFormat="false" ht="31.5" hidden="false" customHeight="true" outlineLevel="0" collapsed="false">
      <c r="A121" s="27" t="s">
        <v>102</v>
      </c>
      <c r="B121" s="26" t="s">
        <v>103</v>
      </c>
      <c r="C121" s="26" t="s">
        <v>192</v>
      </c>
    </row>
    <row r="122" customFormat="false" ht="31.5" hidden="false" customHeight="true" outlineLevel="0" collapsed="false">
      <c r="A122" s="27" t="s">
        <v>102</v>
      </c>
      <c r="B122" s="26" t="s">
        <v>103</v>
      </c>
      <c r="C122" s="26" t="s">
        <v>193</v>
      </c>
    </row>
    <row r="123" customFormat="false" ht="31.5" hidden="false" customHeight="true" outlineLevel="0" collapsed="false">
      <c r="A123" s="27" t="s">
        <v>102</v>
      </c>
      <c r="B123" s="26" t="s">
        <v>103</v>
      </c>
      <c r="C123" s="26" t="s">
        <v>194</v>
      </c>
    </row>
    <row r="124" customFormat="false" ht="31.5" hidden="false" customHeight="true" outlineLevel="0" collapsed="false">
      <c r="A124" s="27" t="s">
        <v>102</v>
      </c>
      <c r="B124" s="26" t="s">
        <v>103</v>
      </c>
      <c r="C124" s="26" t="s">
        <v>195</v>
      </c>
    </row>
    <row r="125" customFormat="false" ht="31.5" hidden="false" customHeight="true" outlineLevel="0" collapsed="false">
      <c r="A125" s="27" t="s">
        <v>102</v>
      </c>
      <c r="B125" s="26" t="s">
        <v>103</v>
      </c>
      <c r="C125" s="26" t="s">
        <v>196</v>
      </c>
    </row>
    <row r="126" customFormat="false" ht="31.5" hidden="false" customHeight="true" outlineLevel="0" collapsed="false">
      <c r="A126" s="27" t="s">
        <v>102</v>
      </c>
      <c r="B126" s="26" t="s">
        <v>103</v>
      </c>
      <c r="C126" s="26" t="s">
        <v>197</v>
      </c>
    </row>
    <row r="127" customFormat="false" ht="31.5" hidden="false" customHeight="true" outlineLevel="0" collapsed="false">
      <c r="A127" s="27" t="s">
        <v>102</v>
      </c>
      <c r="B127" s="26" t="s">
        <v>103</v>
      </c>
      <c r="C127" s="26" t="s">
        <v>198</v>
      </c>
    </row>
    <row r="128" customFormat="false" ht="31.5" hidden="false" customHeight="true" outlineLevel="0" collapsed="false">
      <c r="A128" s="27" t="s">
        <v>102</v>
      </c>
      <c r="B128" s="26" t="s">
        <v>103</v>
      </c>
      <c r="C128" s="26" t="s">
        <v>199</v>
      </c>
    </row>
    <row r="129" customFormat="false" ht="31.5" hidden="false" customHeight="true" outlineLevel="0" collapsed="false">
      <c r="A129" s="27" t="s">
        <v>102</v>
      </c>
      <c r="B129" s="26" t="s">
        <v>103</v>
      </c>
      <c r="C129" s="26" t="s">
        <v>200</v>
      </c>
    </row>
    <row r="130" customFormat="false" ht="31.5" hidden="false" customHeight="true" outlineLevel="0" collapsed="false">
      <c r="A130" s="27" t="s">
        <v>102</v>
      </c>
      <c r="B130" s="26" t="s">
        <v>103</v>
      </c>
      <c r="C130" s="26" t="s">
        <v>201</v>
      </c>
    </row>
    <row r="131" customFormat="false" ht="31.5" hidden="false" customHeight="true" outlineLevel="0" collapsed="false">
      <c r="A131" s="27" t="s">
        <v>102</v>
      </c>
      <c r="B131" s="26" t="s">
        <v>103</v>
      </c>
      <c r="C131" s="26" t="s">
        <v>202</v>
      </c>
    </row>
    <row r="132" customFormat="false" ht="31.5" hidden="false" customHeight="true" outlineLevel="0" collapsed="false">
      <c r="A132" s="27" t="s">
        <v>102</v>
      </c>
      <c r="B132" s="26" t="s">
        <v>103</v>
      </c>
      <c r="C132" s="26" t="s">
        <v>203</v>
      </c>
    </row>
    <row r="133" customFormat="false" ht="31.5" hidden="false" customHeight="true" outlineLevel="0" collapsed="false">
      <c r="A133" s="27" t="s">
        <v>102</v>
      </c>
      <c r="B133" s="26" t="s">
        <v>103</v>
      </c>
      <c r="C133" s="26" t="s">
        <v>204</v>
      </c>
    </row>
    <row r="134" customFormat="false" ht="31.5" hidden="false" customHeight="true" outlineLevel="0" collapsed="false">
      <c r="A134" s="27" t="s">
        <v>102</v>
      </c>
      <c r="B134" s="26" t="s">
        <v>103</v>
      </c>
      <c r="C134" s="26" t="s">
        <v>205</v>
      </c>
    </row>
    <row r="135" customFormat="false" ht="31.5" hidden="false" customHeight="true" outlineLevel="0" collapsed="false">
      <c r="A135" s="27" t="s">
        <v>102</v>
      </c>
      <c r="B135" s="26" t="s">
        <v>103</v>
      </c>
      <c r="C135" s="26" t="s">
        <v>206</v>
      </c>
    </row>
    <row r="136" customFormat="false" ht="31.5" hidden="false" customHeight="true" outlineLevel="0" collapsed="false">
      <c r="A136" s="27" t="s">
        <v>102</v>
      </c>
      <c r="B136" s="26" t="s">
        <v>103</v>
      </c>
      <c r="C136" s="26" t="s">
        <v>207</v>
      </c>
    </row>
    <row r="137" customFormat="false" ht="31.5" hidden="false" customHeight="true" outlineLevel="0" collapsed="false">
      <c r="A137" s="27" t="s">
        <v>102</v>
      </c>
      <c r="B137" s="26" t="s">
        <v>103</v>
      </c>
      <c r="C137" s="26" t="s">
        <v>208</v>
      </c>
    </row>
    <row r="138" customFormat="false" ht="31.5" hidden="false" customHeight="true" outlineLevel="0" collapsed="false">
      <c r="A138" s="27" t="s">
        <v>102</v>
      </c>
      <c r="B138" s="26" t="s">
        <v>103</v>
      </c>
      <c r="C138" s="26" t="s">
        <v>209</v>
      </c>
    </row>
    <row r="139" customFormat="false" ht="31.5" hidden="false" customHeight="true" outlineLevel="0" collapsed="false">
      <c r="A139" s="27" t="s">
        <v>102</v>
      </c>
      <c r="B139" s="26" t="s">
        <v>103</v>
      </c>
      <c r="C139" s="26" t="s">
        <v>210</v>
      </c>
    </row>
    <row r="140" customFormat="false" ht="31.5" hidden="false" customHeight="true" outlineLevel="0" collapsed="false">
      <c r="A140" s="27" t="s">
        <v>102</v>
      </c>
      <c r="B140" s="26" t="s">
        <v>103</v>
      </c>
      <c r="C140" s="26" t="s">
        <v>211</v>
      </c>
    </row>
    <row r="141" customFormat="false" ht="31.5" hidden="false" customHeight="true" outlineLevel="0" collapsed="false">
      <c r="A141" s="27" t="s">
        <v>102</v>
      </c>
      <c r="B141" s="26" t="s">
        <v>103</v>
      </c>
      <c r="C141" s="26" t="s">
        <v>212</v>
      </c>
    </row>
    <row r="142" customFormat="false" ht="31.5" hidden="false" customHeight="true" outlineLevel="0" collapsed="false">
      <c r="A142" s="27" t="s">
        <v>102</v>
      </c>
      <c r="B142" s="26" t="s">
        <v>103</v>
      </c>
      <c r="C142" s="26" t="s">
        <v>213</v>
      </c>
    </row>
    <row r="143" customFormat="false" ht="31.5" hidden="false" customHeight="true" outlineLevel="0" collapsed="false">
      <c r="A143" s="27" t="s">
        <v>102</v>
      </c>
      <c r="B143" s="26" t="s">
        <v>103</v>
      </c>
      <c r="C143" s="26" t="s">
        <v>214</v>
      </c>
    </row>
    <row r="144" customFormat="false" ht="31.5" hidden="false" customHeight="true" outlineLevel="0" collapsed="false">
      <c r="A144" s="27" t="s">
        <v>102</v>
      </c>
      <c r="B144" s="26" t="s">
        <v>103</v>
      </c>
      <c r="C144" s="26" t="s">
        <v>215</v>
      </c>
    </row>
    <row r="145" customFormat="false" ht="31.5" hidden="false" customHeight="true" outlineLevel="0" collapsed="false">
      <c r="A145" s="27" t="s">
        <v>102</v>
      </c>
      <c r="B145" s="26" t="s">
        <v>103</v>
      </c>
      <c r="C145" s="26" t="s">
        <v>216</v>
      </c>
    </row>
    <row r="146" customFormat="false" ht="31.5" hidden="false" customHeight="true" outlineLevel="0" collapsed="false">
      <c r="A146" s="27" t="s">
        <v>102</v>
      </c>
      <c r="B146" s="26" t="s">
        <v>103</v>
      </c>
      <c r="C146" s="26" t="s">
        <v>217</v>
      </c>
    </row>
    <row r="147" customFormat="false" ht="31.5" hidden="false" customHeight="true" outlineLevel="0" collapsed="false">
      <c r="A147" s="27" t="s">
        <v>102</v>
      </c>
      <c r="B147" s="26" t="s">
        <v>103</v>
      </c>
      <c r="C147" s="26" t="s">
        <v>218</v>
      </c>
    </row>
    <row r="148" customFormat="false" ht="31.5" hidden="false" customHeight="true" outlineLevel="0" collapsed="false">
      <c r="A148" s="27" t="s">
        <v>102</v>
      </c>
      <c r="B148" s="26" t="s">
        <v>103</v>
      </c>
      <c r="C148" s="26" t="s">
        <v>219</v>
      </c>
    </row>
    <row r="149" customFormat="false" ht="31.5" hidden="false" customHeight="true" outlineLevel="0" collapsed="false">
      <c r="A149" s="27" t="s">
        <v>102</v>
      </c>
      <c r="B149" s="26" t="s">
        <v>103</v>
      </c>
      <c r="C149" s="26" t="s">
        <v>220</v>
      </c>
    </row>
    <row r="150" customFormat="false" ht="31.5" hidden="false" customHeight="true" outlineLevel="0" collapsed="false">
      <c r="A150" s="27" t="s">
        <v>102</v>
      </c>
      <c r="B150" s="26" t="s">
        <v>103</v>
      </c>
      <c r="C150" s="26" t="s">
        <v>221</v>
      </c>
    </row>
    <row r="151" customFormat="false" ht="31.5" hidden="false" customHeight="true" outlineLevel="0" collapsed="false">
      <c r="A151" s="27" t="s">
        <v>102</v>
      </c>
      <c r="B151" s="26" t="s">
        <v>103</v>
      </c>
      <c r="C151" s="26" t="s">
        <v>222</v>
      </c>
    </row>
    <row r="152" customFormat="false" ht="31.5" hidden="false" customHeight="true" outlineLevel="0" collapsed="false">
      <c r="A152" s="27" t="s">
        <v>102</v>
      </c>
      <c r="B152" s="26" t="s">
        <v>103</v>
      </c>
      <c r="C152" s="26" t="s">
        <v>223</v>
      </c>
    </row>
    <row r="153" customFormat="false" ht="31.5" hidden="false" customHeight="true" outlineLevel="0" collapsed="false">
      <c r="A153" s="27" t="s">
        <v>102</v>
      </c>
      <c r="B153" s="26" t="s">
        <v>103</v>
      </c>
      <c r="C153" s="26" t="s">
        <v>224</v>
      </c>
    </row>
    <row r="154" customFormat="false" ht="31.5" hidden="false" customHeight="true" outlineLevel="0" collapsed="false">
      <c r="A154" s="27" t="s">
        <v>102</v>
      </c>
      <c r="B154" s="26" t="s">
        <v>103</v>
      </c>
      <c r="C154" s="26" t="s">
        <v>225</v>
      </c>
    </row>
    <row r="155" customFormat="false" ht="31.5" hidden="false" customHeight="true" outlineLevel="0" collapsed="false">
      <c r="A155" s="27" t="s">
        <v>102</v>
      </c>
      <c r="B155" s="26" t="s">
        <v>103</v>
      </c>
      <c r="C155" s="26" t="s">
        <v>226</v>
      </c>
    </row>
    <row r="156" customFormat="false" ht="31.5" hidden="false" customHeight="true" outlineLevel="0" collapsed="false">
      <c r="A156" s="27" t="s">
        <v>102</v>
      </c>
      <c r="B156" s="26" t="s">
        <v>103</v>
      </c>
      <c r="C156" s="26" t="s">
        <v>227</v>
      </c>
    </row>
    <row r="157" customFormat="false" ht="31.5" hidden="false" customHeight="true" outlineLevel="0" collapsed="false">
      <c r="A157" s="27" t="s">
        <v>102</v>
      </c>
      <c r="B157" s="26" t="s">
        <v>103</v>
      </c>
      <c r="C157" s="26" t="s">
        <v>228</v>
      </c>
    </row>
    <row r="158" customFormat="false" ht="31.5" hidden="false" customHeight="true" outlineLevel="0" collapsed="false">
      <c r="A158" s="27" t="s">
        <v>102</v>
      </c>
      <c r="B158" s="26" t="s">
        <v>103</v>
      </c>
      <c r="C158" s="26" t="s">
        <v>229</v>
      </c>
    </row>
    <row r="159" customFormat="false" ht="31.5" hidden="false" customHeight="true" outlineLevel="0" collapsed="false">
      <c r="A159" s="27" t="s">
        <v>102</v>
      </c>
      <c r="B159" s="26" t="s">
        <v>103</v>
      </c>
      <c r="C159" s="26" t="s">
        <v>230</v>
      </c>
    </row>
    <row r="160" customFormat="false" ht="31.5" hidden="false" customHeight="true" outlineLevel="0" collapsed="false">
      <c r="A160" s="27" t="s">
        <v>102</v>
      </c>
      <c r="B160" s="26" t="s">
        <v>103</v>
      </c>
      <c r="C160" s="26" t="s">
        <v>231</v>
      </c>
    </row>
    <row r="161" customFormat="false" ht="31.5" hidden="false" customHeight="true" outlineLevel="0" collapsed="false">
      <c r="A161" s="27" t="s">
        <v>102</v>
      </c>
      <c r="B161" s="26" t="s">
        <v>103</v>
      </c>
      <c r="C161" s="26" t="s">
        <v>232</v>
      </c>
    </row>
    <row r="162" customFormat="false" ht="31.5" hidden="false" customHeight="true" outlineLevel="0" collapsed="false">
      <c r="A162" s="27" t="s">
        <v>102</v>
      </c>
      <c r="B162" s="26" t="s">
        <v>103</v>
      </c>
      <c r="C162" s="26" t="s">
        <v>232</v>
      </c>
    </row>
    <row r="163" customFormat="false" ht="31.5" hidden="false" customHeight="true" outlineLevel="0" collapsed="false">
      <c r="A163" s="27" t="s">
        <v>102</v>
      </c>
      <c r="B163" s="26" t="s">
        <v>103</v>
      </c>
      <c r="C163" s="26" t="s">
        <v>233</v>
      </c>
    </row>
    <row r="164" customFormat="false" ht="31.5" hidden="false" customHeight="true" outlineLevel="0" collapsed="false">
      <c r="A164" s="27" t="s">
        <v>102</v>
      </c>
      <c r="B164" s="26" t="s">
        <v>103</v>
      </c>
      <c r="C164" s="26" t="s">
        <v>233</v>
      </c>
    </row>
    <row r="165" customFormat="false" ht="31.5" hidden="false" customHeight="true" outlineLevel="0" collapsed="false">
      <c r="A165" s="27" t="s">
        <v>102</v>
      </c>
      <c r="B165" s="26" t="s">
        <v>103</v>
      </c>
      <c r="C165" s="26" t="s">
        <v>234</v>
      </c>
    </row>
    <row r="166" customFormat="false" ht="31.5" hidden="false" customHeight="true" outlineLevel="0" collapsed="false">
      <c r="A166" s="27" t="s">
        <v>102</v>
      </c>
      <c r="B166" s="26" t="s">
        <v>103</v>
      </c>
      <c r="C166" s="26" t="s">
        <v>234</v>
      </c>
    </row>
    <row r="167" customFormat="false" ht="31.5" hidden="false" customHeight="true" outlineLevel="0" collapsed="false">
      <c r="A167" s="27" t="s">
        <v>102</v>
      </c>
      <c r="B167" s="26" t="s">
        <v>103</v>
      </c>
      <c r="C167" s="26" t="s">
        <v>235</v>
      </c>
    </row>
    <row r="168" customFormat="false" ht="31.5" hidden="false" customHeight="true" outlineLevel="0" collapsed="false">
      <c r="A168" s="27" t="s">
        <v>102</v>
      </c>
      <c r="B168" s="26" t="s">
        <v>103</v>
      </c>
      <c r="C168" s="26" t="s">
        <v>235</v>
      </c>
    </row>
    <row r="169" customFormat="false" ht="31.5" hidden="false" customHeight="true" outlineLevel="0" collapsed="false">
      <c r="A169" s="27" t="s">
        <v>102</v>
      </c>
      <c r="B169" s="26" t="s">
        <v>103</v>
      </c>
      <c r="C169" s="26" t="s">
        <v>236</v>
      </c>
    </row>
    <row r="170" customFormat="false" ht="31.5" hidden="false" customHeight="true" outlineLevel="0" collapsed="false">
      <c r="A170" s="27" t="s">
        <v>102</v>
      </c>
      <c r="B170" s="26" t="s">
        <v>103</v>
      </c>
      <c r="C170" s="26" t="s">
        <v>236</v>
      </c>
    </row>
    <row r="171" customFormat="false" ht="31.5" hidden="false" customHeight="true" outlineLevel="0" collapsed="false">
      <c r="A171" s="27" t="s">
        <v>102</v>
      </c>
      <c r="B171" s="26" t="s">
        <v>103</v>
      </c>
      <c r="C171" s="26" t="s">
        <v>237</v>
      </c>
    </row>
    <row r="172" customFormat="false" ht="31.5" hidden="false" customHeight="true" outlineLevel="0" collapsed="false">
      <c r="A172" s="27" t="s">
        <v>102</v>
      </c>
      <c r="B172" s="26" t="s">
        <v>103</v>
      </c>
      <c r="C172" s="26" t="s">
        <v>238</v>
      </c>
    </row>
    <row r="173" customFormat="false" ht="31.5" hidden="false" customHeight="true" outlineLevel="0" collapsed="false">
      <c r="A173" s="27" t="s">
        <v>102</v>
      </c>
      <c r="B173" s="26" t="s">
        <v>103</v>
      </c>
      <c r="C173" s="26" t="s">
        <v>239</v>
      </c>
    </row>
    <row r="174" customFormat="false" ht="31.5" hidden="false" customHeight="true" outlineLevel="0" collapsed="false">
      <c r="A174" s="27" t="s">
        <v>102</v>
      </c>
      <c r="B174" s="26" t="s">
        <v>103</v>
      </c>
      <c r="C174" s="26" t="s">
        <v>240</v>
      </c>
    </row>
    <row r="175" customFormat="false" ht="31.5" hidden="false" customHeight="true" outlineLevel="0" collapsed="false">
      <c r="A175" s="27" t="s">
        <v>102</v>
      </c>
      <c r="B175" s="26" t="s">
        <v>103</v>
      </c>
      <c r="C175" s="26" t="s">
        <v>241</v>
      </c>
    </row>
    <row r="176" customFormat="false" ht="31.5" hidden="false" customHeight="true" outlineLevel="0" collapsed="false">
      <c r="A176" s="27" t="s">
        <v>102</v>
      </c>
      <c r="B176" s="26" t="s">
        <v>103</v>
      </c>
      <c r="C176" s="26" t="s">
        <v>242</v>
      </c>
    </row>
    <row r="177" customFormat="false" ht="31.5" hidden="false" customHeight="true" outlineLevel="0" collapsed="false">
      <c r="A177" s="27" t="s">
        <v>102</v>
      </c>
      <c r="B177" s="26" t="s">
        <v>103</v>
      </c>
      <c r="C177" s="26" t="s">
        <v>242</v>
      </c>
    </row>
    <row r="178" customFormat="false" ht="31.5" hidden="false" customHeight="true" outlineLevel="0" collapsed="false">
      <c r="A178" s="27" t="s">
        <v>102</v>
      </c>
      <c r="B178" s="26" t="s">
        <v>103</v>
      </c>
      <c r="C178" s="26" t="s">
        <v>243</v>
      </c>
    </row>
    <row r="179" customFormat="false" ht="31.5" hidden="false" customHeight="true" outlineLevel="0" collapsed="false">
      <c r="A179" s="27" t="s">
        <v>102</v>
      </c>
      <c r="B179" s="26" t="s">
        <v>103</v>
      </c>
      <c r="C179" s="26" t="s">
        <v>244</v>
      </c>
    </row>
    <row r="180" customFormat="false" ht="31.5" hidden="false" customHeight="true" outlineLevel="0" collapsed="false">
      <c r="A180" s="27" t="s">
        <v>102</v>
      </c>
      <c r="B180" s="26" t="s">
        <v>103</v>
      </c>
      <c r="C180" s="26" t="s">
        <v>244</v>
      </c>
    </row>
    <row r="181" customFormat="false" ht="31.5" hidden="false" customHeight="true" outlineLevel="0" collapsed="false">
      <c r="A181" s="27" t="s">
        <v>102</v>
      </c>
      <c r="B181" s="26" t="s">
        <v>103</v>
      </c>
      <c r="C181" s="26" t="s">
        <v>245</v>
      </c>
    </row>
    <row r="182" customFormat="false" ht="31.5" hidden="false" customHeight="true" outlineLevel="0" collapsed="false">
      <c r="A182" s="27" t="s">
        <v>102</v>
      </c>
      <c r="B182" s="26" t="s">
        <v>103</v>
      </c>
      <c r="C182" s="26" t="s">
        <v>246</v>
      </c>
    </row>
    <row r="183" customFormat="false" ht="31.5" hidden="false" customHeight="true" outlineLevel="0" collapsed="false">
      <c r="A183" s="27" t="s">
        <v>102</v>
      </c>
      <c r="B183" s="26" t="s">
        <v>103</v>
      </c>
      <c r="C183" s="26" t="s">
        <v>246</v>
      </c>
    </row>
    <row r="184" customFormat="false" ht="31.5" hidden="false" customHeight="true" outlineLevel="0" collapsed="false">
      <c r="A184" s="27" t="s">
        <v>102</v>
      </c>
      <c r="B184" s="26" t="s">
        <v>103</v>
      </c>
      <c r="C184" s="26" t="s">
        <v>247</v>
      </c>
    </row>
    <row r="185" customFormat="false" ht="31.5" hidden="false" customHeight="true" outlineLevel="0" collapsed="false">
      <c r="A185" s="27" t="s">
        <v>102</v>
      </c>
      <c r="B185" s="26" t="s">
        <v>103</v>
      </c>
      <c r="C185" s="26" t="s">
        <v>248</v>
      </c>
    </row>
    <row r="186" customFormat="false" ht="31.5" hidden="false" customHeight="true" outlineLevel="0" collapsed="false">
      <c r="A186" s="27" t="s">
        <v>102</v>
      </c>
      <c r="B186" s="26" t="s">
        <v>103</v>
      </c>
      <c r="C186" s="26" t="s">
        <v>248</v>
      </c>
    </row>
    <row r="187" customFormat="false" ht="31.5" hidden="false" customHeight="true" outlineLevel="0" collapsed="false">
      <c r="A187" s="27" t="s">
        <v>102</v>
      </c>
      <c r="B187" s="26" t="s">
        <v>103</v>
      </c>
      <c r="C187" s="26" t="s">
        <v>249</v>
      </c>
    </row>
    <row r="188" customFormat="false" ht="31.5" hidden="false" customHeight="true" outlineLevel="0" collapsed="false">
      <c r="A188" s="27" t="s">
        <v>102</v>
      </c>
      <c r="B188" s="26" t="s">
        <v>103</v>
      </c>
      <c r="C188" s="26" t="s">
        <v>250</v>
      </c>
    </row>
    <row r="189" customFormat="false" ht="31.5" hidden="false" customHeight="true" outlineLevel="0" collapsed="false">
      <c r="A189" s="27" t="s">
        <v>102</v>
      </c>
      <c r="B189" s="26" t="s">
        <v>103</v>
      </c>
      <c r="C189" s="26" t="s">
        <v>250</v>
      </c>
    </row>
    <row r="190" customFormat="false" ht="31.5" hidden="false" customHeight="true" outlineLevel="0" collapsed="false">
      <c r="A190" s="27" t="s">
        <v>102</v>
      </c>
      <c r="B190" s="26" t="s">
        <v>103</v>
      </c>
      <c r="C190" s="26" t="s">
        <v>251</v>
      </c>
    </row>
    <row r="191" customFormat="false" ht="31.5" hidden="false" customHeight="true" outlineLevel="0" collapsed="false">
      <c r="A191" s="27" t="s">
        <v>102</v>
      </c>
      <c r="B191" s="26" t="s">
        <v>103</v>
      </c>
      <c r="C191" s="26" t="s">
        <v>252</v>
      </c>
    </row>
    <row r="192" customFormat="false" ht="31.5" hidden="false" customHeight="true" outlineLevel="0" collapsed="false">
      <c r="A192" s="27" t="s">
        <v>102</v>
      </c>
      <c r="B192" s="26" t="s">
        <v>103</v>
      </c>
      <c r="C192" s="26" t="s">
        <v>253</v>
      </c>
    </row>
    <row r="193" customFormat="false" ht="31.5" hidden="false" customHeight="true" outlineLevel="0" collapsed="false">
      <c r="A193" s="27" t="s">
        <v>102</v>
      </c>
      <c r="B193" s="26" t="s">
        <v>103</v>
      </c>
      <c r="C193" s="26" t="s">
        <v>254</v>
      </c>
    </row>
    <row r="194" customFormat="false" ht="31.5" hidden="false" customHeight="true" outlineLevel="0" collapsed="false">
      <c r="A194" s="27" t="s">
        <v>102</v>
      </c>
      <c r="B194" s="26" t="s">
        <v>103</v>
      </c>
      <c r="C194" s="26" t="s">
        <v>255</v>
      </c>
    </row>
    <row r="195" customFormat="false" ht="31.5" hidden="false" customHeight="true" outlineLevel="0" collapsed="false">
      <c r="A195" s="27" t="s">
        <v>102</v>
      </c>
      <c r="B195" s="26" t="s">
        <v>103</v>
      </c>
      <c r="C195" s="26" t="s">
        <v>256</v>
      </c>
    </row>
    <row r="196" customFormat="false" ht="31.5" hidden="false" customHeight="true" outlineLevel="0" collapsed="false">
      <c r="A196" s="27" t="s">
        <v>102</v>
      </c>
      <c r="B196" s="26" t="s">
        <v>103</v>
      </c>
      <c r="C196" s="26" t="s">
        <v>257</v>
      </c>
    </row>
    <row r="197" customFormat="false" ht="31.5" hidden="false" customHeight="true" outlineLevel="0" collapsed="false">
      <c r="A197" s="27" t="s">
        <v>102</v>
      </c>
      <c r="B197" s="26" t="s">
        <v>103</v>
      </c>
      <c r="C197" s="26" t="s">
        <v>258</v>
      </c>
    </row>
    <row r="198" customFormat="false" ht="31.5" hidden="false" customHeight="true" outlineLevel="0" collapsed="false">
      <c r="A198" s="27" t="s">
        <v>102</v>
      </c>
      <c r="B198" s="26" t="s">
        <v>103</v>
      </c>
      <c r="C198" s="26" t="s">
        <v>259</v>
      </c>
    </row>
    <row r="199" customFormat="false" ht="31.5" hidden="false" customHeight="true" outlineLevel="0" collapsed="false">
      <c r="A199" s="27" t="s">
        <v>102</v>
      </c>
      <c r="B199" s="26" t="s">
        <v>103</v>
      </c>
      <c r="C199" s="26" t="s">
        <v>260</v>
      </c>
    </row>
    <row r="200" customFormat="false" ht="31.5" hidden="false" customHeight="true" outlineLevel="0" collapsed="false">
      <c r="A200" s="27" t="s">
        <v>102</v>
      </c>
      <c r="B200" s="26" t="s">
        <v>103</v>
      </c>
      <c r="C200" s="26" t="s">
        <v>261</v>
      </c>
    </row>
    <row r="201" customFormat="false" ht="31.5" hidden="false" customHeight="true" outlineLevel="0" collapsed="false">
      <c r="A201" s="27" t="s">
        <v>102</v>
      </c>
      <c r="B201" s="26" t="s">
        <v>103</v>
      </c>
      <c r="C201" s="26" t="s">
        <v>262</v>
      </c>
    </row>
    <row r="202" customFormat="false" ht="31.5" hidden="false" customHeight="true" outlineLevel="0" collapsed="false">
      <c r="A202" s="27" t="s">
        <v>102</v>
      </c>
      <c r="B202" s="26" t="s">
        <v>103</v>
      </c>
      <c r="C202" s="26" t="s">
        <v>263</v>
      </c>
    </row>
    <row r="203" customFormat="false" ht="31.5" hidden="false" customHeight="true" outlineLevel="0" collapsed="false">
      <c r="A203" s="27" t="s">
        <v>102</v>
      </c>
      <c r="B203" s="26" t="s">
        <v>103</v>
      </c>
      <c r="C203" s="26" t="s">
        <v>264</v>
      </c>
    </row>
    <row r="204" customFormat="false" ht="31.5" hidden="false" customHeight="true" outlineLevel="0" collapsed="false">
      <c r="A204" s="27" t="s">
        <v>102</v>
      </c>
      <c r="B204" s="26" t="s">
        <v>103</v>
      </c>
      <c r="C204" s="26" t="s">
        <v>265</v>
      </c>
    </row>
    <row r="205" customFormat="false" ht="31.5" hidden="false" customHeight="true" outlineLevel="0" collapsed="false">
      <c r="A205" s="27" t="s">
        <v>102</v>
      </c>
      <c r="B205" s="26" t="s">
        <v>103</v>
      </c>
      <c r="C205" s="26" t="s">
        <v>266</v>
      </c>
    </row>
    <row r="206" customFormat="false" ht="31.5" hidden="false" customHeight="true" outlineLevel="0" collapsed="false">
      <c r="A206" s="27" t="s">
        <v>102</v>
      </c>
      <c r="B206" s="26" t="s">
        <v>103</v>
      </c>
      <c r="C206" s="26" t="s">
        <v>267</v>
      </c>
    </row>
    <row r="207" customFormat="false" ht="31.5" hidden="false" customHeight="true" outlineLevel="0" collapsed="false">
      <c r="A207" s="27" t="s">
        <v>102</v>
      </c>
      <c r="B207" s="26" t="s">
        <v>103</v>
      </c>
      <c r="C207" s="26" t="s">
        <v>268</v>
      </c>
    </row>
    <row r="208" customFormat="false" ht="31.5" hidden="false" customHeight="true" outlineLevel="0" collapsed="false">
      <c r="A208" s="27" t="s">
        <v>102</v>
      </c>
      <c r="B208" s="26" t="s">
        <v>103</v>
      </c>
      <c r="C208" s="26" t="s">
        <v>269</v>
      </c>
    </row>
    <row r="209" customFormat="false" ht="31.5" hidden="false" customHeight="true" outlineLevel="0" collapsed="false">
      <c r="A209" s="27" t="s">
        <v>102</v>
      </c>
      <c r="B209" s="26" t="s">
        <v>103</v>
      </c>
      <c r="C209" s="26" t="s">
        <v>270</v>
      </c>
    </row>
    <row r="210" customFormat="false" ht="31.5" hidden="false" customHeight="true" outlineLevel="0" collapsed="false">
      <c r="A210" s="27" t="s">
        <v>102</v>
      </c>
      <c r="B210" s="26" t="s">
        <v>103</v>
      </c>
      <c r="C210" s="26" t="s">
        <v>271</v>
      </c>
    </row>
    <row r="211" customFormat="false" ht="31.5" hidden="false" customHeight="true" outlineLevel="0" collapsed="false">
      <c r="A211" s="27" t="s">
        <v>102</v>
      </c>
      <c r="B211" s="26" t="s">
        <v>103</v>
      </c>
      <c r="C211" s="26" t="s">
        <v>272</v>
      </c>
    </row>
    <row r="212" customFormat="false" ht="31.5" hidden="false" customHeight="true" outlineLevel="0" collapsed="false">
      <c r="A212" s="27" t="s">
        <v>102</v>
      </c>
      <c r="B212" s="26" t="s">
        <v>103</v>
      </c>
      <c r="C212" s="26" t="s">
        <v>273</v>
      </c>
    </row>
    <row r="213" customFormat="false" ht="31.5" hidden="false" customHeight="true" outlineLevel="0" collapsed="false">
      <c r="A213" s="27" t="s">
        <v>102</v>
      </c>
      <c r="B213" s="26" t="s">
        <v>103</v>
      </c>
      <c r="C213" s="26" t="s">
        <v>274</v>
      </c>
    </row>
    <row r="214" customFormat="false" ht="31.5" hidden="false" customHeight="true" outlineLevel="0" collapsed="false">
      <c r="A214" s="27" t="s">
        <v>102</v>
      </c>
      <c r="B214" s="26" t="s">
        <v>103</v>
      </c>
      <c r="C214" s="26" t="s">
        <v>275</v>
      </c>
    </row>
    <row r="215" customFormat="false" ht="31.5" hidden="false" customHeight="true" outlineLevel="0" collapsed="false">
      <c r="A215" s="27" t="s">
        <v>102</v>
      </c>
      <c r="B215" s="26" t="s">
        <v>103</v>
      </c>
      <c r="C215" s="26" t="s">
        <v>276</v>
      </c>
    </row>
    <row r="216" customFormat="false" ht="31.5" hidden="false" customHeight="true" outlineLevel="0" collapsed="false">
      <c r="A216" s="27" t="s">
        <v>102</v>
      </c>
      <c r="B216" s="26" t="s">
        <v>103</v>
      </c>
      <c r="C216" s="26" t="s">
        <v>277</v>
      </c>
    </row>
    <row r="217" customFormat="false" ht="31.5" hidden="false" customHeight="true" outlineLevel="0" collapsed="false">
      <c r="A217" s="27" t="s">
        <v>102</v>
      </c>
      <c r="B217" s="26" t="s">
        <v>103</v>
      </c>
      <c r="C217" s="26" t="s">
        <v>278</v>
      </c>
    </row>
    <row r="218" customFormat="false" ht="31.5" hidden="false" customHeight="true" outlineLevel="0" collapsed="false">
      <c r="A218" s="27" t="s">
        <v>102</v>
      </c>
      <c r="B218" s="26" t="s">
        <v>103</v>
      </c>
      <c r="C218" s="26" t="s">
        <v>279</v>
      </c>
    </row>
    <row r="219" customFormat="false" ht="31.5" hidden="false" customHeight="true" outlineLevel="0" collapsed="false">
      <c r="A219" s="27" t="s">
        <v>102</v>
      </c>
      <c r="B219" s="26" t="s">
        <v>103</v>
      </c>
      <c r="C219" s="26" t="s">
        <v>280</v>
      </c>
    </row>
    <row r="220" customFormat="false" ht="31.5" hidden="false" customHeight="true" outlineLevel="0" collapsed="false">
      <c r="A220" s="27" t="s">
        <v>102</v>
      </c>
      <c r="B220" s="26" t="s">
        <v>103</v>
      </c>
      <c r="C220" s="26" t="s">
        <v>281</v>
      </c>
    </row>
    <row r="221" customFormat="false" ht="31.5" hidden="false" customHeight="true" outlineLevel="0" collapsed="false">
      <c r="A221" s="27" t="s">
        <v>102</v>
      </c>
      <c r="B221" s="26" t="s">
        <v>103</v>
      </c>
      <c r="C221" s="26" t="s">
        <v>282</v>
      </c>
    </row>
    <row r="222" customFormat="false" ht="31.5" hidden="false" customHeight="true" outlineLevel="0" collapsed="false">
      <c r="A222" s="27" t="s">
        <v>102</v>
      </c>
      <c r="B222" s="26" t="s">
        <v>103</v>
      </c>
      <c r="C222" s="26" t="s">
        <v>283</v>
      </c>
    </row>
    <row r="223" customFormat="false" ht="31.5" hidden="false" customHeight="true" outlineLevel="0" collapsed="false">
      <c r="A223" s="27" t="s">
        <v>102</v>
      </c>
      <c r="B223" s="26" t="s">
        <v>103</v>
      </c>
      <c r="C223" s="26" t="s">
        <v>284</v>
      </c>
    </row>
    <row r="224" customFormat="false" ht="31.5" hidden="false" customHeight="true" outlineLevel="0" collapsed="false">
      <c r="A224" s="27" t="s">
        <v>102</v>
      </c>
      <c r="B224" s="26" t="s">
        <v>103</v>
      </c>
      <c r="C224" s="26" t="s">
        <v>285</v>
      </c>
    </row>
    <row r="225" customFormat="false" ht="31.5" hidden="false" customHeight="true" outlineLevel="0" collapsed="false">
      <c r="A225" s="27" t="s">
        <v>102</v>
      </c>
      <c r="B225" s="26" t="s">
        <v>103</v>
      </c>
      <c r="C225" s="26" t="s">
        <v>286</v>
      </c>
    </row>
    <row r="226" customFormat="false" ht="31.5" hidden="false" customHeight="true" outlineLevel="0" collapsed="false">
      <c r="A226" s="27" t="s">
        <v>102</v>
      </c>
      <c r="B226" s="26" t="s">
        <v>103</v>
      </c>
      <c r="C226" s="26" t="s">
        <v>287</v>
      </c>
    </row>
    <row r="227" customFormat="false" ht="31.5" hidden="false" customHeight="true" outlineLevel="0" collapsed="false">
      <c r="A227" s="27" t="s">
        <v>102</v>
      </c>
      <c r="B227" s="26" t="s">
        <v>103</v>
      </c>
      <c r="C227" s="26" t="s">
        <v>288</v>
      </c>
    </row>
    <row r="228" customFormat="false" ht="31.5" hidden="false" customHeight="true" outlineLevel="0" collapsed="false">
      <c r="A228" s="27" t="s">
        <v>102</v>
      </c>
      <c r="B228" s="26" t="s">
        <v>103</v>
      </c>
      <c r="C228" s="26" t="s">
        <v>289</v>
      </c>
    </row>
    <row r="229" customFormat="false" ht="31.5" hidden="false" customHeight="true" outlineLevel="0" collapsed="false">
      <c r="A229" s="27" t="s">
        <v>102</v>
      </c>
      <c r="B229" s="26" t="s">
        <v>103</v>
      </c>
      <c r="C229" s="26" t="s">
        <v>290</v>
      </c>
    </row>
    <row r="230" customFormat="false" ht="31.5" hidden="false" customHeight="true" outlineLevel="0" collapsed="false">
      <c r="A230" s="27" t="s">
        <v>102</v>
      </c>
      <c r="B230" s="26" t="s">
        <v>103</v>
      </c>
      <c r="C230" s="26" t="s">
        <v>291</v>
      </c>
    </row>
    <row r="231" customFormat="false" ht="31.5" hidden="false" customHeight="true" outlineLevel="0" collapsed="false">
      <c r="A231" s="27" t="s">
        <v>102</v>
      </c>
      <c r="B231" s="26" t="s">
        <v>103</v>
      </c>
      <c r="C231" s="26" t="s">
        <v>292</v>
      </c>
    </row>
    <row r="232" customFormat="false" ht="31.5" hidden="false" customHeight="true" outlineLevel="0" collapsed="false">
      <c r="A232" s="27" t="s">
        <v>102</v>
      </c>
      <c r="B232" s="26" t="s">
        <v>103</v>
      </c>
      <c r="C232" s="26" t="s">
        <v>293</v>
      </c>
    </row>
    <row r="233" customFormat="false" ht="31.5" hidden="false" customHeight="true" outlineLevel="0" collapsed="false">
      <c r="A233" s="27" t="s">
        <v>102</v>
      </c>
      <c r="B233" s="26" t="s">
        <v>103</v>
      </c>
      <c r="C233" s="26" t="s">
        <v>294</v>
      </c>
    </row>
    <row r="234" customFormat="false" ht="31.5" hidden="false" customHeight="true" outlineLevel="0" collapsed="false">
      <c r="A234" s="27" t="s">
        <v>102</v>
      </c>
      <c r="B234" s="26" t="s">
        <v>103</v>
      </c>
      <c r="C234" s="26" t="s">
        <v>295</v>
      </c>
    </row>
    <row r="235" customFormat="false" ht="31.5" hidden="false" customHeight="true" outlineLevel="0" collapsed="false">
      <c r="A235" s="27" t="s">
        <v>102</v>
      </c>
      <c r="B235" s="26" t="s">
        <v>103</v>
      </c>
      <c r="C235" s="26" t="s">
        <v>296</v>
      </c>
    </row>
    <row r="236" customFormat="false" ht="31.5" hidden="false" customHeight="true" outlineLevel="0" collapsed="false">
      <c r="A236" s="27" t="s">
        <v>102</v>
      </c>
      <c r="B236" s="26" t="s">
        <v>103</v>
      </c>
      <c r="C236" s="26" t="s">
        <v>297</v>
      </c>
    </row>
    <row r="237" customFormat="false" ht="31.5" hidden="false" customHeight="true" outlineLevel="0" collapsed="false">
      <c r="A237" s="27" t="s">
        <v>102</v>
      </c>
      <c r="B237" s="26" t="s">
        <v>103</v>
      </c>
      <c r="C237" s="26" t="s">
        <v>298</v>
      </c>
    </row>
    <row r="238" customFormat="false" ht="31.5" hidden="false" customHeight="true" outlineLevel="0" collapsed="false">
      <c r="A238" s="27" t="s">
        <v>102</v>
      </c>
      <c r="B238" s="26" t="s">
        <v>103</v>
      </c>
      <c r="C238" s="26" t="s">
        <v>299</v>
      </c>
    </row>
    <row r="239" customFormat="false" ht="31.5" hidden="false" customHeight="true" outlineLevel="0" collapsed="false">
      <c r="A239" s="27" t="s">
        <v>102</v>
      </c>
      <c r="B239" s="26" t="s">
        <v>103</v>
      </c>
      <c r="C239" s="26" t="s">
        <v>300</v>
      </c>
    </row>
    <row r="240" customFormat="false" ht="31.5" hidden="false" customHeight="true" outlineLevel="0" collapsed="false">
      <c r="A240" s="27" t="s">
        <v>102</v>
      </c>
      <c r="B240" s="26" t="s">
        <v>103</v>
      </c>
      <c r="C240" s="26" t="s">
        <v>301</v>
      </c>
    </row>
    <row r="241" customFormat="false" ht="31.5" hidden="false" customHeight="true" outlineLevel="0" collapsed="false">
      <c r="A241" s="27" t="s">
        <v>102</v>
      </c>
      <c r="B241" s="26" t="s">
        <v>103</v>
      </c>
      <c r="C241" s="26" t="s">
        <v>302</v>
      </c>
    </row>
    <row r="242" customFormat="false" ht="31.5" hidden="false" customHeight="true" outlineLevel="0" collapsed="false">
      <c r="A242" s="27" t="s">
        <v>102</v>
      </c>
      <c r="B242" s="26" t="s">
        <v>103</v>
      </c>
      <c r="C242" s="26" t="s">
        <v>303</v>
      </c>
    </row>
    <row r="243" customFormat="false" ht="31.5" hidden="false" customHeight="true" outlineLevel="0" collapsed="false">
      <c r="A243" s="27" t="s">
        <v>102</v>
      </c>
      <c r="B243" s="26" t="s">
        <v>103</v>
      </c>
      <c r="C243" s="26" t="s">
        <v>304</v>
      </c>
    </row>
    <row r="244" customFormat="false" ht="31.5" hidden="false" customHeight="true" outlineLevel="0" collapsed="false">
      <c r="A244" s="27" t="s">
        <v>102</v>
      </c>
      <c r="B244" s="26" t="s">
        <v>103</v>
      </c>
      <c r="C244" s="26" t="s">
        <v>305</v>
      </c>
    </row>
    <row r="245" customFormat="false" ht="31.5" hidden="false" customHeight="true" outlineLevel="0" collapsed="false">
      <c r="A245" s="27" t="s">
        <v>102</v>
      </c>
      <c r="B245" s="26" t="s">
        <v>103</v>
      </c>
      <c r="C245" s="26" t="s">
        <v>306</v>
      </c>
    </row>
    <row r="246" customFormat="false" ht="31.5" hidden="false" customHeight="true" outlineLevel="0" collapsed="false">
      <c r="A246" s="27" t="s">
        <v>102</v>
      </c>
      <c r="B246" s="26" t="s">
        <v>103</v>
      </c>
      <c r="C246" s="26" t="s">
        <v>307</v>
      </c>
    </row>
    <row r="247" customFormat="false" ht="31.5" hidden="false" customHeight="true" outlineLevel="0" collapsed="false">
      <c r="A247" s="27" t="s">
        <v>102</v>
      </c>
      <c r="B247" s="26" t="s">
        <v>103</v>
      </c>
      <c r="C247" s="26" t="s">
        <v>308</v>
      </c>
    </row>
    <row r="248" customFormat="false" ht="31.5" hidden="false" customHeight="true" outlineLevel="0" collapsed="false">
      <c r="A248" s="27" t="s">
        <v>102</v>
      </c>
      <c r="B248" s="26" t="s">
        <v>103</v>
      </c>
      <c r="C248" s="26" t="s">
        <v>309</v>
      </c>
    </row>
    <row r="249" customFormat="false" ht="31.5" hidden="false" customHeight="true" outlineLevel="0" collapsed="false">
      <c r="A249" s="27" t="s">
        <v>102</v>
      </c>
      <c r="B249" s="26" t="s">
        <v>103</v>
      </c>
      <c r="C249" s="26" t="s">
        <v>310</v>
      </c>
    </row>
    <row r="250" customFormat="false" ht="31.5" hidden="false" customHeight="true" outlineLevel="0" collapsed="false">
      <c r="A250" s="27" t="s">
        <v>102</v>
      </c>
      <c r="B250" s="26" t="s">
        <v>103</v>
      </c>
      <c r="C250" s="26" t="s">
        <v>311</v>
      </c>
    </row>
    <row r="251" customFormat="false" ht="31.5" hidden="false" customHeight="true" outlineLevel="0" collapsed="false">
      <c r="A251" s="27" t="s">
        <v>102</v>
      </c>
      <c r="B251" s="26" t="s">
        <v>103</v>
      </c>
      <c r="C251" s="26" t="s">
        <v>312</v>
      </c>
    </row>
    <row r="252" customFormat="false" ht="31.5" hidden="false" customHeight="true" outlineLevel="0" collapsed="false">
      <c r="A252" s="27" t="s">
        <v>102</v>
      </c>
      <c r="B252" s="26" t="s">
        <v>103</v>
      </c>
      <c r="C252" s="26" t="s">
        <v>313</v>
      </c>
    </row>
    <row r="253" customFormat="false" ht="31.5" hidden="false" customHeight="true" outlineLevel="0" collapsed="false">
      <c r="A253" s="27" t="s">
        <v>102</v>
      </c>
      <c r="B253" s="26" t="s">
        <v>103</v>
      </c>
      <c r="C253" s="26" t="s">
        <v>314</v>
      </c>
    </row>
    <row r="254" customFormat="false" ht="31.5" hidden="false" customHeight="true" outlineLevel="0" collapsed="false">
      <c r="A254" s="27" t="s">
        <v>102</v>
      </c>
      <c r="B254" s="26" t="s">
        <v>103</v>
      </c>
      <c r="C254" s="26" t="s">
        <v>315</v>
      </c>
    </row>
    <row r="255" customFormat="false" ht="31.5" hidden="false" customHeight="true" outlineLevel="0" collapsed="false">
      <c r="A255" s="27" t="s">
        <v>102</v>
      </c>
      <c r="B255" s="26" t="s">
        <v>103</v>
      </c>
      <c r="C255" s="26" t="s">
        <v>316</v>
      </c>
    </row>
    <row r="256" customFormat="false" ht="31.5" hidden="false" customHeight="true" outlineLevel="0" collapsed="false">
      <c r="A256" s="27" t="s">
        <v>102</v>
      </c>
      <c r="B256" s="26" t="s">
        <v>103</v>
      </c>
      <c r="C256" s="26" t="s">
        <v>317</v>
      </c>
    </row>
    <row r="257" customFormat="false" ht="31.5" hidden="false" customHeight="true" outlineLevel="0" collapsed="false">
      <c r="A257" s="27" t="s">
        <v>102</v>
      </c>
      <c r="B257" s="26" t="s">
        <v>103</v>
      </c>
      <c r="C257" s="26" t="s">
        <v>318</v>
      </c>
    </row>
    <row r="258" customFormat="false" ht="31.5" hidden="false" customHeight="true" outlineLevel="0" collapsed="false">
      <c r="A258" s="27" t="s">
        <v>102</v>
      </c>
      <c r="B258" s="26" t="s">
        <v>103</v>
      </c>
      <c r="C258" s="26" t="s">
        <v>319</v>
      </c>
    </row>
    <row r="259" customFormat="false" ht="31.5" hidden="false" customHeight="true" outlineLevel="0" collapsed="false">
      <c r="A259" s="27" t="s">
        <v>102</v>
      </c>
      <c r="B259" s="26" t="s">
        <v>103</v>
      </c>
      <c r="C259" s="26" t="s">
        <v>320</v>
      </c>
    </row>
    <row r="260" customFormat="false" ht="31.5" hidden="false" customHeight="true" outlineLevel="0" collapsed="false">
      <c r="A260" s="27" t="s">
        <v>102</v>
      </c>
      <c r="B260" s="26" t="s">
        <v>103</v>
      </c>
      <c r="C260" s="26" t="s">
        <v>321</v>
      </c>
    </row>
    <row r="261" customFormat="false" ht="31.5" hidden="false" customHeight="true" outlineLevel="0" collapsed="false">
      <c r="A261" s="27" t="s">
        <v>102</v>
      </c>
      <c r="B261" s="26" t="s">
        <v>103</v>
      </c>
      <c r="C261" s="26" t="s">
        <v>322</v>
      </c>
    </row>
    <row r="262" customFormat="false" ht="31.5" hidden="false" customHeight="true" outlineLevel="0" collapsed="false">
      <c r="A262" s="27" t="s">
        <v>102</v>
      </c>
      <c r="B262" s="26" t="s">
        <v>103</v>
      </c>
      <c r="C262" s="26" t="s">
        <v>323</v>
      </c>
    </row>
    <row r="263" customFormat="false" ht="31.5" hidden="false" customHeight="true" outlineLevel="0" collapsed="false">
      <c r="A263" s="27" t="s">
        <v>102</v>
      </c>
      <c r="B263" s="26" t="s">
        <v>103</v>
      </c>
      <c r="C263" s="26" t="s">
        <v>324</v>
      </c>
    </row>
    <row r="264" customFormat="false" ht="31.5" hidden="false" customHeight="true" outlineLevel="0" collapsed="false">
      <c r="A264" s="27" t="s">
        <v>102</v>
      </c>
      <c r="B264" s="26" t="s">
        <v>103</v>
      </c>
      <c r="C264" s="26" t="s">
        <v>325</v>
      </c>
    </row>
    <row r="265" customFormat="false" ht="31.5" hidden="false" customHeight="true" outlineLevel="0" collapsed="false">
      <c r="A265" s="27" t="s">
        <v>102</v>
      </c>
      <c r="B265" s="26" t="s">
        <v>103</v>
      </c>
      <c r="C265" s="26" t="s">
        <v>326</v>
      </c>
    </row>
    <row r="266" customFormat="false" ht="31.5" hidden="false" customHeight="true" outlineLevel="0" collapsed="false">
      <c r="A266" s="27" t="s">
        <v>102</v>
      </c>
      <c r="B266" s="26" t="s">
        <v>103</v>
      </c>
      <c r="C266" s="26" t="s">
        <v>327</v>
      </c>
    </row>
    <row r="267" customFormat="false" ht="31.5" hidden="false" customHeight="true" outlineLevel="0" collapsed="false">
      <c r="A267" s="27" t="s">
        <v>102</v>
      </c>
      <c r="B267" s="26" t="s">
        <v>103</v>
      </c>
      <c r="C267" s="26" t="s">
        <v>328</v>
      </c>
    </row>
    <row r="268" customFormat="false" ht="31.5" hidden="false" customHeight="true" outlineLevel="0" collapsed="false">
      <c r="A268" s="27" t="s">
        <v>102</v>
      </c>
      <c r="B268" s="26" t="s">
        <v>103</v>
      </c>
      <c r="C268" s="26" t="s">
        <v>329</v>
      </c>
    </row>
    <row r="269" customFormat="false" ht="31.5" hidden="false" customHeight="true" outlineLevel="0" collapsed="false">
      <c r="A269" s="27" t="s">
        <v>102</v>
      </c>
      <c r="B269" s="26" t="s">
        <v>103</v>
      </c>
      <c r="C269" s="26" t="s">
        <v>330</v>
      </c>
    </row>
    <row r="270" customFormat="false" ht="31.5" hidden="false" customHeight="true" outlineLevel="0" collapsed="false">
      <c r="A270" s="27" t="s">
        <v>102</v>
      </c>
      <c r="B270" s="26" t="s">
        <v>103</v>
      </c>
      <c r="C270" s="26" t="s">
        <v>331</v>
      </c>
    </row>
    <row r="271" customFormat="false" ht="31.5" hidden="false" customHeight="true" outlineLevel="0" collapsed="false">
      <c r="A271" s="27" t="s">
        <v>102</v>
      </c>
      <c r="B271" s="26" t="s">
        <v>103</v>
      </c>
      <c r="C271" s="26" t="s">
        <v>332</v>
      </c>
    </row>
    <row r="272" customFormat="false" ht="31.5" hidden="false" customHeight="true" outlineLevel="0" collapsed="false">
      <c r="A272" s="27" t="s">
        <v>102</v>
      </c>
      <c r="B272" s="26" t="s">
        <v>103</v>
      </c>
      <c r="C272" s="26" t="s">
        <v>333</v>
      </c>
    </row>
    <row r="273" customFormat="false" ht="31.5" hidden="false" customHeight="true" outlineLevel="0" collapsed="false">
      <c r="A273" s="27" t="s">
        <v>102</v>
      </c>
      <c r="B273" s="26" t="s">
        <v>103</v>
      </c>
      <c r="C273" s="26" t="s">
        <v>334</v>
      </c>
    </row>
    <row r="274" customFormat="false" ht="31.5" hidden="false" customHeight="true" outlineLevel="0" collapsed="false">
      <c r="A274" s="27" t="s">
        <v>102</v>
      </c>
      <c r="B274" s="26" t="s">
        <v>103</v>
      </c>
      <c r="C274" s="26" t="s">
        <v>335</v>
      </c>
    </row>
    <row r="275" customFormat="false" ht="31.5" hidden="false" customHeight="true" outlineLevel="0" collapsed="false">
      <c r="A275" s="27" t="s">
        <v>102</v>
      </c>
      <c r="B275" s="26" t="s">
        <v>103</v>
      </c>
      <c r="C275" s="26" t="s">
        <v>336</v>
      </c>
    </row>
    <row r="276" customFormat="false" ht="31.5" hidden="false" customHeight="true" outlineLevel="0" collapsed="false">
      <c r="A276" s="27" t="s">
        <v>102</v>
      </c>
      <c r="B276" s="26" t="s">
        <v>103</v>
      </c>
      <c r="C276" s="26" t="s">
        <v>337</v>
      </c>
    </row>
    <row r="277" customFormat="false" ht="31.5" hidden="false" customHeight="true" outlineLevel="0" collapsed="false">
      <c r="A277" s="27" t="s">
        <v>102</v>
      </c>
      <c r="B277" s="26" t="s">
        <v>103</v>
      </c>
      <c r="C277" s="26" t="s">
        <v>338</v>
      </c>
    </row>
    <row r="278" customFormat="false" ht="31.5" hidden="false" customHeight="true" outlineLevel="0" collapsed="false">
      <c r="A278" s="27" t="s">
        <v>102</v>
      </c>
      <c r="B278" s="26" t="s">
        <v>103</v>
      </c>
      <c r="C278" s="26" t="s">
        <v>339</v>
      </c>
    </row>
    <row r="279" customFormat="false" ht="31.5" hidden="false" customHeight="true" outlineLevel="0" collapsed="false">
      <c r="A279" s="27" t="s">
        <v>102</v>
      </c>
      <c r="B279" s="26" t="s">
        <v>103</v>
      </c>
      <c r="C279" s="26" t="s">
        <v>340</v>
      </c>
    </row>
    <row r="280" customFormat="false" ht="31.5" hidden="false" customHeight="true" outlineLevel="0" collapsed="false">
      <c r="A280" s="27" t="s">
        <v>102</v>
      </c>
      <c r="B280" s="26" t="s">
        <v>103</v>
      </c>
      <c r="C280" s="26" t="s">
        <v>341</v>
      </c>
    </row>
    <row r="281" customFormat="false" ht="31.5" hidden="false" customHeight="true" outlineLevel="0" collapsed="false">
      <c r="A281" s="27" t="s">
        <v>102</v>
      </c>
      <c r="B281" s="26" t="s">
        <v>103</v>
      </c>
      <c r="C281" s="26" t="s">
        <v>342</v>
      </c>
    </row>
    <row r="282" customFormat="false" ht="31.5" hidden="false" customHeight="true" outlineLevel="0" collapsed="false">
      <c r="A282" s="27" t="s">
        <v>102</v>
      </c>
      <c r="B282" s="26" t="s">
        <v>103</v>
      </c>
      <c r="C282" s="26" t="s">
        <v>343</v>
      </c>
    </row>
    <row r="283" customFormat="false" ht="31.5" hidden="false" customHeight="true" outlineLevel="0" collapsed="false">
      <c r="A283" s="27" t="s">
        <v>102</v>
      </c>
      <c r="B283" s="26" t="s">
        <v>103</v>
      </c>
      <c r="C283" s="26" t="s">
        <v>344</v>
      </c>
    </row>
    <row r="284" customFormat="false" ht="31.5" hidden="false" customHeight="true" outlineLevel="0" collapsed="false">
      <c r="A284" s="27" t="s">
        <v>102</v>
      </c>
      <c r="B284" s="26" t="s">
        <v>103</v>
      </c>
      <c r="C284" s="26" t="s">
        <v>345</v>
      </c>
    </row>
    <row r="285" customFormat="false" ht="31.5" hidden="false" customHeight="true" outlineLevel="0" collapsed="false">
      <c r="A285" s="27" t="s">
        <v>102</v>
      </c>
      <c r="B285" s="26" t="s">
        <v>103</v>
      </c>
      <c r="C285" s="26" t="s">
        <v>346</v>
      </c>
    </row>
    <row r="286" customFormat="false" ht="31.5" hidden="false" customHeight="true" outlineLevel="0" collapsed="false">
      <c r="A286" s="27" t="s">
        <v>102</v>
      </c>
      <c r="B286" s="26" t="s">
        <v>103</v>
      </c>
      <c r="C286" s="26" t="s">
        <v>347</v>
      </c>
    </row>
    <row r="287" customFormat="false" ht="31.5" hidden="false" customHeight="true" outlineLevel="0" collapsed="false">
      <c r="A287" s="27" t="s">
        <v>102</v>
      </c>
      <c r="B287" s="26" t="s">
        <v>103</v>
      </c>
      <c r="C287" s="26" t="s">
        <v>348</v>
      </c>
    </row>
    <row r="288" customFormat="false" ht="31.5" hidden="false" customHeight="true" outlineLevel="0" collapsed="false">
      <c r="A288" s="27" t="s">
        <v>102</v>
      </c>
      <c r="B288" s="26" t="s">
        <v>103</v>
      </c>
      <c r="C288" s="26" t="s">
        <v>349</v>
      </c>
    </row>
    <row r="289" customFormat="false" ht="31.5" hidden="false" customHeight="true" outlineLevel="0" collapsed="false">
      <c r="A289" s="27" t="s">
        <v>102</v>
      </c>
      <c r="B289" s="26" t="s">
        <v>103</v>
      </c>
      <c r="C289" s="26" t="s">
        <v>350</v>
      </c>
    </row>
    <row r="290" customFormat="false" ht="31.5" hidden="false" customHeight="true" outlineLevel="0" collapsed="false">
      <c r="A290" s="27" t="s">
        <v>102</v>
      </c>
      <c r="B290" s="26" t="s">
        <v>103</v>
      </c>
      <c r="C290" s="26" t="s">
        <v>351</v>
      </c>
    </row>
    <row r="291" customFormat="false" ht="31.5" hidden="false" customHeight="true" outlineLevel="0" collapsed="false">
      <c r="A291" s="27" t="s">
        <v>102</v>
      </c>
      <c r="B291" s="26" t="s">
        <v>103</v>
      </c>
      <c r="C291" s="26" t="s">
        <v>352</v>
      </c>
    </row>
    <row r="292" customFormat="false" ht="31.5" hidden="false" customHeight="true" outlineLevel="0" collapsed="false">
      <c r="A292" s="27" t="s">
        <v>102</v>
      </c>
      <c r="B292" s="26" t="s">
        <v>103</v>
      </c>
      <c r="C292" s="26" t="s">
        <v>353</v>
      </c>
    </row>
    <row r="293" customFormat="false" ht="31.5" hidden="false" customHeight="true" outlineLevel="0" collapsed="false">
      <c r="A293" s="27" t="s">
        <v>102</v>
      </c>
      <c r="B293" s="26" t="s">
        <v>103</v>
      </c>
      <c r="C293" s="26" t="s">
        <v>354</v>
      </c>
    </row>
    <row r="294" customFormat="false" ht="31.5" hidden="false" customHeight="true" outlineLevel="0" collapsed="false">
      <c r="A294" s="27" t="s">
        <v>102</v>
      </c>
      <c r="B294" s="26" t="s">
        <v>103</v>
      </c>
      <c r="C294" s="26" t="s">
        <v>355</v>
      </c>
    </row>
    <row r="295" customFormat="false" ht="31.5" hidden="false" customHeight="true" outlineLevel="0" collapsed="false">
      <c r="A295" s="27" t="s">
        <v>102</v>
      </c>
      <c r="B295" s="26" t="s">
        <v>103</v>
      </c>
      <c r="C295" s="26" t="s">
        <v>356</v>
      </c>
    </row>
    <row r="296" customFormat="false" ht="31.5" hidden="false" customHeight="true" outlineLevel="0" collapsed="false">
      <c r="A296" s="27" t="s">
        <v>102</v>
      </c>
      <c r="B296" s="26" t="s">
        <v>103</v>
      </c>
      <c r="C296" s="26" t="s">
        <v>357</v>
      </c>
    </row>
    <row r="297" customFormat="false" ht="31.5" hidden="false" customHeight="true" outlineLevel="0" collapsed="false">
      <c r="A297" s="27" t="s">
        <v>102</v>
      </c>
      <c r="B297" s="26" t="s">
        <v>103</v>
      </c>
      <c r="C297" s="26" t="s">
        <v>358</v>
      </c>
    </row>
    <row r="298" customFormat="false" ht="31.5" hidden="false" customHeight="true" outlineLevel="0" collapsed="false">
      <c r="A298" s="27" t="s">
        <v>102</v>
      </c>
      <c r="B298" s="26" t="s">
        <v>103</v>
      </c>
      <c r="C298" s="26" t="s">
        <v>359</v>
      </c>
    </row>
    <row r="299" customFormat="false" ht="31.5" hidden="false" customHeight="true" outlineLevel="0" collapsed="false">
      <c r="A299" s="27" t="s">
        <v>102</v>
      </c>
      <c r="B299" s="26" t="s">
        <v>103</v>
      </c>
      <c r="C299" s="26" t="s">
        <v>360</v>
      </c>
    </row>
    <row r="300" customFormat="false" ht="31.5" hidden="false" customHeight="true" outlineLevel="0" collapsed="false">
      <c r="A300" s="27" t="s">
        <v>102</v>
      </c>
      <c r="B300" s="26" t="s">
        <v>103</v>
      </c>
      <c r="C300" s="26" t="s">
        <v>361</v>
      </c>
    </row>
    <row r="301" customFormat="false" ht="31.5" hidden="false" customHeight="true" outlineLevel="0" collapsed="false">
      <c r="A301" s="27" t="s">
        <v>102</v>
      </c>
      <c r="B301" s="26" t="s">
        <v>103</v>
      </c>
      <c r="C301" s="26" t="s">
        <v>362</v>
      </c>
    </row>
    <row r="302" customFormat="false" ht="31.5" hidden="false" customHeight="true" outlineLevel="0" collapsed="false">
      <c r="A302" s="27" t="s">
        <v>102</v>
      </c>
      <c r="B302" s="26" t="s">
        <v>103</v>
      </c>
      <c r="C302" s="26" t="s">
        <v>363</v>
      </c>
    </row>
    <row r="303" customFormat="false" ht="31.5" hidden="false" customHeight="true" outlineLevel="0" collapsed="false">
      <c r="A303" s="27" t="s">
        <v>102</v>
      </c>
      <c r="B303" s="26" t="s">
        <v>103</v>
      </c>
      <c r="C303" s="26" t="s">
        <v>364</v>
      </c>
    </row>
    <row r="304" customFormat="false" ht="31.5" hidden="false" customHeight="true" outlineLevel="0" collapsed="false">
      <c r="A304" s="27" t="s">
        <v>102</v>
      </c>
      <c r="B304" s="26" t="s">
        <v>103</v>
      </c>
      <c r="C304" s="26" t="s">
        <v>365</v>
      </c>
    </row>
    <row r="305" customFormat="false" ht="31.5" hidden="false" customHeight="true" outlineLevel="0" collapsed="false">
      <c r="A305" s="27" t="s">
        <v>102</v>
      </c>
      <c r="B305" s="26" t="s">
        <v>103</v>
      </c>
      <c r="C305" s="26" t="s">
        <v>366</v>
      </c>
    </row>
    <row r="306" customFormat="false" ht="31.5" hidden="false" customHeight="true" outlineLevel="0" collapsed="false">
      <c r="A306" s="27" t="s">
        <v>102</v>
      </c>
      <c r="B306" s="26" t="s">
        <v>103</v>
      </c>
      <c r="C306" s="26" t="s">
        <v>367</v>
      </c>
    </row>
    <row r="307" customFormat="false" ht="31.5" hidden="false" customHeight="true" outlineLevel="0" collapsed="false">
      <c r="A307" s="27" t="s">
        <v>102</v>
      </c>
      <c r="B307" s="26" t="s">
        <v>103</v>
      </c>
      <c r="C307" s="26" t="s">
        <v>368</v>
      </c>
    </row>
    <row r="308" customFormat="false" ht="31.5" hidden="false" customHeight="true" outlineLevel="0" collapsed="false">
      <c r="A308" s="27" t="s">
        <v>102</v>
      </c>
      <c r="B308" s="26" t="s">
        <v>103</v>
      </c>
      <c r="C308" s="26" t="s">
        <v>369</v>
      </c>
    </row>
    <row r="309" customFormat="false" ht="31.5" hidden="false" customHeight="true" outlineLevel="0" collapsed="false">
      <c r="A309" s="27" t="s">
        <v>102</v>
      </c>
      <c r="B309" s="26" t="s">
        <v>103</v>
      </c>
      <c r="C309" s="26" t="s">
        <v>370</v>
      </c>
    </row>
    <row r="310" customFormat="false" ht="31.5" hidden="false" customHeight="true" outlineLevel="0" collapsed="false">
      <c r="A310" s="27" t="s">
        <v>102</v>
      </c>
      <c r="B310" s="26" t="s">
        <v>103</v>
      </c>
      <c r="C310" s="26" t="s">
        <v>371</v>
      </c>
    </row>
    <row r="311" customFormat="false" ht="31.5" hidden="false" customHeight="true" outlineLevel="0" collapsed="false">
      <c r="A311" s="27" t="s">
        <v>102</v>
      </c>
      <c r="B311" s="26" t="s">
        <v>103</v>
      </c>
      <c r="C311" s="26" t="s">
        <v>372</v>
      </c>
    </row>
    <row r="312" customFormat="false" ht="31.5" hidden="false" customHeight="true" outlineLevel="0" collapsed="false">
      <c r="A312" s="27" t="s">
        <v>102</v>
      </c>
      <c r="B312" s="26" t="s">
        <v>103</v>
      </c>
      <c r="C312" s="26" t="s">
        <v>373</v>
      </c>
    </row>
    <row r="313" customFormat="false" ht="31.5" hidden="false" customHeight="true" outlineLevel="0" collapsed="false">
      <c r="A313" s="27" t="s">
        <v>102</v>
      </c>
      <c r="B313" s="26" t="s">
        <v>103</v>
      </c>
      <c r="C313" s="26" t="s">
        <v>374</v>
      </c>
    </row>
    <row r="314" customFormat="false" ht="31.5" hidden="false" customHeight="true" outlineLevel="0" collapsed="false">
      <c r="A314" s="27" t="s">
        <v>102</v>
      </c>
      <c r="B314" s="26" t="s">
        <v>103</v>
      </c>
      <c r="C314" s="26" t="s">
        <v>375</v>
      </c>
    </row>
    <row r="315" customFormat="false" ht="31.5" hidden="false" customHeight="true" outlineLevel="0" collapsed="false">
      <c r="A315" s="27" t="s">
        <v>102</v>
      </c>
      <c r="B315" s="26" t="s">
        <v>103</v>
      </c>
      <c r="C315" s="26" t="s">
        <v>376</v>
      </c>
    </row>
    <row r="316" customFormat="false" ht="31.5" hidden="false" customHeight="true" outlineLevel="0" collapsed="false">
      <c r="A316" s="27" t="s">
        <v>102</v>
      </c>
      <c r="B316" s="26" t="s">
        <v>103</v>
      </c>
      <c r="C316" s="26" t="s">
        <v>377</v>
      </c>
    </row>
    <row r="317" customFormat="false" ht="31.5" hidden="false" customHeight="true" outlineLevel="0" collapsed="false">
      <c r="A317" s="27" t="s">
        <v>102</v>
      </c>
      <c r="B317" s="26" t="s">
        <v>103</v>
      </c>
      <c r="C317" s="26" t="s">
        <v>375</v>
      </c>
    </row>
    <row r="318" customFormat="false" ht="31.5" hidden="false" customHeight="true" outlineLevel="0" collapsed="false">
      <c r="A318" s="27" t="s">
        <v>102</v>
      </c>
      <c r="B318" s="26" t="s">
        <v>103</v>
      </c>
      <c r="C318" s="26" t="s">
        <v>374</v>
      </c>
    </row>
    <row r="319" customFormat="false" ht="31.5" hidden="false" customHeight="true" outlineLevel="0" collapsed="false">
      <c r="A319" s="27" t="s">
        <v>102</v>
      </c>
      <c r="B319" s="26" t="s">
        <v>103</v>
      </c>
      <c r="C319" s="26" t="s">
        <v>378</v>
      </c>
    </row>
    <row r="320" customFormat="false" ht="31.5" hidden="false" customHeight="true" outlineLevel="0" collapsed="false">
      <c r="A320" s="27" t="s">
        <v>102</v>
      </c>
      <c r="B320" s="26" t="s">
        <v>103</v>
      </c>
      <c r="C320" s="26" t="s">
        <v>379</v>
      </c>
    </row>
    <row r="321" customFormat="false" ht="31.5" hidden="false" customHeight="true" outlineLevel="0" collapsed="false">
      <c r="A321" s="27" t="s">
        <v>102</v>
      </c>
      <c r="B321" s="26" t="s">
        <v>103</v>
      </c>
      <c r="C321" s="26" t="s">
        <v>380</v>
      </c>
    </row>
    <row r="322" customFormat="false" ht="31.5" hidden="false" customHeight="true" outlineLevel="0" collapsed="false">
      <c r="A322" s="27" t="s">
        <v>102</v>
      </c>
      <c r="B322" s="26" t="s">
        <v>103</v>
      </c>
      <c r="C322" s="26" t="s">
        <v>381</v>
      </c>
    </row>
    <row r="323" customFormat="false" ht="31.5" hidden="false" customHeight="true" outlineLevel="0" collapsed="false">
      <c r="A323" s="27" t="s">
        <v>102</v>
      </c>
      <c r="B323" s="26" t="s">
        <v>103</v>
      </c>
      <c r="C323" s="26" t="s">
        <v>382</v>
      </c>
    </row>
    <row r="324" customFormat="false" ht="31.5" hidden="false" customHeight="true" outlineLevel="0" collapsed="false">
      <c r="A324" s="27" t="s">
        <v>102</v>
      </c>
      <c r="B324" s="26" t="s">
        <v>103</v>
      </c>
      <c r="C324" s="26" t="s">
        <v>383</v>
      </c>
    </row>
    <row r="325" customFormat="false" ht="31.5" hidden="false" customHeight="true" outlineLevel="0" collapsed="false">
      <c r="A325" s="27" t="s">
        <v>102</v>
      </c>
      <c r="B325" s="26" t="s">
        <v>103</v>
      </c>
      <c r="C325" s="26" t="s">
        <v>381</v>
      </c>
    </row>
    <row r="326" customFormat="false" ht="31.5" hidden="false" customHeight="true" outlineLevel="0" collapsed="false">
      <c r="A326" s="27" t="s">
        <v>102</v>
      </c>
      <c r="B326" s="26" t="s">
        <v>103</v>
      </c>
      <c r="C326" s="26" t="s">
        <v>380</v>
      </c>
    </row>
    <row r="327" customFormat="false" ht="31.5" hidden="false" customHeight="true" outlineLevel="0" collapsed="false">
      <c r="A327" s="27" t="s">
        <v>102</v>
      </c>
      <c r="B327" s="26" t="s">
        <v>103</v>
      </c>
      <c r="C327" s="26" t="s">
        <v>384</v>
      </c>
    </row>
    <row r="328" customFormat="false" ht="31.5" hidden="false" customHeight="true" outlineLevel="0" collapsed="false">
      <c r="A328" s="27" t="s">
        <v>102</v>
      </c>
      <c r="B328" s="26" t="s">
        <v>103</v>
      </c>
      <c r="C328" s="26" t="s">
        <v>385</v>
      </c>
    </row>
    <row r="329" customFormat="false" ht="31.5" hidden="false" customHeight="true" outlineLevel="0" collapsed="false">
      <c r="A329" s="27" t="s">
        <v>102</v>
      </c>
      <c r="B329" s="26" t="s">
        <v>103</v>
      </c>
      <c r="C329" s="26" t="s">
        <v>386</v>
      </c>
    </row>
    <row r="330" customFormat="false" ht="31.5" hidden="false" customHeight="true" outlineLevel="0" collapsed="false">
      <c r="A330" s="27" t="s">
        <v>102</v>
      </c>
      <c r="B330" s="26" t="s">
        <v>103</v>
      </c>
      <c r="C330" s="26" t="s">
        <v>387</v>
      </c>
    </row>
    <row r="331" customFormat="false" ht="31.5" hidden="false" customHeight="true" outlineLevel="0" collapsed="false">
      <c r="A331" s="27" t="s">
        <v>102</v>
      </c>
      <c r="B331" s="26" t="s">
        <v>103</v>
      </c>
      <c r="C331" s="26" t="s">
        <v>388</v>
      </c>
    </row>
    <row r="332" customFormat="false" ht="31.5" hidden="false" customHeight="true" outlineLevel="0" collapsed="false">
      <c r="A332" s="27" t="s">
        <v>102</v>
      </c>
      <c r="B332" s="26" t="s">
        <v>103</v>
      </c>
      <c r="C332" s="26" t="s">
        <v>389</v>
      </c>
    </row>
    <row r="333" customFormat="false" ht="31.5" hidden="false" customHeight="true" outlineLevel="0" collapsed="false">
      <c r="A333" s="27" t="s">
        <v>102</v>
      </c>
      <c r="B333" s="26" t="s">
        <v>103</v>
      </c>
      <c r="C333" s="26" t="s">
        <v>387</v>
      </c>
    </row>
    <row r="334" customFormat="false" ht="31.5" hidden="false" customHeight="true" outlineLevel="0" collapsed="false">
      <c r="A334" s="27" t="s">
        <v>102</v>
      </c>
      <c r="B334" s="26" t="s">
        <v>103</v>
      </c>
      <c r="C334" s="26" t="s">
        <v>386</v>
      </c>
    </row>
    <row r="335" customFormat="false" ht="31.5" hidden="false" customHeight="true" outlineLevel="0" collapsed="false">
      <c r="A335" s="27" t="s">
        <v>102</v>
      </c>
      <c r="B335" s="26" t="s">
        <v>103</v>
      </c>
      <c r="C335" s="26" t="s">
        <v>390</v>
      </c>
    </row>
    <row r="336" customFormat="false" ht="31.5" hidden="false" customHeight="true" outlineLevel="0" collapsed="false">
      <c r="A336" s="27" t="s">
        <v>102</v>
      </c>
      <c r="B336" s="26" t="s">
        <v>103</v>
      </c>
      <c r="C336" s="26" t="s">
        <v>391</v>
      </c>
    </row>
    <row r="337" customFormat="false" ht="31.5" hidden="false" customHeight="true" outlineLevel="0" collapsed="false">
      <c r="A337" s="27" t="s">
        <v>102</v>
      </c>
      <c r="B337" s="26" t="s">
        <v>103</v>
      </c>
      <c r="C337" s="26" t="s">
        <v>392</v>
      </c>
    </row>
    <row r="338" customFormat="false" ht="31.5" hidden="false" customHeight="true" outlineLevel="0" collapsed="false">
      <c r="A338" s="27" t="s">
        <v>102</v>
      </c>
      <c r="B338" s="26" t="s">
        <v>103</v>
      </c>
      <c r="C338" s="26" t="s">
        <v>393</v>
      </c>
    </row>
    <row r="339" customFormat="false" ht="31.5" hidden="false" customHeight="true" outlineLevel="0" collapsed="false">
      <c r="A339" s="27" t="s">
        <v>102</v>
      </c>
      <c r="B339" s="26" t="s">
        <v>103</v>
      </c>
      <c r="C339" s="26" t="s">
        <v>394</v>
      </c>
    </row>
    <row r="340" customFormat="false" ht="31.5" hidden="false" customHeight="true" outlineLevel="0" collapsed="false">
      <c r="A340" s="27" t="s">
        <v>102</v>
      </c>
      <c r="B340" s="26" t="s">
        <v>103</v>
      </c>
      <c r="C340" s="26" t="s">
        <v>395</v>
      </c>
    </row>
    <row r="341" customFormat="false" ht="31.5" hidden="false" customHeight="true" outlineLevel="0" collapsed="false">
      <c r="A341" s="27" t="s">
        <v>102</v>
      </c>
      <c r="B341" s="26" t="s">
        <v>103</v>
      </c>
      <c r="C341" s="26" t="s">
        <v>393</v>
      </c>
    </row>
    <row r="342" customFormat="false" ht="31.5" hidden="false" customHeight="true" outlineLevel="0" collapsed="false">
      <c r="A342" s="27" t="s">
        <v>102</v>
      </c>
      <c r="B342" s="26" t="s">
        <v>103</v>
      </c>
      <c r="C342" s="26" t="s">
        <v>392</v>
      </c>
    </row>
    <row r="343" customFormat="false" ht="31.5" hidden="false" customHeight="true" outlineLevel="0" collapsed="false">
      <c r="A343" s="27" t="s">
        <v>102</v>
      </c>
      <c r="B343" s="26" t="s">
        <v>103</v>
      </c>
      <c r="C343" s="26" t="s">
        <v>396</v>
      </c>
    </row>
    <row r="344" customFormat="false" ht="31.5" hidden="false" customHeight="true" outlineLevel="0" collapsed="false">
      <c r="A344" s="27" t="s">
        <v>102</v>
      </c>
      <c r="B344" s="26" t="s">
        <v>103</v>
      </c>
      <c r="C344" s="26" t="s">
        <v>397</v>
      </c>
    </row>
    <row r="345" customFormat="false" ht="31.5" hidden="false" customHeight="true" outlineLevel="0" collapsed="false">
      <c r="A345" s="27" t="s">
        <v>102</v>
      </c>
      <c r="B345" s="26" t="s">
        <v>103</v>
      </c>
      <c r="C345" s="26" t="s">
        <v>398</v>
      </c>
    </row>
    <row r="346" customFormat="false" ht="31.5" hidden="false" customHeight="true" outlineLevel="0" collapsed="false">
      <c r="A346" s="27" t="s">
        <v>102</v>
      </c>
      <c r="B346" s="26" t="s">
        <v>103</v>
      </c>
      <c r="C346" s="26" t="s">
        <v>399</v>
      </c>
    </row>
    <row r="347" customFormat="false" ht="31.5" hidden="false" customHeight="true" outlineLevel="0" collapsed="false">
      <c r="A347" s="27" t="s">
        <v>102</v>
      </c>
      <c r="B347" s="26" t="s">
        <v>103</v>
      </c>
      <c r="C347" s="26" t="s">
        <v>400</v>
      </c>
    </row>
    <row r="348" customFormat="false" ht="31.5" hidden="false" customHeight="true" outlineLevel="0" collapsed="false">
      <c r="A348" s="27" t="s">
        <v>102</v>
      </c>
      <c r="B348" s="26" t="s">
        <v>103</v>
      </c>
      <c r="C348" s="26" t="s">
        <v>401</v>
      </c>
    </row>
    <row r="349" customFormat="false" ht="31.5" hidden="false" customHeight="true" outlineLevel="0" collapsed="false">
      <c r="A349" s="27" t="s">
        <v>102</v>
      </c>
      <c r="B349" s="26" t="s">
        <v>103</v>
      </c>
      <c r="C349" s="26" t="s">
        <v>399</v>
      </c>
    </row>
    <row r="350" customFormat="false" ht="31.5" hidden="false" customHeight="true" outlineLevel="0" collapsed="false">
      <c r="A350" s="27" t="s">
        <v>102</v>
      </c>
      <c r="B350" s="26" t="s">
        <v>103</v>
      </c>
      <c r="C350" s="26" t="s">
        <v>398</v>
      </c>
    </row>
    <row r="351" customFormat="false" ht="31.5" hidden="false" customHeight="true" outlineLevel="0" collapsed="false">
      <c r="A351" s="27" t="s">
        <v>102</v>
      </c>
      <c r="B351" s="26" t="s">
        <v>103</v>
      </c>
      <c r="C351" s="26" t="s">
        <v>402</v>
      </c>
    </row>
    <row r="352" customFormat="false" ht="31.5" hidden="false" customHeight="true" outlineLevel="0" collapsed="false">
      <c r="A352" s="27" t="s">
        <v>102</v>
      </c>
      <c r="B352" s="26" t="s">
        <v>103</v>
      </c>
      <c r="C352" s="26" t="s">
        <v>403</v>
      </c>
    </row>
    <row r="353" customFormat="false" ht="31.5" hidden="false" customHeight="true" outlineLevel="0" collapsed="false">
      <c r="A353" s="27" t="s">
        <v>102</v>
      </c>
      <c r="B353" s="26" t="s">
        <v>103</v>
      </c>
      <c r="C353" s="26" t="s">
        <v>404</v>
      </c>
    </row>
    <row r="354" customFormat="false" ht="31.5" hidden="false" customHeight="true" outlineLevel="0" collapsed="false">
      <c r="A354" s="27" t="s">
        <v>102</v>
      </c>
      <c r="B354" s="26" t="s">
        <v>103</v>
      </c>
      <c r="C354" s="26" t="s">
        <v>405</v>
      </c>
    </row>
    <row r="355" customFormat="false" ht="31.5" hidden="false" customHeight="true" outlineLevel="0" collapsed="false">
      <c r="A355" s="27" t="s">
        <v>102</v>
      </c>
      <c r="B355" s="26" t="s">
        <v>103</v>
      </c>
      <c r="C355" s="26" t="s">
        <v>406</v>
      </c>
    </row>
    <row r="356" customFormat="false" ht="31.5" hidden="false" customHeight="true" outlineLevel="0" collapsed="false">
      <c r="A356" s="27" t="s">
        <v>102</v>
      </c>
      <c r="B356" s="26" t="s">
        <v>103</v>
      </c>
      <c r="C356" s="26" t="s">
        <v>407</v>
      </c>
    </row>
    <row r="357" customFormat="false" ht="31.5" hidden="false" customHeight="true" outlineLevel="0" collapsed="false">
      <c r="A357" s="27" t="s">
        <v>102</v>
      </c>
      <c r="B357" s="26" t="s">
        <v>103</v>
      </c>
      <c r="C357" s="26" t="s">
        <v>408</v>
      </c>
    </row>
    <row r="358" customFormat="false" ht="31.5" hidden="false" customHeight="true" outlineLevel="0" collapsed="false">
      <c r="A358" s="27" t="s">
        <v>102</v>
      </c>
      <c r="B358" s="26" t="s">
        <v>103</v>
      </c>
      <c r="C358" s="26" t="s">
        <v>409</v>
      </c>
    </row>
    <row r="359" customFormat="false" ht="31.5" hidden="false" customHeight="true" outlineLevel="0" collapsed="false">
      <c r="A359" s="27" t="s">
        <v>102</v>
      </c>
      <c r="B359" s="26" t="s">
        <v>103</v>
      </c>
      <c r="C359" s="26" t="s">
        <v>410</v>
      </c>
    </row>
    <row r="360" customFormat="false" ht="31.5" hidden="false" customHeight="true" outlineLevel="0" collapsed="false">
      <c r="A360" s="27" t="s">
        <v>102</v>
      </c>
      <c r="B360" s="26" t="s">
        <v>103</v>
      </c>
      <c r="C360" s="26" t="s">
        <v>411</v>
      </c>
    </row>
    <row r="361" customFormat="false" ht="31.5" hidden="false" customHeight="true" outlineLevel="0" collapsed="false">
      <c r="A361" s="27" t="s">
        <v>102</v>
      </c>
      <c r="B361" s="26" t="s">
        <v>103</v>
      </c>
      <c r="C361" s="26" t="s">
        <v>412</v>
      </c>
    </row>
    <row r="362" customFormat="false" ht="31.5" hidden="false" customHeight="true" outlineLevel="0" collapsed="false">
      <c r="A362" s="27" t="s">
        <v>102</v>
      </c>
      <c r="B362" s="26" t="s">
        <v>103</v>
      </c>
      <c r="C362" s="26" t="s">
        <v>413</v>
      </c>
    </row>
    <row r="363" customFormat="false" ht="31.5" hidden="false" customHeight="true" outlineLevel="0" collapsed="false">
      <c r="A363" s="27" t="s">
        <v>102</v>
      </c>
      <c r="B363" s="26" t="s">
        <v>103</v>
      </c>
      <c r="C363" s="26" t="s">
        <v>414</v>
      </c>
    </row>
    <row r="364" customFormat="false" ht="31.5" hidden="false" customHeight="true" outlineLevel="0" collapsed="false">
      <c r="A364" s="27" t="s">
        <v>102</v>
      </c>
      <c r="B364" s="26" t="s">
        <v>103</v>
      </c>
      <c r="C364" s="26" t="s">
        <v>415</v>
      </c>
    </row>
    <row r="365" customFormat="false" ht="31.5" hidden="false" customHeight="true" outlineLevel="0" collapsed="false">
      <c r="A365" s="27" t="s">
        <v>102</v>
      </c>
      <c r="B365" s="26" t="s">
        <v>103</v>
      </c>
      <c r="C365" s="26" t="s">
        <v>416</v>
      </c>
    </row>
    <row r="366" customFormat="false" ht="31.5" hidden="false" customHeight="true" outlineLevel="0" collapsed="false">
      <c r="A366" s="27" t="s">
        <v>102</v>
      </c>
      <c r="B366" s="26" t="s">
        <v>103</v>
      </c>
      <c r="C366" s="26" t="s">
        <v>417</v>
      </c>
    </row>
    <row r="367" customFormat="false" ht="31.5" hidden="false" customHeight="true" outlineLevel="0" collapsed="false">
      <c r="A367" s="27" t="s">
        <v>102</v>
      </c>
      <c r="B367" s="26" t="s">
        <v>103</v>
      </c>
      <c r="C367" s="26" t="s">
        <v>418</v>
      </c>
    </row>
    <row r="368" customFormat="false" ht="31.5" hidden="false" customHeight="true" outlineLevel="0" collapsed="false">
      <c r="A368" s="27" t="s">
        <v>102</v>
      </c>
      <c r="B368" s="26" t="s">
        <v>103</v>
      </c>
      <c r="C368" s="26" t="s">
        <v>419</v>
      </c>
    </row>
    <row r="369" customFormat="false" ht="31.5" hidden="false" customHeight="true" outlineLevel="0" collapsed="false">
      <c r="A369" s="27" t="s">
        <v>102</v>
      </c>
      <c r="B369" s="26" t="s">
        <v>103</v>
      </c>
      <c r="C369" s="26" t="s">
        <v>420</v>
      </c>
    </row>
    <row r="370" customFormat="false" ht="31.5" hidden="false" customHeight="true" outlineLevel="0" collapsed="false">
      <c r="A370" s="27" t="s">
        <v>102</v>
      </c>
      <c r="B370" s="26" t="s">
        <v>103</v>
      </c>
      <c r="C370" s="26" t="s">
        <v>421</v>
      </c>
    </row>
    <row r="371" customFormat="false" ht="31.5" hidden="false" customHeight="true" outlineLevel="0" collapsed="false">
      <c r="A371" s="27" t="s">
        <v>102</v>
      </c>
      <c r="B371" s="26" t="s">
        <v>103</v>
      </c>
      <c r="C371" s="26" t="s">
        <v>422</v>
      </c>
    </row>
    <row r="372" customFormat="false" ht="31.5" hidden="false" customHeight="true" outlineLevel="0" collapsed="false">
      <c r="A372" s="27" t="s">
        <v>102</v>
      </c>
      <c r="B372" s="26" t="s">
        <v>103</v>
      </c>
      <c r="C372" s="26" t="s">
        <v>423</v>
      </c>
    </row>
    <row r="373" customFormat="false" ht="31.5" hidden="false" customHeight="true" outlineLevel="0" collapsed="false">
      <c r="A373" s="27" t="s">
        <v>102</v>
      </c>
      <c r="B373" s="26" t="s">
        <v>103</v>
      </c>
      <c r="C373" s="26" t="s">
        <v>424</v>
      </c>
    </row>
    <row r="374" customFormat="false" ht="31.5" hidden="false" customHeight="true" outlineLevel="0" collapsed="false">
      <c r="A374" s="27" t="s">
        <v>102</v>
      </c>
      <c r="B374" s="26" t="s">
        <v>103</v>
      </c>
      <c r="C374" s="26" t="s">
        <v>425</v>
      </c>
    </row>
    <row r="375" customFormat="false" ht="31.5" hidden="false" customHeight="true" outlineLevel="0" collapsed="false">
      <c r="A375" s="27" t="s">
        <v>102</v>
      </c>
      <c r="B375" s="26" t="s">
        <v>103</v>
      </c>
      <c r="C375" s="26" t="s">
        <v>426</v>
      </c>
    </row>
    <row r="376" customFormat="false" ht="31.5" hidden="false" customHeight="true" outlineLevel="0" collapsed="false">
      <c r="A376" s="27" t="s">
        <v>102</v>
      </c>
      <c r="B376" s="26" t="s">
        <v>103</v>
      </c>
      <c r="C376" s="26" t="s">
        <v>427</v>
      </c>
    </row>
    <row r="377" customFormat="false" ht="31.5" hidden="false" customHeight="true" outlineLevel="0" collapsed="false">
      <c r="A377" s="27" t="s">
        <v>102</v>
      </c>
      <c r="B377" s="26" t="s">
        <v>103</v>
      </c>
      <c r="C377" s="26" t="s">
        <v>428</v>
      </c>
    </row>
    <row r="378" customFormat="false" ht="31.5" hidden="false" customHeight="true" outlineLevel="0" collapsed="false">
      <c r="A378" s="27" t="s">
        <v>102</v>
      </c>
      <c r="B378" s="26" t="s">
        <v>103</v>
      </c>
      <c r="C378" s="26" t="s">
        <v>429</v>
      </c>
    </row>
    <row r="379" customFormat="false" ht="31.5" hidden="false" customHeight="true" outlineLevel="0" collapsed="false">
      <c r="A379" s="27" t="s">
        <v>102</v>
      </c>
      <c r="B379" s="26" t="s">
        <v>103</v>
      </c>
      <c r="C379" s="26" t="s">
        <v>430</v>
      </c>
    </row>
    <row r="380" customFormat="false" ht="31.5" hidden="false" customHeight="true" outlineLevel="0" collapsed="false">
      <c r="A380" s="27" t="s">
        <v>102</v>
      </c>
      <c r="B380" s="26" t="s">
        <v>103</v>
      </c>
      <c r="C380" s="26" t="s">
        <v>431</v>
      </c>
    </row>
    <row r="381" customFormat="false" ht="31.5" hidden="false" customHeight="true" outlineLevel="0" collapsed="false">
      <c r="A381" s="27" t="s">
        <v>102</v>
      </c>
      <c r="B381" s="26" t="s">
        <v>103</v>
      </c>
      <c r="C381" s="26" t="s">
        <v>432</v>
      </c>
    </row>
    <row r="382" customFormat="false" ht="31.5" hidden="false" customHeight="true" outlineLevel="0" collapsed="false">
      <c r="A382" s="27" t="s">
        <v>102</v>
      </c>
      <c r="B382" s="26" t="s">
        <v>103</v>
      </c>
      <c r="C382" s="26" t="s">
        <v>433</v>
      </c>
    </row>
    <row r="383" customFormat="false" ht="31.5" hidden="false" customHeight="true" outlineLevel="0" collapsed="false">
      <c r="A383" s="27" t="s">
        <v>102</v>
      </c>
      <c r="B383" s="26" t="s">
        <v>103</v>
      </c>
      <c r="C383" s="26" t="s">
        <v>434</v>
      </c>
    </row>
    <row r="384" customFormat="false" ht="31.5" hidden="false" customHeight="true" outlineLevel="0" collapsed="false">
      <c r="A384" s="27" t="s">
        <v>102</v>
      </c>
      <c r="B384" s="26" t="s">
        <v>103</v>
      </c>
      <c r="C384" s="26" t="s">
        <v>434</v>
      </c>
    </row>
    <row r="385" customFormat="false" ht="31.5" hidden="false" customHeight="true" outlineLevel="0" collapsed="false">
      <c r="A385" s="27" t="s">
        <v>102</v>
      </c>
      <c r="B385" s="26" t="s">
        <v>103</v>
      </c>
      <c r="C385" s="26" t="s">
        <v>435</v>
      </c>
    </row>
    <row r="386" customFormat="false" ht="31.5" hidden="false" customHeight="true" outlineLevel="0" collapsed="false">
      <c r="A386" s="27" t="s">
        <v>102</v>
      </c>
      <c r="B386" s="26" t="s">
        <v>103</v>
      </c>
      <c r="C386" s="26" t="s">
        <v>434</v>
      </c>
    </row>
    <row r="387" customFormat="false" ht="31.5" hidden="false" customHeight="true" outlineLevel="0" collapsed="false">
      <c r="A387" s="27" t="s">
        <v>102</v>
      </c>
      <c r="B387" s="26" t="s">
        <v>103</v>
      </c>
      <c r="C387" s="26" t="s">
        <v>434</v>
      </c>
    </row>
    <row r="388" customFormat="false" ht="31.5" hidden="false" customHeight="true" outlineLevel="0" collapsed="false">
      <c r="A388" s="27" t="s">
        <v>102</v>
      </c>
      <c r="B388" s="26" t="s">
        <v>103</v>
      </c>
      <c r="C388" s="26" t="s">
        <v>436</v>
      </c>
    </row>
    <row r="389" customFormat="false" ht="31.5" hidden="false" customHeight="true" outlineLevel="0" collapsed="false">
      <c r="A389" s="27" t="s">
        <v>102</v>
      </c>
      <c r="B389" s="26" t="s">
        <v>103</v>
      </c>
      <c r="C389" s="26" t="s">
        <v>437</v>
      </c>
    </row>
    <row r="390" customFormat="false" ht="31.5" hidden="false" customHeight="true" outlineLevel="0" collapsed="false">
      <c r="A390" s="27" t="s">
        <v>102</v>
      </c>
      <c r="B390" s="26" t="s">
        <v>103</v>
      </c>
      <c r="C390" s="26" t="s">
        <v>438</v>
      </c>
    </row>
    <row r="391" customFormat="false" ht="31.5" hidden="false" customHeight="true" outlineLevel="0" collapsed="false">
      <c r="A391" s="27" t="s">
        <v>102</v>
      </c>
      <c r="B391" s="26" t="s">
        <v>103</v>
      </c>
      <c r="C391" s="26" t="s">
        <v>438</v>
      </c>
    </row>
    <row r="392" customFormat="false" ht="31.5" hidden="false" customHeight="true" outlineLevel="0" collapsed="false">
      <c r="A392" s="27" t="s">
        <v>102</v>
      </c>
      <c r="B392" s="26" t="s">
        <v>103</v>
      </c>
      <c r="C392" s="26" t="s">
        <v>439</v>
      </c>
    </row>
    <row r="393" customFormat="false" ht="31.5" hidden="false" customHeight="true" outlineLevel="0" collapsed="false">
      <c r="A393" s="27" t="s">
        <v>102</v>
      </c>
      <c r="B393" s="26" t="s">
        <v>103</v>
      </c>
      <c r="C393" s="26" t="s">
        <v>438</v>
      </c>
    </row>
    <row r="394" customFormat="false" ht="31.5" hidden="false" customHeight="true" outlineLevel="0" collapsed="false">
      <c r="A394" s="27" t="s">
        <v>102</v>
      </c>
      <c r="B394" s="26" t="s">
        <v>103</v>
      </c>
      <c r="C394" s="26" t="s">
        <v>438</v>
      </c>
    </row>
    <row r="395" customFormat="false" ht="31.5" hidden="false" customHeight="true" outlineLevel="0" collapsed="false">
      <c r="A395" s="27" t="s">
        <v>102</v>
      </c>
      <c r="B395" s="26" t="s">
        <v>103</v>
      </c>
      <c r="C395" s="26" t="s">
        <v>440</v>
      </c>
    </row>
    <row r="396" customFormat="false" ht="31.5" hidden="false" customHeight="true" outlineLevel="0" collapsed="false">
      <c r="A396" s="27" t="s">
        <v>102</v>
      </c>
      <c r="B396" s="26" t="s">
        <v>103</v>
      </c>
      <c r="C396" s="26" t="s">
        <v>441</v>
      </c>
    </row>
    <row r="397" customFormat="false" ht="31.5" hidden="false" customHeight="true" outlineLevel="0" collapsed="false">
      <c r="A397" s="27" t="s">
        <v>102</v>
      </c>
      <c r="B397" s="26" t="s">
        <v>103</v>
      </c>
      <c r="C397" s="26" t="s">
        <v>442</v>
      </c>
    </row>
    <row r="398" customFormat="false" ht="31.5" hidden="false" customHeight="true" outlineLevel="0" collapsed="false">
      <c r="A398" s="27" t="s">
        <v>102</v>
      </c>
      <c r="B398" s="26" t="s">
        <v>103</v>
      </c>
      <c r="C398" s="26" t="s">
        <v>442</v>
      </c>
    </row>
    <row r="399" customFormat="false" ht="31.5" hidden="false" customHeight="true" outlineLevel="0" collapsed="false">
      <c r="A399" s="27" t="s">
        <v>102</v>
      </c>
      <c r="B399" s="26" t="s">
        <v>103</v>
      </c>
      <c r="C399" s="26" t="s">
        <v>443</v>
      </c>
    </row>
    <row r="400" customFormat="false" ht="31.5" hidden="false" customHeight="true" outlineLevel="0" collapsed="false">
      <c r="A400" s="27" t="s">
        <v>102</v>
      </c>
      <c r="B400" s="26" t="s">
        <v>103</v>
      </c>
      <c r="C400" s="26" t="s">
        <v>442</v>
      </c>
    </row>
    <row r="401" customFormat="false" ht="31.5" hidden="false" customHeight="true" outlineLevel="0" collapsed="false">
      <c r="A401" s="27" t="s">
        <v>102</v>
      </c>
      <c r="B401" s="26" t="s">
        <v>103</v>
      </c>
      <c r="C401" s="26" t="s">
        <v>442</v>
      </c>
    </row>
    <row r="402" customFormat="false" ht="31.5" hidden="false" customHeight="true" outlineLevel="0" collapsed="false">
      <c r="A402" s="27" t="s">
        <v>102</v>
      </c>
      <c r="B402" s="26" t="s">
        <v>103</v>
      </c>
      <c r="C402" s="26" t="s">
        <v>444</v>
      </c>
    </row>
    <row r="403" customFormat="false" ht="31.5" hidden="false" customHeight="true" outlineLevel="0" collapsed="false">
      <c r="A403" s="27" t="s">
        <v>102</v>
      </c>
      <c r="B403" s="26" t="s">
        <v>103</v>
      </c>
      <c r="C403" s="26" t="s">
        <v>445</v>
      </c>
    </row>
    <row r="404" customFormat="false" ht="31.5" hidden="false" customHeight="true" outlineLevel="0" collapsed="false">
      <c r="A404" s="27" t="s">
        <v>102</v>
      </c>
      <c r="B404" s="26" t="s">
        <v>103</v>
      </c>
      <c r="C404" s="26" t="s">
        <v>446</v>
      </c>
    </row>
    <row r="405" customFormat="false" ht="31.5" hidden="false" customHeight="true" outlineLevel="0" collapsed="false">
      <c r="A405" s="27" t="s">
        <v>102</v>
      </c>
      <c r="B405" s="26" t="s">
        <v>103</v>
      </c>
      <c r="C405" s="26" t="s">
        <v>446</v>
      </c>
    </row>
    <row r="406" customFormat="false" ht="31.5" hidden="false" customHeight="true" outlineLevel="0" collapsed="false">
      <c r="A406" s="27" t="s">
        <v>102</v>
      </c>
      <c r="B406" s="26" t="s">
        <v>103</v>
      </c>
      <c r="C406" s="26" t="s">
        <v>447</v>
      </c>
    </row>
    <row r="407" customFormat="false" ht="31.5" hidden="false" customHeight="true" outlineLevel="0" collapsed="false">
      <c r="A407" s="27" t="s">
        <v>102</v>
      </c>
      <c r="B407" s="26" t="s">
        <v>103</v>
      </c>
      <c r="C407" s="26" t="s">
        <v>446</v>
      </c>
    </row>
    <row r="408" customFormat="false" ht="31.5" hidden="false" customHeight="true" outlineLevel="0" collapsed="false">
      <c r="A408" s="27" t="s">
        <v>102</v>
      </c>
      <c r="B408" s="26" t="s">
        <v>103</v>
      </c>
      <c r="C408" s="26" t="s">
        <v>446</v>
      </c>
    </row>
    <row r="409" customFormat="false" ht="31.5" hidden="false" customHeight="true" outlineLevel="0" collapsed="false">
      <c r="A409" s="27" t="s">
        <v>102</v>
      </c>
      <c r="B409" s="26" t="s">
        <v>103</v>
      </c>
      <c r="C409" s="26" t="s">
        <v>448</v>
      </c>
    </row>
    <row r="410" customFormat="false" ht="31.5" hidden="false" customHeight="true" outlineLevel="0" collapsed="false">
      <c r="A410" s="27" t="s">
        <v>102</v>
      </c>
      <c r="B410" s="26" t="s">
        <v>103</v>
      </c>
      <c r="C410" s="26" t="s">
        <v>449</v>
      </c>
    </row>
    <row r="411" customFormat="false" ht="31.5" hidden="false" customHeight="true" outlineLevel="0" collapsed="false">
      <c r="A411" s="27" t="s">
        <v>102</v>
      </c>
      <c r="B411" s="26" t="s">
        <v>103</v>
      </c>
      <c r="C411" s="26" t="s">
        <v>450</v>
      </c>
    </row>
    <row r="412" customFormat="false" ht="31.5" hidden="false" customHeight="true" outlineLevel="0" collapsed="false">
      <c r="A412" s="27" t="s">
        <v>102</v>
      </c>
      <c r="B412" s="26" t="s">
        <v>103</v>
      </c>
      <c r="C412" s="26" t="s">
        <v>450</v>
      </c>
    </row>
    <row r="413" customFormat="false" ht="31.5" hidden="false" customHeight="true" outlineLevel="0" collapsed="false">
      <c r="A413" s="27" t="s">
        <v>102</v>
      </c>
      <c r="B413" s="26" t="s">
        <v>103</v>
      </c>
      <c r="C413" s="26" t="s">
        <v>451</v>
      </c>
    </row>
    <row r="414" customFormat="false" ht="31.5" hidden="false" customHeight="true" outlineLevel="0" collapsed="false">
      <c r="A414" s="27" t="s">
        <v>102</v>
      </c>
      <c r="B414" s="26" t="s">
        <v>103</v>
      </c>
      <c r="C414" s="26" t="s">
        <v>450</v>
      </c>
    </row>
    <row r="415" customFormat="false" ht="31.5" hidden="false" customHeight="true" outlineLevel="0" collapsed="false">
      <c r="A415" s="27" t="s">
        <v>102</v>
      </c>
      <c r="B415" s="26" t="s">
        <v>103</v>
      </c>
      <c r="C415" s="26" t="s">
        <v>450</v>
      </c>
    </row>
    <row r="416" customFormat="false" ht="31.5" hidden="false" customHeight="true" outlineLevel="0" collapsed="false">
      <c r="A416" s="27" t="s">
        <v>102</v>
      </c>
      <c r="B416" s="26" t="s">
        <v>103</v>
      </c>
      <c r="C416" s="26" t="s">
        <v>452</v>
      </c>
    </row>
    <row r="417" customFormat="false" ht="31.5" hidden="false" customHeight="true" outlineLevel="0" collapsed="false">
      <c r="A417" s="27" t="s">
        <v>102</v>
      </c>
      <c r="B417" s="26" t="s">
        <v>103</v>
      </c>
      <c r="C417" s="26" t="s">
        <v>453</v>
      </c>
    </row>
    <row r="418" customFormat="false" ht="31.5" hidden="false" customHeight="true" outlineLevel="0" collapsed="false">
      <c r="A418" s="27" t="s">
        <v>102</v>
      </c>
      <c r="B418" s="26" t="s">
        <v>103</v>
      </c>
      <c r="C418" s="26" t="s">
        <v>454</v>
      </c>
    </row>
    <row r="419" customFormat="false" ht="31.5" hidden="false" customHeight="true" outlineLevel="0" collapsed="false">
      <c r="A419" s="27" t="s">
        <v>102</v>
      </c>
      <c r="B419" s="26" t="s">
        <v>103</v>
      </c>
      <c r="C419" s="26" t="s">
        <v>455</v>
      </c>
    </row>
    <row r="420" customFormat="false" ht="31.5" hidden="false" customHeight="true" outlineLevel="0" collapsed="false">
      <c r="A420" s="27" t="s">
        <v>102</v>
      </c>
      <c r="B420" s="26" t="s">
        <v>103</v>
      </c>
      <c r="C420" s="26" t="s">
        <v>456</v>
      </c>
    </row>
    <row r="421" customFormat="false" ht="31.5" hidden="false" customHeight="true" outlineLevel="0" collapsed="false">
      <c r="A421" s="27" t="s">
        <v>102</v>
      </c>
      <c r="B421" s="26" t="s">
        <v>103</v>
      </c>
      <c r="C421" s="26" t="s">
        <v>457</v>
      </c>
    </row>
    <row r="422" customFormat="false" ht="31.5" hidden="false" customHeight="true" outlineLevel="0" collapsed="false">
      <c r="A422" s="27" t="s">
        <v>102</v>
      </c>
      <c r="B422" s="26" t="s">
        <v>103</v>
      </c>
      <c r="C422" s="26" t="s">
        <v>458</v>
      </c>
    </row>
    <row r="423" customFormat="false" ht="31.5" hidden="false" customHeight="true" outlineLevel="0" collapsed="false">
      <c r="A423" s="27" t="s">
        <v>102</v>
      </c>
      <c r="B423" s="26" t="s">
        <v>103</v>
      </c>
      <c r="C423" s="26" t="s">
        <v>459</v>
      </c>
    </row>
    <row r="424" customFormat="false" ht="31.5" hidden="false" customHeight="true" outlineLevel="0" collapsed="false">
      <c r="A424" s="27" t="s">
        <v>102</v>
      </c>
      <c r="B424" s="26" t="s">
        <v>103</v>
      </c>
      <c r="C424" s="26" t="s">
        <v>460</v>
      </c>
    </row>
    <row r="425" customFormat="false" ht="31.5" hidden="false" customHeight="true" outlineLevel="0" collapsed="false">
      <c r="A425" s="27" t="s">
        <v>102</v>
      </c>
      <c r="B425" s="26" t="s">
        <v>103</v>
      </c>
      <c r="C425" s="26" t="s">
        <v>461</v>
      </c>
    </row>
    <row r="426" customFormat="false" ht="31.5" hidden="false" customHeight="true" outlineLevel="0" collapsed="false">
      <c r="A426" s="27" t="s">
        <v>102</v>
      </c>
      <c r="B426" s="26" t="s">
        <v>103</v>
      </c>
      <c r="C426" s="26" t="s">
        <v>462</v>
      </c>
    </row>
    <row r="427" customFormat="false" ht="31.5" hidden="false" customHeight="true" outlineLevel="0" collapsed="false">
      <c r="A427" s="27" t="s">
        <v>102</v>
      </c>
      <c r="B427" s="26" t="s">
        <v>103</v>
      </c>
      <c r="C427" s="26" t="s">
        <v>463</v>
      </c>
    </row>
    <row r="428" customFormat="false" ht="31.5" hidden="false" customHeight="true" outlineLevel="0" collapsed="false">
      <c r="A428" s="27" t="s">
        <v>102</v>
      </c>
      <c r="B428" s="26" t="s">
        <v>103</v>
      </c>
      <c r="C428" s="26" t="s">
        <v>464</v>
      </c>
    </row>
    <row r="429" customFormat="false" ht="31.5" hidden="false" customHeight="true" outlineLevel="0" collapsed="false">
      <c r="A429" s="27" t="s">
        <v>102</v>
      </c>
      <c r="B429" s="26" t="s">
        <v>103</v>
      </c>
      <c r="C429" s="26" t="s">
        <v>465</v>
      </c>
    </row>
    <row r="430" customFormat="false" ht="31.5" hidden="false" customHeight="true" outlineLevel="0" collapsed="false">
      <c r="A430" s="27" t="s">
        <v>102</v>
      </c>
      <c r="B430" s="26" t="s">
        <v>103</v>
      </c>
      <c r="C430" s="26" t="s">
        <v>466</v>
      </c>
    </row>
    <row r="431" customFormat="false" ht="31.5" hidden="false" customHeight="true" outlineLevel="0" collapsed="false">
      <c r="A431" s="27" t="s">
        <v>102</v>
      </c>
      <c r="B431" s="26" t="s">
        <v>103</v>
      </c>
      <c r="C431" s="26" t="s">
        <v>467</v>
      </c>
    </row>
    <row r="432" customFormat="false" ht="31.5" hidden="false" customHeight="true" outlineLevel="0" collapsed="false">
      <c r="A432" s="27" t="s">
        <v>102</v>
      </c>
      <c r="B432" s="26" t="s">
        <v>103</v>
      </c>
      <c r="C432" s="26" t="s">
        <v>468</v>
      </c>
    </row>
    <row r="433" customFormat="false" ht="31.5" hidden="false" customHeight="true" outlineLevel="0" collapsed="false">
      <c r="A433" s="27" t="s">
        <v>102</v>
      </c>
      <c r="B433" s="26" t="s">
        <v>103</v>
      </c>
      <c r="C433" s="26" t="s">
        <v>469</v>
      </c>
    </row>
    <row r="434" customFormat="false" ht="31.5" hidden="false" customHeight="true" outlineLevel="0" collapsed="false">
      <c r="A434" s="27" t="s">
        <v>102</v>
      </c>
      <c r="B434" s="26" t="s">
        <v>103</v>
      </c>
      <c r="C434" s="26" t="s">
        <v>470</v>
      </c>
    </row>
    <row r="435" customFormat="false" ht="31.5" hidden="false" customHeight="true" outlineLevel="0" collapsed="false">
      <c r="A435" s="27" t="s">
        <v>102</v>
      </c>
      <c r="B435" s="26" t="s">
        <v>103</v>
      </c>
      <c r="C435" s="26" t="s">
        <v>471</v>
      </c>
    </row>
    <row r="436" customFormat="false" ht="31.5" hidden="false" customHeight="true" outlineLevel="0" collapsed="false">
      <c r="A436" s="27" t="s">
        <v>102</v>
      </c>
      <c r="B436" s="26" t="s">
        <v>103</v>
      </c>
      <c r="C436" s="26" t="s">
        <v>472</v>
      </c>
    </row>
    <row r="437" customFormat="false" ht="31.5" hidden="false" customHeight="true" outlineLevel="0" collapsed="false">
      <c r="A437" s="27" t="s">
        <v>102</v>
      </c>
      <c r="B437" s="26" t="s">
        <v>103</v>
      </c>
      <c r="C437" s="26" t="s">
        <v>473</v>
      </c>
    </row>
    <row r="438" customFormat="false" ht="31.5" hidden="false" customHeight="true" outlineLevel="0" collapsed="false">
      <c r="A438" s="27" t="s">
        <v>102</v>
      </c>
      <c r="B438" s="26" t="s">
        <v>103</v>
      </c>
      <c r="C438" s="26" t="s">
        <v>474</v>
      </c>
    </row>
    <row r="439" customFormat="false" ht="31.5" hidden="false" customHeight="true" outlineLevel="0" collapsed="false">
      <c r="A439" s="27" t="s">
        <v>102</v>
      </c>
      <c r="B439" s="26" t="s">
        <v>103</v>
      </c>
      <c r="C439" s="26" t="s">
        <v>475</v>
      </c>
    </row>
    <row r="440" customFormat="false" ht="31.5" hidden="false" customHeight="true" outlineLevel="0" collapsed="false">
      <c r="A440" s="27" t="s">
        <v>102</v>
      </c>
      <c r="B440" s="26" t="s">
        <v>103</v>
      </c>
      <c r="C440" s="26" t="s">
        <v>476</v>
      </c>
    </row>
    <row r="441" customFormat="false" ht="31.5" hidden="false" customHeight="true" outlineLevel="0" collapsed="false">
      <c r="A441" s="27" t="s">
        <v>102</v>
      </c>
      <c r="B441" s="26" t="s">
        <v>103</v>
      </c>
      <c r="C441" s="26" t="s">
        <v>477</v>
      </c>
    </row>
    <row r="442" customFormat="false" ht="31.5" hidden="false" customHeight="true" outlineLevel="0" collapsed="false">
      <c r="A442" s="27" t="s">
        <v>102</v>
      </c>
      <c r="B442" s="26" t="s">
        <v>103</v>
      </c>
      <c r="C442" s="26" t="s">
        <v>478</v>
      </c>
    </row>
    <row r="443" customFormat="false" ht="31.5" hidden="false" customHeight="true" outlineLevel="0" collapsed="false">
      <c r="A443" s="27" t="s">
        <v>102</v>
      </c>
      <c r="B443" s="26" t="s">
        <v>103</v>
      </c>
      <c r="C443" s="26" t="s">
        <v>479</v>
      </c>
    </row>
    <row r="444" customFormat="false" ht="31.5" hidden="false" customHeight="true" outlineLevel="0" collapsed="false">
      <c r="A444" s="27" t="s">
        <v>102</v>
      </c>
      <c r="B444" s="26" t="s">
        <v>103</v>
      </c>
      <c r="C444" s="26" t="s">
        <v>480</v>
      </c>
    </row>
    <row r="445" customFormat="false" ht="31.5" hidden="false" customHeight="true" outlineLevel="0" collapsed="false">
      <c r="A445" s="27" t="s">
        <v>102</v>
      </c>
      <c r="B445" s="26" t="s">
        <v>103</v>
      </c>
      <c r="C445" s="26" t="s">
        <v>481</v>
      </c>
    </row>
    <row r="446" customFormat="false" ht="31.5" hidden="false" customHeight="true" outlineLevel="0" collapsed="false">
      <c r="A446" s="27" t="s">
        <v>102</v>
      </c>
      <c r="B446" s="26" t="s">
        <v>103</v>
      </c>
      <c r="C446" s="26" t="s">
        <v>482</v>
      </c>
    </row>
    <row r="447" customFormat="false" ht="31.5" hidden="false" customHeight="true" outlineLevel="0" collapsed="false">
      <c r="A447" s="27" t="s">
        <v>102</v>
      </c>
      <c r="B447" s="26" t="s">
        <v>103</v>
      </c>
      <c r="C447" s="26" t="s">
        <v>483</v>
      </c>
    </row>
    <row r="448" customFormat="false" ht="31.5" hidden="false" customHeight="true" outlineLevel="0" collapsed="false">
      <c r="A448" s="27" t="s">
        <v>102</v>
      </c>
      <c r="B448" s="26" t="s">
        <v>103</v>
      </c>
      <c r="C448" s="26" t="s">
        <v>484</v>
      </c>
    </row>
    <row r="449" customFormat="false" ht="31.5" hidden="false" customHeight="true" outlineLevel="0" collapsed="false">
      <c r="A449" s="27" t="s">
        <v>102</v>
      </c>
      <c r="B449" s="26" t="s">
        <v>103</v>
      </c>
      <c r="C449" s="26" t="s">
        <v>485</v>
      </c>
    </row>
    <row r="450" customFormat="false" ht="31.5" hidden="false" customHeight="true" outlineLevel="0" collapsed="false">
      <c r="A450" s="27" t="s">
        <v>102</v>
      </c>
      <c r="B450" s="26" t="s">
        <v>103</v>
      </c>
      <c r="C450" s="26" t="s">
        <v>486</v>
      </c>
    </row>
    <row r="451" customFormat="false" ht="31.5" hidden="false" customHeight="true" outlineLevel="0" collapsed="false">
      <c r="A451" s="27" t="s">
        <v>102</v>
      </c>
      <c r="B451" s="26" t="s">
        <v>103</v>
      </c>
      <c r="C451" s="26" t="s">
        <v>487</v>
      </c>
    </row>
    <row r="452" customFormat="false" ht="31.5" hidden="false" customHeight="true" outlineLevel="0" collapsed="false">
      <c r="A452" s="27" t="s">
        <v>102</v>
      </c>
      <c r="B452" s="26" t="s">
        <v>103</v>
      </c>
      <c r="C452" s="26" t="s">
        <v>488</v>
      </c>
    </row>
    <row r="453" customFormat="false" ht="31.5" hidden="false" customHeight="true" outlineLevel="0" collapsed="false">
      <c r="A453" s="27" t="s">
        <v>102</v>
      </c>
      <c r="B453" s="26" t="s">
        <v>103</v>
      </c>
      <c r="C453" s="26" t="s">
        <v>489</v>
      </c>
    </row>
    <row r="454" customFormat="false" ht="31.5" hidden="false" customHeight="true" outlineLevel="0" collapsed="false">
      <c r="A454" s="27" t="s">
        <v>102</v>
      </c>
      <c r="B454" s="26" t="s">
        <v>103</v>
      </c>
      <c r="C454" s="26" t="s">
        <v>490</v>
      </c>
    </row>
    <row r="455" customFormat="false" ht="31.5" hidden="false" customHeight="true" outlineLevel="0" collapsed="false">
      <c r="A455" s="27" t="s">
        <v>102</v>
      </c>
      <c r="B455" s="26" t="s">
        <v>103</v>
      </c>
      <c r="C455" s="26" t="s">
        <v>491</v>
      </c>
    </row>
    <row r="456" customFormat="false" ht="31.5" hidden="false" customHeight="true" outlineLevel="0" collapsed="false">
      <c r="A456" s="27" t="s">
        <v>102</v>
      </c>
      <c r="B456" s="26" t="s">
        <v>103</v>
      </c>
      <c r="C456" s="26" t="s">
        <v>492</v>
      </c>
    </row>
    <row r="457" customFormat="false" ht="31.5" hidden="false" customHeight="true" outlineLevel="0" collapsed="false">
      <c r="A457" s="27" t="s">
        <v>102</v>
      </c>
      <c r="B457" s="26" t="s">
        <v>103</v>
      </c>
      <c r="C457" s="26" t="s">
        <v>493</v>
      </c>
    </row>
    <row r="458" customFormat="false" ht="31.5" hidden="false" customHeight="true" outlineLevel="0" collapsed="false">
      <c r="A458" s="27" t="s">
        <v>102</v>
      </c>
      <c r="B458" s="26" t="s">
        <v>103</v>
      </c>
      <c r="C458" s="26" t="s">
        <v>494</v>
      </c>
    </row>
    <row r="459" customFormat="false" ht="31.5" hidden="false" customHeight="true" outlineLevel="0" collapsed="false">
      <c r="A459" s="27" t="s">
        <v>102</v>
      </c>
      <c r="B459" s="26" t="s">
        <v>103</v>
      </c>
      <c r="C459" s="26" t="s">
        <v>495</v>
      </c>
    </row>
    <row r="460" customFormat="false" ht="31.5" hidden="false" customHeight="true" outlineLevel="0" collapsed="false">
      <c r="A460" s="27" t="s">
        <v>102</v>
      </c>
      <c r="B460" s="26" t="s">
        <v>103</v>
      </c>
      <c r="C460" s="26" t="s">
        <v>496</v>
      </c>
    </row>
    <row r="461" customFormat="false" ht="31.5" hidden="false" customHeight="true" outlineLevel="0" collapsed="false">
      <c r="A461" s="27" t="s">
        <v>102</v>
      </c>
      <c r="B461" s="26" t="s">
        <v>103</v>
      </c>
      <c r="C461" s="26" t="s">
        <v>497</v>
      </c>
    </row>
    <row r="462" customFormat="false" ht="31.5" hidden="false" customHeight="true" outlineLevel="0" collapsed="false">
      <c r="A462" s="27" t="s">
        <v>102</v>
      </c>
      <c r="B462" s="26" t="s">
        <v>103</v>
      </c>
      <c r="C462" s="26" t="s">
        <v>498</v>
      </c>
    </row>
    <row r="463" customFormat="false" ht="31.5" hidden="false" customHeight="true" outlineLevel="0" collapsed="false">
      <c r="A463" s="27" t="s">
        <v>102</v>
      </c>
      <c r="B463" s="26" t="s">
        <v>103</v>
      </c>
      <c r="C463" s="26" t="s">
        <v>499</v>
      </c>
    </row>
    <row r="464" customFormat="false" ht="31.5" hidden="false" customHeight="true" outlineLevel="0" collapsed="false">
      <c r="A464" s="27" t="s">
        <v>102</v>
      </c>
      <c r="B464" s="26" t="s">
        <v>103</v>
      </c>
      <c r="C464" s="26" t="s">
        <v>499</v>
      </c>
    </row>
    <row r="465" customFormat="false" ht="31.5" hidden="false" customHeight="true" outlineLevel="0" collapsed="false">
      <c r="A465" s="27" t="s">
        <v>102</v>
      </c>
      <c r="B465" s="26" t="s">
        <v>103</v>
      </c>
      <c r="C465" s="26" t="s">
        <v>500</v>
      </c>
    </row>
    <row r="466" customFormat="false" ht="31.5" hidden="false" customHeight="true" outlineLevel="0" collapsed="false">
      <c r="A466" s="27" t="s">
        <v>102</v>
      </c>
      <c r="B466" s="26" t="s">
        <v>103</v>
      </c>
      <c r="C466" s="26" t="s">
        <v>501</v>
      </c>
    </row>
    <row r="467" customFormat="false" ht="31.5" hidden="false" customHeight="true" outlineLevel="0" collapsed="false">
      <c r="A467" s="27" t="s">
        <v>102</v>
      </c>
      <c r="B467" s="26" t="s">
        <v>103</v>
      </c>
      <c r="C467" s="26" t="s">
        <v>502</v>
      </c>
    </row>
    <row r="468" customFormat="false" ht="31.5" hidden="false" customHeight="true" outlineLevel="0" collapsed="false">
      <c r="A468" s="27" t="s">
        <v>102</v>
      </c>
      <c r="B468" s="26" t="s">
        <v>103</v>
      </c>
      <c r="C468" s="26" t="s">
        <v>502</v>
      </c>
    </row>
    <row r="469" customFormat="false" ht="31.5" hidden="false" customHeight="true" outlineLevel="0" collapsed="false">
      <c r="A469" s="27" t="s">
        <v>102</v>
      </c>
      <c r="B469" s="26" t="s">
        <v>103</v>
      </c>
      <c r="C469" s="26" t="s">
        <v>503</v>
      </c>
    </row>
    <row r="470" customFormat="false" ht="31.5" hidden="false" customHeight="true" outlineLevel="0" collapsed="false">
      <c r="A470" s="27" t="s">
        <v>102</v>
      </c>
      <c r="B470" s="26" t="s">
        <v>103</v>
      </c>
      <c r="C470" s="26" t="s">
        <v>504</v>
      </c>
    </row>
    <row r="471" customFormat="false" ht="31.5" hidden="false" customHeight="true" outlineLevel="0" collapsed="false">
      <c r="A471" s="27" t="s">
        <v>102</v>
      </c>
      <c r="B471" s="26" t="s">
        <v>103</v>
      </c>
      <c r="C471" s="26" t="s">
        <v>505</v>
      </c>
    </row>
    <row r="472" customFormat="false" ht="31.5" hidden="false" customHeight="true" outlineLevel="0" collapsed="false">
      <c r="A472" s="27" t="s">
        <v>102</v>
      </c>
      <c r="B472" s="26" t="s">
        <v>103</v>
      </c>
      <c r="C472" s="26" t="s">
        <v>505</v>
      </c>
    </row>
    <row r="473" customFormat="false" ht="31.5" hidden="false" customHeight="true" outlineLevel="0" collapsed="false">
      <c r="A473" s="27" t="s">
        <v>102</v>
      </c>
      <c r="B473" s="26" t="s">
        <v>103</v>
      </c>
      <c r="C473" s="26" t="s">
        <v>506</v>
      </c>
    </row>
    <row r="474" customFormat="false" ht="31.5" hidden="false" customHeight="true" outlineLevel="0" collapsed="false">
      <c r="A474" s="27" t="s">
        <v>102</v>
      </c>
      <c r="B474" s="26" t="s">
        <v>103</v>
      </c>
      <c r="C474" s="26" t="s">
        <v>507</v>
      </c>
    </row>
    <row r="475" customFormat="false" ht="31.5" hidden="false" customHeight="true" outlineLevel="0" collapsed="false">
      <c r="A475" s="27" t="s">
        <v>102</v>
      </c>
      <c r="B475" s="26" t="s">
        <v>103</v>
      </c>
      <c r="C475" s="26" t="s">
        <v>508</v>
      </c>
    </row>
    <row r="476" customFormat="false" ht="31.5" hidden="false" customHeight="true" outlineLevel="0" collapsed="false">
      <c r="A476" s="27" t="s">
        <v>102</v>
      </c>
      <c r="B476" s="26" t="s">
        <v>103</v>
      </c>
      <c r="C476" s="26" t="s">
        <v>508</v>
      </c>
    </row>
    <row r="477" customFormat="false" ht="31.5" hidden="false" customHeight="true" outlineLevel="0" collapsed="false">
      <c r="A477" s="27" t="s">
        <v>102</v>
      </c>
      <c r="B477" s="26" t="s">
        <v>103</v>
      </c>
      <c r="C477" s="26" t="s">
        <v>509</v>
      </c>
    </row>
    <row r="478" customFormat="false" ht="31.5" hidden="false" customHeight="true" outlineLevel="0" collapsed="false">
      <c r="A478" s="27" t="s">
        <v>102</v>
      </c>
      <c r="B478" s="26" t="s">
        <v>103</v>
      </c>
      <c r="C478" s="26" t="s">
        <v>510</v>
      </c>
    </row>
    <row r="479" customFormat="false" ht="31.5" hidden="false" customHeight="true" outlineLevel="0" collapsed="false">
      <c r="A479" s="27" t="s">
        <v>102</v>
      </c>
      <c r="B479" s="26" t="s">
        <v>103</v>
      </c>
      <c r="C479" s="26" t="s">
        <v>511</v>
      </c>
    </row>
    <row r="480" customFormat="false" ht="31.5" hidden="false" customHeight="true" outlineLevel="0" collapsed="false">
      <c r="A480" s="27" t="s">
        <v>102</v>
      </c>
      <c r="B480" s="26" t="s">
        <v>103</v>
      </c>
      <c r="C480" s="26" t="s">
        <v>511</v>
      </c>
    </row>
    <row r="481" customFormat="false" ht="31.5" hidden="false" customHeight="true" outlineLevel="0" collapsed="false">
      <c r="A481" s="27" t="s">
        <v>102</v>
      </c>
      <c r="B481" s="26" t="s">
        <v>103</v>
      </c>
      <c r="C481" s="26" t="s">
        <v>512</v>
      </c>
    </row>
    <row r="482" customFormat="false" ht="31.5" hidden="false" customHeight="true" outlineLevel="0" collapsed="false">
      <c r="A482" s="27" t="s">
        <v>102</v>
      </c>
      <c r="B482" s="26" t="s">
        <v>103</v>
      </c>
      <c r="C482" s="26" t="s">
        <v>513</v>
      </c>
    </row>
    <row r="483" customFormat="false" ht="31.5" hidden="false" customHeight="true" outlineLevel="0" collapsed="false">
      <c r="A483" s="27" t="s">
        <v>102</v>
      </c>
      <c r="B483" s="26" t="s">
        <v>103</v>
      </c>
      <c r="C483" s="26" t="s">
        <v>514</v>
      </c>
    </row>
    <row r="484" customFormat="false" ht="31.5" hidden="false" customHeight="true" outlineLevel="0" collapsed="false">
      <c r="A484" s="27" t="s">
        <v>102</v>
      </c>
      <c r="B484" s="26" t="s">
        <v>103</v>
      </c>
      <c r="C484" s="26" t="s">
        <v>515</v>
      </c>
    </row>
    <row r="485" customFormat="false" ht="31.5" hidden="false" customHeight="true" outlineLevel="0" collapsed="false">
      <c r="A485" s="27" t="s">
        <v>102</v>
      </c>
      <c r="B485" s="26" t="s">
        <v>103</v>
      </c>
      <c r="C485" s="26" t="s">
        <v>516</v>
      </c>
    </row>
    <row r="486" customFormat="false" ht="31.5" hidden="false" customHeight="true" outlineLevel="0" collapsed="false">
      <c r="A486" s="27" t="s">
        <v>102</v>
      </c>
      <c r="B486" s="26" t="s">
        <v>103</v>
      </c>
      <c r="C486" s="26" t="s">
        <v>517</v>
      </c>
    </row>
    <row r="487" customFormat="false" ht="31.5" hidden="false" customHeight="true" outlineLevel="0" collapsed="false">
      <c r="A487" s="27" t="s">
        <v>102</v>
      </c>
      <c r="B487" s="26" t="s">
        <v>103</v>
      </c>
      <c r="C487" s="26" t="s">
        <v>518</v>
      </c>
    </row>
    <row r="488" customFormat="false" ht="31.5" hidden="false" customHeight="true" outlineLevel="0" collapsed="false">
      <c r="A488" s="27" t="s">
        <v>102</v>
      </c>
      <c r="B488" s="26" t="s">
        <v>103</v>
      </c>
      <c r="C488" s="26" t="s">
        <v>519</v>
      </c>
    </row>
    <row r="489" customFormat="false" ht="31.5" hidden="false" customHeight="true" outlineLevel="0" collapsed="false">
      <c r="A489" s="27" t="s">
        <v>102</v>
      </c>
      <c r="B489" s="26" t="s">
        <v>103</v>
      </c>
      <c r="C489" s="26" t="s">
        <v>520</v>
      </c>
    </row>
    <row r="490" customFormat="false" ht="31.5" hidden="false" customHeight="true" outlineLevel="0" collapsed="false">
      <c r="A490" s="27" t="s">
        <v>102</v>
      </c>
      <c r="B490" s="26" t="s">
        <v>103</v>
      </c>
      <c r="C490" s="26" t="s">
        <v>521</v>
      </c>
    </row>
    <row r="491" customFormat="false" ht="31.5" hidden="false" customHeight="true" outlineLevel="0" collapsed="false">
      <c r="A491" s="27" t="s">
        <v>102</v>
      </c>
      <c r="B491" s="26" t="s">
        <v>103</v>
      </c>
      <c r="C491" s="26" t="s">
        <v>522</v>
      </c>
    </row>
    <row r="492" customFormat="false" ht="31.5" hidden="false" customHeight="true" outlineLevel="0" collapsed="false">
      <c r="A492" s="27" t="s">
        <v>102</v>
      </c>
      <c r="B492" s="26" t="s">
        <v>103</v>
      </c>
      <c r="C492" s="26" t="s">
        <v>523</v>
      </c>
    </row>
    <row r="493" customFormat="false" ht="31.5" hidden="false" customHeight="true" outlineLevel="0" collapsed="false">
      <c r="A493" s="27" t="s">
        <v>102</v>
      </c>
      <c r="B493" s="26" t="s">
        <v>103</v>
      </c>
      <c r="C493" s="26" t="s">
        <v>524</v>
      </c>
    </row>
    <row r="494" customFormat="false" ht="31.5" hidden="false" customHeight="true" outlineLevel="0" collapsed="false">
      <c r="A494" s="27" t="s">
        <v>102</v>
      </c>
      <c r="B494" s="26" t="s">
        <v>103</v>
      </c>
      <c r="C494" s="26" t="s">
        <v>525</v>
      </c>
    </row>
    <row r="495" customFormat="false" ht="31.5" hidden="false" customHeight="true" outlineLevel="0" collapsed="false">
      <c r="A495" s="27" t="s">
        <v>102</v>
      </c>
      <c r="B495" s="26" t="s">
        <v>103</v>
      </c>
      <c r="C495" s="26" t="s">
        <v>526</v>
      </c>
    </row>
    <row r="496" customFormat="false" ht="31.5" hidden="false" customHeight="true" outlineLevel="0" collapsed="false">
      <c r="A496" s="27" t="s">
        <v>102</v>
      </c>
      <c r="B496" s="26" t="s">
        <v>103</v>
      </c>
      <c r="C496" s="26" t="s">
        <v>527</v>
      </c>
    </row>
    <row r="497" customFormat="false" ht="31.5" hidden="false" customHeight="true" outlineLevel="0" collapsed="false">
      <c r="A497" s="27" t="s">
        <v>102</v>
      </c>
      <c r="B497" s="26" t="s">
        <v>103</v>
      </c>
      <c r="C497" s="26" t="s">
        <v>528</v>
      </c>
    </row>
    <row r="498" customFormat="false" ht="31.5" hidden="false" customHeight="true" outlineLevel="0" collapsed="false">
      <c r="A498" s="27" t="s">
        <v>102</v>
      </c>
      <c r="B498" s="26" t="s">
        <v>103</v>
      </c>
      <c r="C498" s="26" t="s">
        <v>529</v>
      </c>
    </row>
    <row r="499" customFormat="false" ht="31.5" hidden="false" customHeight="true" outlineLevel="0" collapsed="false">
      <c r="A499" s="27" t="s">
        <v>102</v>
      </c>
      <c r="B499" s="26" t="s">
        <v>103</v>
      </c>
      <c r="C499" s="26" t="s">
        <v>530</v>
      </c>
    </row>
    <row r="500" customFormat="false" ht="31.5" hidden="false" customHeight="true" outlineLevel="0" collapsed="false">
      <c r="A500" s="27" t="s">
        <v>102</v>
      </c>
      <c r="B500" s="26" t="s">
        <v>103</v>
      </c>
      <c r="C500" s="26" t="s">
        <v>531</v>
      </c>
    </row>
    <row r="501" customFormat="false" ht="31.5" hidden="false" customHeight="true" outlineLevel="0" collapsed="false">
      <c r="A501" s="27" t="s">
        <v>102</v>
      </c>
      <c r="B501" s="26" t="s">
        <v>103</v>
      </c>
      <c r="C501" s="26" t="s">
        <v>532</v>
      </c>
    </row>
    <row r="502" customFormat="false" ht="31.5" hidden="false" customHeight="true" outlineLevel="0" collapsed="false">
      <c r="A502" s="27" t="s">
        <v>102</v>
      </c>
      <c r="B502" s="26" t="s">
        <v>103</v>
      </c>
      <c r="C502" s="26" t="s">
        <v>533</v>
      </c>
    </row>
    <row r="503" customFormat="false" ht="31.5" hidden="false" customHeight="true" outlineLevel="0" collapsed="false">
      <c r="A503" s="27" t="s">
        <v>102</v>
      </c>
      <c r="B503" s="26" t="s">
        <v>103</v>
      </c>
      <c r="C503" s="26" t="s">
        <v>534</v>
      </c>
    </row>
    <row r="504" customFormat="false" ht="31.5" hidden="false" customHeight="true" outlineLevel="0" collapsed="false">
      <c r="A504" s="27" t="s">
        <v>102</v>
      </c>
      <c r="B504" s="26" t="s">
        <v>103</v>
      </c>
      <c r="C504" s="26" t="s">
        <v>535</v>
      </c>
    </row>
    <row r="505" customFormat="false" ht="31.5" hidden="false" customHeight="true" outlineLevel="0" collapsed="false">
      <c r="A505" s="27" t="s">
        <v>102</v>
      </c>
      <c r="B505" s="26" t="s">
        <v>103</v>
      </c>
      <c r="C505" s="26" t="s">
        <v>536</v>
      </c>
    </row>
    <row r="506" customFormat="false" ht="31.5" hidden="false" customHeight="true" outlineLevel="0" collapsed="false">
      <c r="A506" s="27" t="s">
        <v>102</v>
      </c>
      <c r="B506" s="26" t="s">
        <v>103</v>
      </c>
      <c r="C506" s="26" t="s">
        <v>537</v>
      </c>
    </row>
    <row r="507" customFormat="false" ht="31.5" hidden="false" customHeight="true" outlineLevel="0" collapsed="false">
      <c r="A507" s="27" t="s">
        <v>102</v>
      </c>
      <c r="B507" s="26" t="s">
        <v>103</v>
      </c>
      <c r="C507" s="26" t="s">
        <v>538</v>
      </c>
    </row>
  </sheetData>
  <autoFilter ref="A5:C507"/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2025-07-16T02:30:30Z</dcterms:created>
  <dc:creator>Varcas Kumar Sabharwal</dc:creator>
  <dc:description/>
  <dc:language>en-AE</dc:language>
  <cp:lastModifiedBy>Ryan Rodrigues</cp:lastModifiedBy>
  <dcterms:modified xsi:type="dcterms:W3CDTF">2026-10-03T22:04:28Z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0x01010068406715A740934999FE71FB7A3B349E</vt:lpwstr>
  </property>
</Properties>
</file>