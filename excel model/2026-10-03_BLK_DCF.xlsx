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sset Manager Model" sheetId="1" state="visible" r:id="rId3"/>
    <sheet name="Data Review" sheetId="2" state="visible" r:id="rId4"/>
  </sheets>
  <definedNames>
    <definedName function="false" hidden="true" localSheetId="1" name="_xlnm._FilterDatabase" vbProcedure="false">'Data Review'!$A$5:$I$244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<sst xmlns="http://schemas.openxmlformats.org/spreadsheetml/2006/main" count="1612" uniqueCount="319">
  <si>
    <t xml:space="preserve">BlackRock, Inc. (BLK) — AUM and Fee-Driven FCFF Valuation</t>
  </si>
  <si>
    <t xml:space="preserve">Amounts are USD actuals, displayed in millions except per-share data, percentages, and shares. Blue cells are editable live-market inputs or analyst assumptions; historical filing facts are black; formulas are green.</t>
  </si>
  <si>
    <t xml:space="preserve">AUM roll-forward — filed actuals and formula-driven forecast</t>
  </si>
  <si>
    <t xml:space="preserve">Editable assumptions and current market / bridge inputs</t>
  </si>
  <si>
    <t xml:space="preserve">Schedule / fiscal year</t>
  </si>
  <si>
    <t xml:space="preserve">FY2023A</t>
  </si>
  <si>
    <t xml:space="preserve">FY2024A</t>
  </si>
  <si>
    <t xml:space="preserve">FY2025A</t>
  </si>
  <si>
    <t xml:space="preserve">FY2026E</t>
  </si>
  <si>
    <t xml:space="preserve">FY2027E</t>
  </si>
  <si>
    <t xml:space="preserve">FY2028E</t>
  </si>
  <si>
    <t xml:space="preserve">FY2029E</t>
  </si>
  <si>
    <t xml:space="preserve">FY2030E</t>
  </si>
  <si>
    <t xml:space="preserve">Assumption / sourced input</t>
  </si>
  <si>
    <t xml:space="preserve">Value</t>
  </si>
  <si>
    <t xml:space="preserve">Source / treatment</t>
  </si>
  <si>
    <t xml:space="preserve">Beginning AUM</t>
  </si>
  <si>
    <t xml:space="preserve">AUM market return</t>
  </si>
  <si>
    <t xml:space="preserve">Analyst input; editable. See Data Review.</t>
  </si>
  <si>
    <t xml:space="preserve">Market change</t>
  </si>
  <si>
    <t xml:space="preserve">Net-flow rate / beginning AUM</t>
  </si>
  <si>
    <t xml:space="preserve">Derived from the latest three filed years; see Data Review.</t>
  </si>
  <si>
    <t xml:space="preserve">Net flows</t>
  </si>
  <si>
    <t xml:space="preserve">Realizations / beginning AUM</t>
  </si>
  <si>
    <t xml:space="preserve">Realizations / distributions</t>
  </si>
  <si>
    <t xml:space="preserve">Acquisitions / beginning AUM</t>
  </si>
  <si>
    <t xml:space="preserve">Acquisitions</t>
  </si>
  <si>
    <t xml:space="preserve">FX change / beginning AUM</t>
  </si>
  <si>
    <t xml:space="preserve">Foreign-exchange change</t>
  </si>
  <si>
    <t xml:space="preserve">Other scope change / beginning AUM</t>
  </si>
  <si>
    <t xml:space="preserve">Other / scope change</t>
  </si>
  <si>
    <t xml:space="preserve">Base advisory-fee yield / average AUM</t>
  </si>
  <si>
    <t xml:space="preserve">Ending AUM</t>
  </si>
  <si>
    <t xml:space="preserve">Performance-fee yield / average AUM</t>
  </si>
  <si>
    <t xml:space="preserve">Average AUM</t>
  </si>
  <si>
    <t xml:space="preserve">Capital allocation-income yield / AUM</t>
  </si>
  <si>
    <t xml:space="preserve">AUM roll-forward check (must equal zero)</t>
  </si>
  <si>
    <t xml:space="preserve">Securities-lending yield / AUM</t>
  </si>
  <si>
    <t xml:space="preserve">Technology / subscription revenue growth</t>
  </si>
  <si>
    <t xml:space="preserve">Revenue build — fee lines remain separate and reconcile to filed revenue</t>
  </si>
  <si>
    <t xml:space="preserve">Technology revenue base</t>
  </si>
  <si>
    <t xml:space="preserve">Filed / live source and method shown in Data Review.</t>
  </si>
  <si>
    <t xml:space="preserve">Base advisory fee yield / average AUM</t>
  </si>
  <si>
    <t xml:space="preserve">Distribution fee yield / average AUM</t>
  </si>
  <si>
    <t xml:space="preserve">Base advisory fees</t>
  </si>
  <si>
    <t xml:space="preserve">Administrative and other revenue growth</t>
  </si>
  <si>
    <t xml:space="preserve">Performance fee yield / average AUM</t>
  </si>
  <si>
    <t xml:space="preserve">Other advisory revenue growth</t>
  </si>
  <si>
    <t xml:space="preserve">Performance fees</t>
  </si>
  <si>
    <t xml:space="preserve">Unmapped revenue growth</t>
  </si>
  <si>
    <t xml:space="preserve">Capital allocation-based income</t>
  </si>
  <si>
    <t xml:space="preserve">Operating margin</t>
  </si>
  <si>
    <t xml:space="preserve">Securities lending revenue</t>
  </si>
  <si>
    <t xml:space="preserve">Cash tax rate</t>
  </si>
  <si>
    <t xml:space="preserve">Technology and subscription revenue</t>
  </si>
  <si>
    <t xml:space="preserve">Depreciation / revenue</t>
  </si>
  <si>
    <t xml:space="preserve">Distribution and servicing fees</t>
  </si>
  <si>
    <t xml:space="preserve">Acquisition amortization / revenue</t>
  </si>
  <si>
    <t xml:space="preserve">Administrative and other fees</t>
  </si>
  <si>
    <t xml:space="preserve">CapEx / revenue</t>
  </si>
  <si>
    <t xml:space="preserve">Other advisory revenue</t>
  </si>
  <si>
    <t xml:space="preserve">Working capital change / revenue</t>
  </si>
  <si>
    <t xml:space="preserve">Unmapped consolidated revenue</t>
  </si>
  <si>
    <t xml:space="preserve">Risk-free rate</t>
  </si>
  <si>
    <t xml:space="preserve">Filed source; see Data Review.</t>
  </si>
  <si>
    <t xml:space="preserve">Consolidated revenue</t>
  </si>
  <si>
    <t xml:space="preserve">Equity risk premium</t>
  </si>
  <si>
    <t xml:space="preserve">Calculated fee and other revenue build</t>
  </si>
  <si>
    <t xml:space="preserve">Beta</t>
  </si>
  <si>
    <t xml:space="preserve">Revenue reconciliation check (must equal zero)</t>
  </si>
  <si>
    <t xml:space="preserve">Cost of debt</t>
  </si>
  <si>
    <t xml:space="preserve">Cost of equity (CAPM)</t>
  </si>
  <si>
    <t xml:space="preserve">Formula from live market inputs and filed/current capital values.</t>
  </si>
  <si>
    <t xml:space="preserve">Operating forecast and unlevered free cash flow</t>
  </si>
  <si>
    <t xml:space="preserve">Equity weight</t>
  </si>
  <si>
    <t xml:space="preserve">Debt weight</t>
  </si>
  <si>
    <t xml:space="preserve">Weighted average cost of capital</t>
  </si>
  <si>
    <t xml:space="preserve">EBIT</t>
  </si>
  <si>
    <t xml:space="preserve">Perpetual FCFF growth</t>
  </si>
  <si>
    <t xml:space="preserve">Current share price</t>
  </si>
  <si>
    <t xml:space="preserve">Current market or latest FY2025 filed source; see Data Review source register.</t>
  </si>
  <si>
    <t xml:space="preserve">Taxes on EBIT</t>
  </si>
  <si>
    <t xml:space="preserve">Filed weighted-average diluted shares</t>
  </si>
  <si>
    <t xml:space="preserve">NOPAT</t>
  </si>
  <si>
    <t xml:space="preserve">Current market capitalization</t>
  </si>
  <si>
    <t xml:space="preserve">Depreciation and amortization</t>
  </si>
  <si>
    <t xml:space="preserve">Filed cash and equivalents</t>
  </si>
  <si>
    <t xml:space="preserve">Acquisition-related amortization</t>
  </si>
  <si>
    <t xml:space="preserve">Filed marketable securities</t>
  </si>
  <si>
    <t xml:space="preserve">Total non-cash D&amp;A add-back</t>
  </si>
  <si>
    <t xml:space="preserve">Filed interest-bearing debt</t>
  </si>
  <si>
    <t xml:space="preserve">Capital expenditures</t>
  </si>
  <si>
    <t xml:space="preserve">Filed noncontrolling interest</t>
  </si>
  <si>
    <t xml:space="preserve">Change in operating working capital / other operating assets and liabilities</t>
  </si>
  <si>
    <t xml:space="preserve">Filed preferred equity</t>
  </si>
  <si>
    <t xml:space="preserve">Unlevered free cash flow</t>
  </si>
  <si>
    <t xml:space="preserve">Discount factor</t>
  </si>
  <si>
    <t xml:space="preserve">Present value of FCFF</t>
  </si>
  <si>
    <t xml:space="preserve">FCFF identity check (must equal zero)</t>
  </si>
  <si>
    <t xml:space="preserve">Unlevered DCF and common-equity bridge</t>
  </si>
  <si>
    <t xml:space="preserve">Discount rate / WACC</t>
  </si>
  <si>
    <t xml:space="preserve">Terminal FCFF</t>
  </si>
  <si>
    <t xml:space="preserve">Terminal growth</t>
  </si>
  <si>
    <t xml:space="preserve">Terminal value (Gordon growth)</t>
  </si>
  <si>
    <t xml:space="preserve">Present value of terminal value</t>
  </si>
  <si>
    <t xml:space="preserve">Present value of forecast FCFF</t>
  </si>
  <si>
    <t xml:space="preserve">Enterprise value</t>
  </si>
  <si>
    <t xml:space="preserve">Add cash and cash equivalents</t>
  </si>
  <si>
    <t xml:space="preserve">Add separately reported marketable securities</t>
  </si>
  <si>
    <t xml:space="preserve">Less interest-bearing debt</t>
  </si>
  <si>
    <t xml:space="preserve">Less noncontrolling interest</t>
  </si>
  <si>
    <t xml:space="preserve">Less preferred equity</t>
  </si>
  <si>
    <t xml:space="preserve">Common-equity value</t>
  </si>
  <si>
    <t xml:space="preserve">Implied value per diluted share</t>
  </si>
  <si>
    <t xml:space="preserve">Implied upside / (downside)</t>
  </si>
  <si>
    <t xml:space="preserve">Lease treatment: filed operating lease expense remains in EBIT and projected operating expenses; operating lease liabilities are excluded from the bridge to avoid double counting.</t>
  </si>
  <si>
    <t xml:space="preserve">Per-share sensitivity — WACC and terminal growth</t>
  </si>
  <si>
    <t xml:space="preserve">WACC / terminal growth</t>
  </si>
  <si>
    <t xml:space="preserve">Sensitivity recalculates explicit FCFF and terminal value at each WACC / terminal-growth pair; it is not a probability-weighted case.</t>
  </si>
  <si>
    <t xml:space="preserve">Data Review — BlackRock, Inc. (BLK)</t>
  </si>
  <si>
    <t xml:space="preserve">SEC actuals and derived source mappings are listed by fiscal year. Analyst assumptions are separate below. Blank source lines remain blank in history; assumptions are editable in blue on the Asset Manager Model sheet.</t>
  </si>
  <si>
    <t xml:space="preserve">Status</t>
  </si>
  <si>
    <t xml:space="preserve">FY</t>
  </si>
  <si>
    <t xml:space="preserve">Model input</t>
  </si>
  <si>
    <t xml:space="preserve">Value (USD actual / ratio)</t>
  </si>
  <si>
    <t xml:space="preserve">Source concept / label</t>
  </si>
  <si>
    <t xml:space="preserve">SEC accession</t>
  </si>
  <si>
    <t xml:space="preserve">Filed</t>
  </si>
  <si>
    <t xml:space="preserve">Unit / scale</t>
  </si>
  <si>
    <t xml:space="preserve">Mapping method / source statement</t>
  </si>
  <si>
    <t xml:space="preserve">SEC_NATIVE</t>
  </si>
  <si>
    <t xml:space="preserve">asset_manager.aum</t>
  </si>
  <si>
    <t xml:space="preserve">AssetManagerAum</t>
  </si>
  <si>
    <t xml:space="preserve">0001193125-26-071966</t>
  </si>
  <si>
    <t xml:space="preserve">2026-02-25</t>
  </si>
  <si>
    <t xml:space="preserve">USD millions</t>
  </si>
  <si>
    <t xml:space="preserve">SEC 10-K Assets Under Management table, Total row</t>
  </si>
  <si>
    <t xml:space="preserve">asset_manager.beginning_aum</t>
  </si>
  <si>
    <t xml:space="preserve">DERIVED</t>
  </si>
  <si>
    <t xml:space="preserve">asset_manager.average_aum</t>
  </si>
  <si>
    <t xml:space="preserve">asset_manager.net_flows</t>
  </si>
  <si>
    <t xml:space="preserve">AssetManagerNetFlows</t>
  </si>
  <si>
    <t xml:space="preserve">0000950170-25-026584</t>
  </si>
  <si>
    <t xml:space="preserve">2025-02-25</t>
  </si>
  <si>
    <t xml:space="preserve">SEC 10-K AUM change by client type and product type, Total row; reported net flows</t>
  </si>
  <si>
    <t xml:space="preserve">MISSING</t>
  </si>
  <si>
    <t xml:space="preserve">asset_manager.realizations</t>
  </si>
  <si>
    <t xml:space="preserve">AssetManagerRealizations</t>
  </si>
  <si>
    <t xml:space="preserve">missing_filed_asset_manager_table_line</t>
  </si>
  <si>
    <t xml:space="preserve">asset_manager.acquisitions</t>
  </si>
  <si>
    <t xml:space="preserve">AssetManagerAcquisitions</t>
  </si>
  <si>
    <t xml:space="preserve">SEC 10-K AUM change by client type and product type, Total row; reported acquisitions</t>
  </si>
  <si>
    <t xml:space="preserve">asset_manager.market_change</t>
  </si>
  <si>
    <t xml:space="preserve">AssetManagerMarketChange</t>
  </si>
  <si>
    <t xml:space="preserve">SEC 10-K AUM change by client type and product type, Total row; reported market change</t>
  </si>
  <si>
    <t xml:space="preserve">asset_manager.fx_change</t>
  </si>
  <si>
    <t xml:space="preserve">AssetManagerFxChange</t>
  </si>
  <si>
    <t xml:space="preserve">SEC 10-K AUM change by client type and product type, Total row; reported fx impact</t>
  </si>
  <si>
    <t xml:space="preserve">asset_manager.scope_change</t>
  </si>
  <si>
    <t xml:space="preserve">AssetManagerScopeChange</t>
  </si>
  <si>
    <t xml:space="preserve">SEC 10-K AUM change by client type and product type, Total row; derived as ending AUM less beginning AUM and reported movement components</t>
  </si>
  <si>
    <t xml:space="preserve">ReportedBeginningAum</t>
  </si>
  <si>
    <t xml:space="preserve">SEC 10-K AUM change by client type and product type, Total row</t>
  </si>
  <si>
    <t xml:space="preserve">ReportedNetFlows</t>
  </si>
  <si>
    <t xml:space="preserve">ReportedAcquisitions</t>
  </si>
  <si>
    <t xml:space="preserve">ReportedMarketChange</t>
  </si>
  <si>
    <t xml:space="preserve">ReportedFxChange</t>
  </si>
  <si>
    <t xml:space="preserve">ReportedEndingAum</t>
  </si>
  <si>
    <t xml:space="preserve">asset_manager.depreciation</t>
  </si>
  <si>
    <t xml:space="preserve">AssetManagerDepreciation</t>
  </si>
  <si>
    <t xml:space="preserve">SEC 10-K Consolidated Statements of Cash Flows, Depreciation and amortization row</t>
  </si>
  <si>
    <t xml:space="preserve">asset_manager.acquisition_amortization</t>
  </si>
  <si>
    <t xml:space="preserve">AssetManagerAcquisitionAmortization</t>
  </si>
  <si>
    <t xml:space="preserve">asset_manager.working_capital_change</t>
  </si>
  <si>
    <t xml:space="preserve">AssetManagerWorkingCapitalChange</t>
  </si>
  <si>
    <t xml:space="preserve">SEC 10-K Consolidated Statements of Cash Flows, Other adjustments; derived as the negative of reported asset/liability cash impacts to present investment in operating working capital</t>
  </si>
  <si>
    <t xml:space="preserve">AccountsReceivableCashImpact</t>
  </si>
  <si>
    <t xml:space="preserve">SEC 10-K Consolidated Statements of Cash Flows, Other adjustments, Accounts receivable row</t>
  </si>
  <si>
    <t xml:space="preserve">TradingInvestmentsCashImpact</t>
  </si>
  <si>
    <t xml:space="preserve">SEC 10-K Consolidated Statements of Cash Flows, Other adjustments, Investments, trading row</t>
  </si>
  <si>
    <t xml:space="preserve">OtherOperatingAssetsCashImpact</t>
  </si>
  <si>
    <t xml:space="preserve">SEC 10-K Consolidated Statements of Cash Flows, Other adjustments, Other assets row</t>
  </si>
  <si>
    <t xml:space="preserve">AccruedCompensationCashImpact</t>
  </si>
  <si>
    <t xml:space="preserve">SEC 10-K Consolidated Statements of Cash Flows, Other adjustments, Accrued compensation and benefits row</t>
  </si>
  <si>
    <t xml:space="preserve">AccountsPayableCashImpact</t>
  </si>
  <si>
    <t xml:space="preserve">SEC 10-K Consolidated Statements of Cash Flows, Other adjustments, Accounts payable and accrued liabilities row</t>
  </si>
  <si>
    <t xml:space="preserve">OtherOperatingLiabilitiesCashImpact</t>
  </si>
  <si>
    <t xml:space="preserve">SEC 10-K Consolidated Statements of Cash Flows, Other adjustments, Other liabilities row</t>
  </si>
  <si>
    <t xml:space="preserve">asset_manager.base_fees</t>
  </si>
  <si>
    <t xml:space="preserve">AssetManagerBaseFees</t>
  </si>
  <si>
    <t xml:space="preserve">SEC 10-K consolidated fee-revenue table</t>
  </si>
  <si>
    <t xml:space="preserve">asset_manager.base_fee_yield</t>
  </si>
  <si>
    <t xml:space="preserve">asset_manager.capital_allocation_income</t>
  </si>
  <si>
    <t xml:space="preserve">AssetManagerCapitalAllocationIncome</t>
  </si>
  <si>
    <t xml:space="preserve">asset_manager.performance_fees</t>
  </si>
  <si>
    <t xml:space="preserve">AssetManagerPerformanceFees</t>
  </si>
  <si>
    <t xml:space="preserve">asset_manager.securities_lending_revenue</t>
  </si>
  <si>
    <t xml:space="preserve">AssetManagerSecuritiesLendingRevenue</t>
  </si>
  <si>
    <t xml:space="preserve">asset_manager.technology_revenue</t>
  </si>
  <si>
    <t xml:space="preserve">AssetManagerTechnologyRevenue</t>
  </si>
  <si>
    <t xml:space="preserve">asset_manager.distribution_revenue</t>
  </si>
  <si>
    <t xml:space="preserve">AssetManagerDistributionRevenue</t>
  </si>
  <si>
    <t xml:space="preserve">asset_manager.administrative_other_revenue</t>
  </si>
  <si>
    <t xml:space="preserve">AssetManagerAdministrativeOtherRevenue</t>
  </si>
  <si>
    <t xml:space="preserve">asset_manager.other_revenue</t>
  </si>
  <si>
    <t xml:space="preserve">AssetManagerOtherRevenue</t>
  </si>
  <si>
    <t xml:space="preserve">asset_manager.unmapped_revenue</t>
  </si>
  <si>
    <t xml:space="preserve">RevenueFromContractWithCustomerExcludingAssessedTax</t>
  </si>
  <si>
    <t xml:space="preserve">USD actual</t>
  </si>
  <si>
    <t xml:space="preserve">IncomeStatement</t>
  </si>
  <si>
    <t xml:space="preserve">revenue</t>
  </si>
  <si>
    <t xml:space="preserve">OperatingIncomeLoss</t>
  </si>
  <si>
    <t xml:space="preserve">interest_expense</t>
  </si>
  <si>
    <t xml:space="preserve">InterestExpenseNonoperating</t>
  </si>
  <si>
    <t xml:space="preserve">tax_rate</t>
  </si>
  <si>
    <t xml:space="preserve">IncomeTaxExpenseBenefit</t>
  </si>
  <si>
    <t xml:space="preserve">IncomeLossFromContinuingOperationsBeforeIncomeTaxesExtraordinaryItemsNoncontrollingInterest</t>
  </si>
  <si>
    <t xml:space="preserve">CapEx</t>
  </si>
  <si>
    <t xml:space="preserve">PaymentsToAcquirePropertyPlantAndEquipment</t>
  </si>
  <si>
    <t xml:space="preserve">CashFlowStatement</t>
  </si>
  <si>
    <t xml:space="preserve">cash</t>
  </si>
  <si>
    <t xml:space="preserve">CashAndCashEquivalentsAtCarryingValue</t>
  </si>
  <si>
    <t xml:space="preserve">BalanceSheet</t>
  </si>
  <si>
    <t xml:space="preserve">marketable_securities</t>
  </si>
  <si>
    <t xml:space="preserve">missing_or_inconsistent_marketable_securities_inputs</t>
  </si>
  <si>
    <t xml:space="preserve">debt</t>
  </si>
  <si>
    <t xml:space="preserve">LongTermDebt</t>
  </si>
  <si>
    <t xml:space="preserve">working_capital cash movement</t>
  </si>
  <si>
    <t xml:space="preserve">depreciation and amortization</t>
  </si>
  <si>
    <t xml:space="preserve">acquisition amortization</t>
  </si>
  <si>
    <t xml:space="preserve">noncontrolling interest</t>
  </si>
  <si>
    <t xml:space="preserve">MinorityInterest</t>
  </si>
  <si>
    <t xml:space="preserve">preferred equity</t>
  </si>
  <si>
    <t xml:space="preserve">PreferredStockCarryingValue</t>
  </si>
  <si>
    <t xml:space="preserve">missing_companyfact</t>
  </si>
  <si>
    <t xml:space="preserve">diluted shares</t>
  </si>
  <si>
    <t xml:space="preserve">us-gaap:WeightedAverageNumberOfDilutedSharesOutstanding</t>
  </si>
  <si>
    <t xml:space="preserve">shares actual</t>
  </si>
  <si>
    <t xml:space="preserve">CompanyFacts</t>
  </si>
  <si>
    <t xml:space="preserve">NOT_APPLICABLE</t>
  </si>
  <si>
    <t xml:space="preserve">No separate marketable securities current balance was reported in annual XBRL facts or statement rows</t>
  </si>
  <si>
    <t xml:space="preserve">No separate marketable securities noncurrent balance was reported in annual XBRL facts or statement rows</t>
  </si>
  <si>
    <t xml:space="preserve">No separate current debt balance was reported in annual XBRL facts or statement rows</t>
  </si>
  <si>
    <t xml:space="preserve">No separate commercial paper balance was reported in annual XBRL facts or statement rows</t>
  </si>
  <si>
    <t xml:space="preserve">Preferred equity not reported as outstanding in annual XBRL facts</t>
  </si>
  <si>
    <t xml:space="preserve">SEC 10-K AUM change by client region, Total row; reported net flows</t>
  </si>
  <si>
    <t xml:space="preserve">SEC 10-K AUM change by client region, Total row; reported realizations</t>
  </si>
  <si>
    <t xml:space="preserve">SEC 10-K AUM change by client region, Total row; reported acquisitions</t>
  </si>
  <si>
    <t xml:space="preserve">SEC 10-K AUM change by client region, Total row; reported market change</t>
  </si>
  <si>
    <t xml:space="preserve">SEC 10-K AUM change by client region, Total row; reported fx impact</t>
  </si>
  <si>
    <t xml:space="preserve">SEC 10-K AUM change by client region, Total row; derived as ending AUM less beginning AUM and reported movement components</t>
  </si>
  <si>
    <t xml:space="preserve">SEC 10-K AUM change by client region, Total row</t>
  </si>
  <si>
    <t xml:space="preserve">ReportedRealizations</t>
  </si>
  <si>
    <t xml:space="preserve">Analyst and live-market assumptions</t>
  </si>
  <si>
    <t xml:space="preserve">ASSUMPTION</t>
  </si>
  <si>
    <t xml:space="preserve">marketReturnRate</t>
  </si>
  <si>
    <t xml:space="preserve">Analyst input: 0.0% annual market appreciation/depreciation. Filed 2023–2025 market movements are shown in history and are not extrapolated as a forward market forecast.</t>
  </si>
  <si>
    <t xml:space="preserve">netFlowRate</t>
  </si>
  <si>
    <t xml:space="preserve">Three-year arithmetic average of filed net flows divided by beginning AUM. FY2023 filed_10k_asset_manager_table_value_normalized; AssetManagerNetFlows (accession 0000950170-25-026584, filed 2025-02-25, FY 2023); FY2024 filed_10k_asset_manager_table_value_normalized; AssetManagerNetFlows (accession 0001193125-26-071966, filed 2026-02-25, FY 2024); FY2025 filed_10k_asset_manager_table_value_normalized; AssetManagerNetFlows (accession 0001193125-26-071966, filed 2026-02-25, FY 2025)</t>
  </si>
  <si>
    <t xml:space="preserve">realizationsRate</t>
  </si>
  <si>
    <t xml:space="preserve">Analyst input: 0.0%; the last three filings do not separately disclose a complete realizations series. Any unclassified historical movement is preserved in the AUM scope-change line. Edit if a company-specific forecast is available.</t>
  </si>
  <si>
    <t xml:space="preserve">acquisitionRate</t>
  </si>
  <si>
    <t xml:space="preserve">Three-year arithmetic average of filed acquisitions divided by beginning AUM. FY2023 filed_10k_asset_manager_table_value_normalized; AssetManagerAcquisitions (accession 0000950170-25-026584, filed 2025-02-25, FY 2023); FY2024 filed_10k_asset_manager_table_value_normalized; AssetManagerAcquisitions (accession 0001193125-26-071966, filed 2026-02-25, FY 2024); FY2025 filed_10k_asset_manager_table_value_normalized; AssetManagerAcquisitions (accession 0001193125-26-071966, filed 2026-02-25, FY 2025)</t>
  </si>
  <si>
    <t xml:space="preserve">fxChangeRate</t>
  </si>
  <si>
    <t xml:space="preserve">Three-year arithmetic average of filed fx_change divided by beginning AUM. FY2023 filed_10k_asset_manager_table_value_normalized; AssetManagerFxChange (accession 0000950170-25-026584, filed 2025-02-25, FY 2023); FY2024 filed_10k_asset_manager_table_value_normalized; AssetManagerFxChange (accession 0001193125-26-071966, filed 2026-02-25, FY 2024); FY2025 filed_10k_asset_manager_table_value_normalized; AssetManagerFxChange (accession 0001193125-26-071966, filed 2026-02-25, FY 2025)</t>
  </si>
  <si>
    <t xml:space="preserve">scopeChangeRate</t>
  </si>
  <si>
    <t xml:space="preserve">Analyst input: 0.0%; one-time AUM scope changes are displayed in filed history and not extrapolated as recurring growth.</t>
  </si>
  <si>
    <t xml:space="preserve">baseFeeYield</t>
  </si>
  <si>
    <t xml:space="preserve">Three-year average of filed advisory-fee revenue divided by average AUM. FY2023 base_advisory_fees_divided_by_average_aum; AssetManagerBaseFees (accession 0001193125-26-071966, filed 2026-02-25, FY 2023); AssetManagerAum (accession 0001193125-26-071966, filed 2026-02-25, FY 2022); AssetManagerAum (accession 0001193125-26-071966, filed 2026-02-25, FY 2023); FY2024 base_advisory_fees_divided_by_average_aum; AssetManagerBaseFees (accession 0001193125-26-071966, filed 2026-02-25, FY 2024); AssetManagerAum (accession 0001193125-26-071966, filed 2026-02-25, FY 2023); AssetManagerAum (accession 0001193125-26-071966, filed 2026-02-25, FY 2024); FY2025 base_advisory_fees_divided_by_average_aum; AssetManagerBaseFees (accession 0001193125-26-071966, filed 2026-02-25, FY 2025); AssetManagerAum (accession 0001193125-26-071966, filed 2026-02-25, FY 2024); AssetManagerAum (accession 0001193125-26-071966, filed 2026-02-25, FY 2025)</t>
  </si>
  <si>
    <t xml:space="preserve">performanceFeeYield</t>
  </si>
  <si>
    <t xml:space="preserve">Three-year average performance fees divided by filed average AUM. FY2023 filed_10k_asset_manager_table_value_normalized; AssetManagerPerformanceFees (accession 0001193125-26-071966, filed 2026-02-25, FY 2023); FY2024 filed_10k_asset_manager_table_value_normalized; AssetManagerPerformanceFees (accession 0001193125-26-071966, filed 2026-02-25, FY 2024); FY2025 filed_10k_asset_manager_table_value_normalized; AssetManagerPerformanceFees (accession 0001193125-26-071966, filed 2026-02-25, FY 2025)</t>
  </si>
  <si>
    <t xml:space="preserve">capitalAllocationYield</t>
  </si>
  <si>
    <t xml:space="preserve">Analyst input: 0.0% yield; this separate revenue component is not reported for all three years. The source history remains visible, and the assumption is editable.</t>
  </si>
  <si>
    <t xml:space="preserve">securitiesLendingYield</t>
  </si>
  <si>
    <t xml:space="preserve">Three-year average securities-lending revenue divided by filed average AUM. FY2023 filed_10k_asset_manager_table_value_normalized; AssetManagerSecuritiesLendingRevenue (accession 0001193125-26-071966, filed 2026-02-25, FY 2023); FY2024 filed_10k_asset_manager_table_value_normalized; AssetManagerSecuritiesLendingRevenue (accession 0001193125-26-071966, filed 2026-02-25, FY 2024); FY2025 filed_10k_asset_manager_table_value_normalized; AssetManagerSecuritiesLendingRevenue (accession 0001193125-26-071966, filed 2026-02-25, FY 2025)</t>
  </si>
  <si>
    <t xml:space="preserve">technologyRevenueBase</t>
  </si>
  <si>
    <t xml:space="preserve">FY2025 filed_10k_asset_manager_table_value_normalized; AssetManagerTechnologyRevenue (accession 0001193125-26-071966, filed 2026-02-25, FY 2025)</t>
  </si>
  <si>
    <t xml:space="preserve">technologyRevenueGrowth</t>
  </si>
  <si>
    <t xml:space="preserve">Median of the two year-over-year growth rates in the latest three filed technology and subscription revenue observations. FY2023 filed_10k_asset_manager_table_value_normalized; AssetManagerTechnologyRevenue (accession 0001193125-26-071966, filed 2026-02-25, FY 2023); FY2024 filed_10k_asset_manager_table_value_normalized; AssetManagerTechnologyRevenue (accession 0001193125-26-071966, filed 2026-02-25, FY 2024); FY2025 filed_10k_asset_manager_table_value_normalized; AssetManagerTechnologyRevenue (accession 0001193125-26-071966, filed 2026-02-25, FY 2025)</t>
  </si>
  <si>
    <t xml:space="preserve">distributionFeeYield</t>
  </si>
  <si>
    <t xml:space="preserve">Three-year average distribution revenue divided by filed average AUM. FY2023 filed_10k_asset_manager_table_value_normalized; AssetManagerDistributionRevenue (accession 0001193125-26-071966, filed 2026-02-25, FY 2023); FY2024 filed_10k_asset_manager_table_value_normalized; AssetManagerDistributionRevenue (accession 0001193125-26-071966, filed 2026-02-25, FY 2024); FY2025 filed_10k_asset_manager_table_value_normalized; AssetManagerDistributionRevenue (accession 0001193125-26-071966, filed 2026-02-25, FY 2025)</t>
  </si>
  <si>
    <t xml:space="preserve">administrativeOtherRevenueGrowth</t>
  </si>
  <si>
    <t xml:space="preserve">Analyst input: 0.0% growth; no complete three-year administrative and other revenue series was filed. The separate source line remains missing and this input is editable.</t>
  </si>
  <si>
    <t xml:space="preserve">otherRevenueGrowth</t>
  </si>
  <si>
    <t xml:space="preserve">Median of the two year-over-year growth rates in the latest three filed other advisory revenue observations. FY2023 filed_10k_asset_manager_table_value_normalized; AssetManagerOtherRevenue (accession 0001193125-26-071966, filed 2026-02-25, FY 2023); FY2024 filed_10k_asset_manager_table_value_normalized; AssetManagerOtherRevenue (accession 0001193125-26-071966, filed 2026-02-25, FY 2024); FY2025 filed_10k_asset_manager_table_value_normalized; AssetManagerOtherRevenue (accession 0001193125-26-071966, filed 2026-02-25, FY 2025)</t>
  </si>
  <si>
    <t xml:space="preserve">unmappedRevenueGrowth</t>
  </si>
  <si>
    <t xml:space="preserve">Median of the two year-over-year growth rates in the latest three filed unmapped revenue observations. FY2023 consolidated_revenue_less_separately_mapped_asset_manager_fee_components; RevenueFromContractWithCustomerExcludingAssessedTax (accession 0001193125-26-071966, filed 2026-02-25, FY 2023); AssetManagerBaseFees (accession 0001193125-26-071966, filed 2026-02-25, FY 2023); AssetManagerPerformanceFees (accession 0001193125-26-071966, filed 2026-02-25, FY 2023); AssetManagerSecuritiesLendingRevenue (accession 0001193125-26-071966, filed 2026-02-25, FY 2023); AssetManagerTechnologyRevenue (accession 0001193125-26-071966, filed 2026-02-25, FY 2023); AssetManagerDistributionRevenue (accession 0001193125-26-071966, filed 2026-02-25, FY 2023); AssetManagerOtherRevenue (accession 0001193125-26-071966, filed 2026-02-25, FY 2023); FY2024 consolidated_revenue_less_separately_mapped_asset_manager_fee_components; RevenueFromContractWithCustomerExcludingAssessedTax (accession 0001193125-26-071966, filed 2026-02-25, FY 2024); AssetManagerBaseFees (accession 0001193125-26-071966, filed 2026-02-25, FY 2024); AssetManagerPerformanceFees (accession 0001193125-26-071966, filed 2026-02-25, FY 2024); AssetManagerSecuritiesLendingRevenue (accession 0001193125-26-071966, filed 2026-02-25, FY 2024); AssetManagerTechnologyRevenue (accession 0001193125-26-071966, filed 2026-02-25, FY 2024); AssetManagerDistributionRevenue (accession 0001193125-26-071966, filed 2026-02-25, FY 2024); AssetManagerOtherRevenue (accession 0001193125-26-071966, filed 2026-02-25, FY 2024); FY2025 consolidated_revenue_less_separately_mapped_asset_manager_fee_components; RevenueFromContractWithCustomerExcludingAssessedTax (accession 0001193125-26-071966, filed 2026-02-25, FY 2025); AssetManagerBaseFees (accession 0001193125-26-071966, filed 2026-02-25, FY 2025); AssetManagerPerformanceFees (accession 0001193125-26-071966, filed 2026-02-25, FY 2025); AssetManagerSecuritiesLendingRevenue (accession 0001193125-26-071966, filed 2026-02-25, FY 2025); AssetManagerTechnologyRevenue (accession 0001193125-26-071966, filed 2026-02-25, FY 2025); AssetManagerDistributionRevenue (accession 0001193125-26-071966, filed 2026-02-25, FY 2025); AssetManagerOtherRevenue (accession 0001193125-26-071966, filed 2026-02-25, FY 2025)</t>
  </si>
  <si>
    <t xml:space="preserve">operatingMargin</t>
  </si>
  <si>
    <t xml:space="preserve">Median of the latest three filed EBIT margins. FY2023 preferred_direct; OperatingIncomeLoss (accession 0001193125-26-071966, filed 2026-02-25, FY 2023); FY2023 preferred_direct; RevenueFromContractWithCustomerExcludingAssessedTax (accession 0001193125-26-071966, filed 2026-02-25, FY 2023); FY2024 preferred_direct; OperatingIncomeLoss (accession 0001193125-26-071966, filed 2026-02-25, FY 2024); FY2024 preferred_direct; RevenueFromContractWithCustomerExcludingAssessedTax (accession 0001193125-26-071966, filed 2026-02-25, FY 2024); FY2025 preferred_direct; OperatingIncomeLoss (accession 0001193125-26-071966, filed 2026-02-25, FY 2025); FY2025 preferred_direct; RevenueFromContractWithCustomerExcludingAssessedTax (accession 0001193125-26-071966, filed 2026-02-25, FY 2025)</t>
  </si>
  <si>
    <t xml:space="preserve">taxRate</t>
  </si>
  <si>
    <t xml:space="preserve">Median of the latest three filed effective tax rates. FY2023 income_tax_expense_over_pretax_income; IncomeTaxExpenseBenefit (accession 0001193125-26-071966, filed 2026-02-25, FY 2023); IncomeLossFromContinuingOperationsBeforeIncomeTaxesExtraordinaryItemsNoncontrollingInterest (accession 0001193125-26-071966, filed 2026-02-25, FY 2023); FY2024 income_tax_expense_over_pretax_income; IncomeTaxExpenseBenefit (accession 0001193125-26-071966, filed 2026-02-25, FY 2024); IncomeLossFromContinuingOperationsBeforeIncomeTaxesExtraordinaryItemsNoncontrollingInterest (accession 0001193125-26-071966, filed 2026-02-25, FY 2024); FY2025 income_tax_expense_over_pretax_income; IncomeTaxExpenseBenefit (accession 0001193125-26-071966, filed 2026-02-25, FY 2025); IncomeLossFromContinuingOperationsBeforeIncomeTaxesExtraordinaryItemsNoncontrollingInterest (accession 0001193125-26-071966, filed 2026-02-25, FY 2025)</t>
  </si>
  <si>
    <t xml:space="preserve">depreciationPctRevenue</t>
  </si>
  <si>
    <t xml:space="preserve">Median of the latest three filed depreciation and amortization rows divided by consolidated revenue. FY2023 filed_10k_asset_manager_table_value_normalized; AssetManagerDepreciation (accession 0001193125-26-071966, filed 2026-02-25, FY 2023); FY2023 preferred_direct; RevenueFromContractWithCustomerExcludingAssessedTax (accession 0001193125-26-071966, filed 2026-02-25, FY 2023); FY2024 filed_10k_asset_manager_table_value_normalized; AssetManagerDepreciation (accession 0001193125-26-071966, filed 2026-02-25, FY 2024); FY2024 preferred_direct; RevenueFromContractWithCustomerExcludingAssessedTax (accession 0001193125-26-071966, filed 2026-02-25, FY 2024); FY2025 filed_10k_asset_manager_table_value_normalized; AssetManagerDepreciation (accession 0001193125-26-071966, filed 2026-02-25, FY 2025); FY2025 preferred_direct; RevenueFromContractWithCustomerExcludingAssessedTax (accession 0001193125-26-071966, filed 2026-02-25, FY 2025)</t>
  </si>
  <si>
    <t xml:space="preserve">acquisitionAmortizationPctRevenue</t>
  </si>
  <si>
    <t xml:space="preserve">Median of filed acquisition-related amortization divided by consolidated revenue when separately disclosed. FY2023 missing_filed_asset_manager_table_line; ; FY2024 missing_filed_asset_manager_table_line; ; FY2025 missing_filed_asset_manager_table_line; </t>
  </si>
  <si>
    <t xml:space="preserve">capexPctRevenue</t>
  </si>
  <si>
    <t xml:space="preserve">Median of filed capital expenditures divided by consolidated revenue. FY2023 preferred_direct; PaymentsToAcquirePropertyPlantAndEquipment (accession 0001193125-26-071966, filed 2026-02-25, FY 2023); FY2023 preferred_direct; RevenueFromContractWithCustomerExcludingAssessedTax (accession 0001193125-26-071966, filed 2026-02-25, FY 2023); FY2024 preferred_direct; PaymentsToAcquirePropertyPlantAndEquipment (accession 0001193125-26-071966, filed 2026-02-25, FY 2024); FY2024 preferred_direct; RevenueFromContractWithCustomerExcludingAssessedTax (accession 0001193125-26-071966, filed 2026-02-25, FY 2024); FY2025 preferred_direct; PaymentsToAcquirePropertyPlantAndEquipment (accession 0001193125-26-071966, filed 2026-02-25, FY 2025); FY2025 preferred_direct; RevenueFromContractWithCustomerExcludingAssessedTax (accession 0001193125-26-071966, filed 2026-02-25, FY 2025)</t>
  </si>
  <si>
    <t xml:space="preserve">workingCapitalChangePctRevenue</t>
  </si>
  <si>
    <t xml:space="preserve">Median of filed changes in operating working capital and other operating assets/liabilities divided by consolidated revenue. FY2023 negative_of_filed_operating_cashflow_asset_liability_changes; AssetManagerWorkingCapitalChange (accession 0001193125-26-071966, filed 2026-02-25, FY 2023); AccountsReceivableCashImpact (accession 0001193125-26-071966, filed 2026-02-25, FY 2023); TradingInvestmentsCashImpact (accession 0001193125-26-071966, filed 2026-02-25, FY 2023); OtherOperatingAssetsCashImpact (accession 0001193125-26-071966, filed 2026-02-25, FY 2023); AccruedCompensationCashImpact (accession 0001193125-26-071966, filed 2026-02-25, FY 2023); AccountsPayableCashImpact (accession 0001193125-26-071966, filed 2026-02-25, FY 2023); OtherOperatingLiabilitiesCashImpact (accession 0001193125-26-071966, filed 2026-02-25, FY 2023); FY2023 preferred_direct; RevenueFromContractWithCustomerExcludingAssessedTax (accession 0001193125-26-071966, filed 2026-02-25, FY 2023); FY2024 negative_of_filed_operating_cashflow_asset_liability_changes; AssetManagerWorkingCapitalChange (accession 0001193125-26-071966, filed 2026-02-25, FY 2024); AccountsReceivableCashImpact (accession 0001193125-26-071966, filed 2026-02-25, FY 2024); TradingInvestmentsCashImpact (accession 0001193125-26-071966, filed 2026-02-25, FY 2024); OtherOperatingAssetsCashImpact (accession 0001193125-26-071966, filed 2026-02-25, FY 2024); AccruedCompensationCashImpact (accession 0001193125-26-071966, filed 2026-02-25, FY 2024); AccountsPayableCashImpact (accession 0001193125-26-071966, filed 2026-02-25, FY 2024); OtherOperatingLiabilitiesCashImpact (accession 0001193125-26-071966, filed 2026-02-25, FY 2024); FY2024 preferred_direct; RevenueFromContractWithCustomerExcludingAssessedTax (accession 0001193125-26-071966, filed 2026-02-25, FY 2024); FY2025 negative_of_filed_operating_cashflow_asset_liability_changes; AssetManagerWorkingCapitalChange (accession 0001193125-26-071966, filed 2026-02-25, FY 2025); AccountsReceivableCashImpact (accession 0001193125-26-071966, filed 2026-02-25, FY 2025); TradingInvestmentsCashImpact (accession 0001193125-26-071966, filed 2026-02-25, FY 2025); OtherOperatingAssetsCashImpact (accession 0001193125-26-071966, filed 2026-02-25, FY 2025); AccruedCompensationCashImpact (accession 0001193125-26-071966, filed 2026-02-25, FY 2025); AccountsPayableCashImpact (accession 0001193125-26-071966, filed 2026-02-25, FY 2025); OtherOperatingLiabilitiesCashImpact (accession 0001193125-26-071966, filed 2026-02-25, FY 2025); FY2025 preferred_direct; RevenueFromContractWithCustomerExcludingAssessedTax (accession 0001193125-26-071966, filed 2026-02-25, FY 2025)</t>
  </si>
  <si>
    <t xml:space="preserve">costOfDebt</t>
  </si>
  <si>
    <t xml:space="preserve">FY2025 filed interest expense divided by average FY2024–FY2025 debt; FY2025 preferred_direct; InterestExpenseNonoperating (accession 0001193125-26-071966, filed 2026-02-25, FY 2025); FY2025 current_plus_long_term_debt_with_filed_absence_when_not_reported; current_plus_long_term_debt (accession 0001193125-26-071966, filed 2026-02-25, FY 2025); current_plus_long_term_debt (accession 0001193125-26-071966, filed 2026-02-25, FY 2025); LongTermDebt (accession 0001193125-26-071966, filed 2026-02-25, FY 2025); FY2024 current_plus_long_term_debt_with_filed_absence_when_not_reported; current_plus_long_term_debt (accession 0000950170-25-026584, filed 2025-02-25, FY 2024); current_plus_long_term_debt (accession 0000950170-25-026584, filed 2025-02-25, FY 2024); LongTermDebt (accession 0001193125-26-071966, filed 2026-02-25, FY 2024)</t>
  </si>
  <si>
    <t xml:space="preserve">wacc</t>
  </si>
  <si>
    <t xml:space="preserve">CAPM cost of equity using risk-free rate 0.0528 from live, beta 1.429 from openbb_yfinance, and equity risk premium 0.0838 from live; market capital weights use current market capitalization and filed debt as of 2026-10-03.</t>
  </si>
  <si>
    <t xml:space="preserve">terminalGrowthRate</t>
  </si>
  <si>
    <t xml:space="preserve">Analyst input: 2.5% perpetual FCFF growth, editable in the workbook and required to remain below WACC.</t>
  </si>
  <si>
    <t xml:space="preserve">Model conventions and limits</t>
  </si>
  <si>
    <t xml:space="preserve">INFO</t>
  </si>
  <si>
    <t xml:space="preserve">The explicit forecast starts from FY2025 filed annual operating results and year-end AUM.</t>
  </si>
  <si>
    <t xml:space="preserve">Filed 2026 quarterly AUM and fee changes are not incorporated in this annual-history route.</t>
  </si>
  <si>
    <t xml:space="preserve">Market appreciation, net flows, realizations, acquisitions, FX, and scope changes are separate AUM drivers; any undissected history is a sourced rollforward residual.</t>
  </si>
  <si>
    <t xml:space="preserve">Revenue components are separate when reported. Unmapped revenue is calculated as consolidated revenue less separately mapped filed fee components.</t>
  </si>
  <si>
    <t xml:space="preserve">Operating lease expense remains in EBIT and operating expenses; lease liabilities are excluded from the debt bridge to avoid double counting.</t>
  </si>
  <si>
    <t xml:space="preserve">The terminal method is Gordon growth; the editable terminal-growth assumption must remain below WACC.</t>
  </si>
  <si>
    <t xml:space="preserve">The model uses FY2025 annual operating results and year-end AUM; filed 2026 quarterly AUM and fee changes are not incorporated.</t>
  </si>
  <si>
    <t xml:space="preserve">These fee components are not separately reported in the latest mapped filing and remain visible as source gaps: capital_allocation_income, administrative_other_revenue.</t>
  </si>
  <si>
    <t xml:space="preserve">financials: data status is cached</t>
  </si>
  <si>
    <t xml:space="preserve">valuation_context: data status is cached</t>
  </si>
  <si>
    <t xml:space="preserve">peers: data status is cached</t>
  </si>
  <si>
    <t xml:space="preserve">insider_trades: Insider trades are intentionally lazy-loaded and do not block the primary valuation load.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</si>
</sst>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_-* #,##0.00_-;\-* #,##0.00_-;_-* \-??_-;_-@_-"/>
    <numFmt numFmtId="166" formatCode="_-\$* #,##0.00_-;&quot;-$&quot;* #,##0.00_-;_-\$* \-??_-;_-@_-"/>
    <numFmt numFmtId="167" formatCode="0%"/>
    <numFmt numFmtId="168" formatCode="#,##0.0,,;[RED]\(#,##0.0,,\);\-"/>
    <numFmt numFmtId="169" formatCode="0.0%;[RED]\(0.0%\);0.0%"/>
    <numFmt numFmtId="170" formatCode="0.000\x"/>
    <numFmt numFmtId="171" formatCode="\$#,##0.00;[RED]&quot;($&quot;#,##0.00\);\-"/>
    <numFmt numFmtId="172" formatCode="#,##0.00"/>
  </numFmts>
  <fonts count="2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2"/>
      <color theme="1"/>
      <name val="Aptos Narrow"/>
      <family val="2"/>
      <charset val="1"/>
    </font>
    <font>
      <sz val="8"/>
      <name val="Arial"/>
      <family val="2"/>
      <charset val="1"/>
    </font>
    <font>
      <sz val="11"/>
      <color rgb="FF000000"/>
      <name val="Aptos Narrow"/>
      <family val="2"/>
      <charset val="1"/>
    </font>
    <font>
      <b val="true"/>
      <sz val="12"/>
      <color theme="1"/>
      <name val="Aptos Narrow"/>
      <family val="2"/>
      <charset val="1"/>
    </font>
    <font>
      <sz val="10"/>
      <color rgb="FF000000"/>
      <name val="Times New Roman"/>
      <family val="1"/>
      <charset val="1"/>
    </font>
    <font>
      <sz val="9"/>
      <color theme="1"/>
      <name val="Arial"/>
      <family val="2"/>
      <charset val="1"/>
    </font>
    <font>
      <sz val="8"/>
      <color theme="1"/>
      <name val="Arial"/>
      <family val="2"/>
      <charset val="1"/>
    </font>
    <font>
      <sz val="10"/>
      <color rgb="FF000000"/>
      <name val="Aptos Narrow"/>
      <family val="2"/>
      <charset val="1"/>
    </font>
    <font>
      <sz val="10"/>
      <color theme="1"/>
      <name val="Trebuchet MS"/>
      <family val="2"/>
      <charset val="1"/>
    </font>
    <font>
      <sz val="9"/>
      <color rgb="FF000000"/>
      <name val="Arial"/>
      <family val="2"/>
      <charset val="1"/>
    </font>
    <font>
      <b val="true"/>
      <sz val="16"/>
      <color rgb="FFFFFFFF"/>
      <name val="Arial"/>
      <family val="0"/>
      <charset val="1"/>
    </font>
    <font>
      <sz val="9"/>
      <color rgb="FF404040"/>
      <name val="Arial"/>
      <family val="0"/>
      <charset val="1"/>
    </font>
    <font>
      <b val="true"/>
      <sz val="10"/>
      <color rgb="FF17365D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7365D"/>
        <bgColor rgb="FF333399"/>
      </patternFill>
    </fill>
    <fill>
      <patternFill patternType="solid">
        <fgColor rgb="FFD9EAF7"/>
        <bgColor rgb="FFE2F0D9"/>
      </patternFill>
    </fill>
    <fill>
      <patternFill patternType="solid">
        <fgColor rgb="FF365F91"/>
        <bgColor rgb="FF333399"/>
      </patternFill>
    </fill>
    <fill>
      <patternFill patternType="solid">
        <fgColor rgb="FFE2F0D9"/>
        <bgColor rgb="FFD9EAF7"/>
      </patternFill>
    </fill>
    <fill>
      <patternFill patternType="solid">
        <fgColor rgb="FFFFF2CC"/>
        <bgColor rgb="FFE2F0D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5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9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21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2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2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21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21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21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19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2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3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3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FE" xfId="20"/>
    <cellStyle name="Comma 2" xfId="21"/>
    <cellStyle name="Comma 3" xfId="22"/>
    <cellStyle name="Comma 4" xfId="23"/>
    <cellStyle name="Comma 4 2" xfId="24"/>
    <cellStyle name="Comma 5" xfId="25"/>
    <cellStyle name="Comma 6" xfId="26"/>
    <cellStyle name="Currency 2" xfId="27"/>
    <cellStyle name="Currency 4" xfId="28"/>
    <cellStyle name="HeaderCellStyle" xfId="29"/>
    <cellStyle name="Normal 10" xfId="30"/>
    <cellStyle name="Normal 17" xfId="31"/>
    <cellStyle name="Normal 18" xfId="32"/>
    <cellStyle name="Normal 2" xfId="33"/>
    <cellStyle name="Normal 2 2" xfId="34"/>
    <cellStyle name="Normal 2 2 2" xfId="35"/>
    <cellStyle name="Normal 2 3" xfId="36"/>
    <cellStyle name="Normal 3" xfId="37"/>
    <cellStyle name="Normal 3 2 3" xfId="38"/>
    <cellStyle name="Normal 3 2 3 2" xfId="39"/>
    <cellStyle name="Normal 4" xfId="40"/>
    <cellStyle name="Normal 5" xfId="41"/>
    <cellStyle name="Normal 5 2" xfId="42"/>
    <cellStyle name="Normal 5 3" xfId="43"/>
    <cellStyle name="Normal 5 4" xfId="44"/>
    <cellStyle name="Normal 6" xfId="45"/>
    <cellStyle name="Normal 7" xfId="46"/>
    <cellStyle name="Normal 8" xfId="47"/>
    <cellStyle name="Normal_Ch01 Pics v2.2" xfId="48"/>
    <cellStyle name="Percent 2" xfId="49"/>
    <cellStyle name="Percent 3" xfId="50"/>
  </cellStyles>
  <dxfs count="6">
    <dxf>
      <fill>
        <patternFill patternType="solid">
          <fgColor rgb="FF365F91"/>
          <bgColor rgb="FF000000"/>
        </patternFill>
      </fill>
    </dxf>
    <dxf>
      <fill>
        <patternFill patternType="solid">
          <fgColor rgb="FFD9EA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7365D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5F91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7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73828125" defaultRowHeight="15" customHeight="false" zeroHeight="false" outlineLevelRow="0" outlineLevelCol="0"/>
  <cols>
    <col collapsed="false" customWidth="true" hidden="false" outlineLevel="0" max="1" min="1" style="0" width="51"/>
    <col collapsed="false" customWidth="true" hidden="false" outlineLevel="0" max="9" min="2" style="0" width="15"/>
    <col collapsed="false" customWidth="true" hidden="false" outlineLevel="0" max="10" min="10" style="0" width="3"/>
    <col collapsed="false" customWidth="true" hidden="false" outlineLevel="0" max="11" min="11" style="0" width="36"/>
    <col collapsed="false" customWidth="true" hidden="false" outlineLevel="0" max="12" min="12" style="0" width="16"/>
    <col collapsed="false" customWidth="true" hidden="false" outlineLevel="0" max="13" min="13" style="0" width="65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K3" s="3" t="s">
        <v>3</v>
      </c>
      <c r="L3" s="3"/>
      <c r="M3" s="3"/>
    </row>
    <row r="4" customFormat="false" ht="15" hidden="false" customHeight="false" outlineLevel="0" collapsed="false">
      <c r="A4" s="4" t="s">
        <v>4</v>
      </c>
      <c r="B4" s="4" t="s">
        <v>5</v>
      </c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K4" s="5" t="s">
        <v>13</v>
      </c>
      <c r="L4" s="5" t="s">
        <v>14</v>
      </c>
      <c r="M4" s="5" t="s">
        <v>15</v>
      </c>
    </row>
    <row r="5" customFormat="false" ht="15" hidden="false" customHeight="false" outlineLevel="0" collapsed="false">
      <c r="A5" s="6" t="s">
        <v>16</v>
      </c>
      <c r="B5" s="7" t="n">
        <v>8594485000000</v>
      </c>
      <c r="C5" s="7" t="n">
        <v>10008995000000</v>
      </c>
      <c r="D5" s="7" t="n">
        <v>11551251000000</v>
      </c>
      <c r="E5" s="8" t="n">
        <f aca="false">D12</f>
        <v>14041518000000</v>
      </c>
      <c r="F5" s="8" t="n">
        <f aca="false">E12</f>
        <v>14905374696423.6</v>
      </c>
      <c r="G5" s="8" t="n">
        <f aca="false">F12</f>
        <v>15822377241605</v>
      </c>
      <c r="H5" s="8" t="n">
        <f aca="false">G12</f>
        <v>16795795253354.2</v>
      </c>
      <c r="I5" s="8" t="n">
        <f aca="false">H12</f>
        <v>17829099501610.8</v>
      </c>
      <c r="K5" s="9" t="s">
        <v>17</v>
      </c>
      <c r="L5" s="10" t="n">
        <v>0</v>
      </c>
      <c r="M5" s="11" t="s">
        <v>18</v>
      </c>
    </row>
    <row r="6" customFormat="false" ht="15" hidden="false" customHeight="false" outlineLevel="0" collapsed="false">
      <c r="A6" s="6" t="s">
        <v>19</v>
      </c>
      <c r="B6" s="7" t="n">
        <v>1073550000000</v>
      </c>
      <c r="C6" s="7" t="n">
        <v>992964000000</v>
      </c>
      <c r="D6" s="7" t="n">
        <v>1483629000000</v>
      </c>
      <c r="E6" s="8" t="n">
        <f aca="false">E5*$L$5</f>
        <v>0</v>
      </c>
      <c r="F6" s="8" t="n">
        <f aca="false">F5*$L$5</f>
        <v>0</v>
      </c>
      <c r="G6" s="8" t="n">
        <f aca="false">G5*$L$5</f>
        <v>0</v>
      </c>
      <c r="H6" s="8" t="n">
        <f aca="false">H5*$L$5</f>
        <v>0</v>
      </c>
      <c r="I6" s="8" t="n">
        <f aca="false">I5*$L$5</f>
        <v>0</v>
      </c>
      <c r="K6" s="9" t="s">
        <v>20</v>
      </c>
      <c r="L6" s="10" t="n">
        <v>0.0527057133023256</v>
      </c>
      <c r="M6" s="11" t="s">
        <v>21</v>
      </c>
    </row>
    <row r="7" customFormat="false" ht="15" hidden="false" customHeight="false" outlineLevel="0" collapsed="false">
      <c r="A7" s="6" t="s">
        <v>22</v>
      </c>
      <c r="B7" s="7" t="n">
        <v>288695000000</v>
      </c>
      <c r="C7" s="7" t="n">
        <v>641351000000</v>
      </c>
      <c r="D7" s="7" t="n">
        <v>698261000000</v>
      </c>
      <c r="E7" s="8" t="n">
        <f aca="false">E5*$L$6</f>
        <v>740068222037.444</v>
      </c>
      <c r="F7" s="8" t="n">
        <f aca="false">F5*$L$6</f>
        <v>785598405413.443</v>
      </c>
      <c r="G7" s="8" t="n">
        <f aca="false">G5*$L$6</f>
        <v>833929678657.271</v>
      </c>
      <c r="H7" s="8" t="n">
        <f aca="false">H5*$L$6</f>
        <v>885234369307.848</v>
      </c>
      <c r="I7" s="8" t="n">
        <f aca="false">I5*$L$6</f>
        <v>939695406770.532</v>
      </c>
      <c r="K7" s="9" t="s">
        <v>23</v>
      </c>
      <c r="L7" s="10" t="n">
        <v>0</v>
      </c>
      <c r="M7" s="11" t="s">
        <v>18</v>
      </c>
    </row>
    <row r="8" customFormat="false" ht="15" hidden="false" customHeight="false" outlineLevel="0" collapsed="false">
      <c r="A8" s="6" t="s">
        <v>24</v>
      </c>
      <c r="D8" s="7" t="n">
        <v>-33125000000</v>
      </c>
      <c r="E8" s="8" t="n">
        <f aca="false">E5*$L$7</f>
        <v>0</v>
      </c>
      <c r="F8" s="8" t="n">
        <f aca="false">F5*$L$7</f>
        <v>0</v>
      </c>
      <c r="G8" s="8" t="n">
        <f aca="false">G5*$L$7</f>
        <v>0</v>
      </c>
      <c r="H8" s="8" t="n">
        <f aca="false">H5*$L$7</f>
        <v>0</v>
      </c>
      <c r="I8" s="8" t="n">
        <f aca="false">I5*$L$7</f>
        <v>0</v>
      </c>
      <c r="K8" s="9" t="s">
        <v>25</v>
      </c>
      <c r="L8" s="10" t="n">
        <v>0.00603774529497898</v>
      </c>
      <c r="M8" s="11" t="s">
        <v>21</v>
      </c>
    </row>
    <row r="9" customFormat="false" ht="15" hidden="false" customHeight="false" outlineLevel="0" collapsed="false">
      <c r="A9" s="6" t="s">
        <v>26</v>
      </c>
      <c r="B9" s="7" t="n">
        <v>2177000000</v>
      </c>
      <c r="C9" s="7" t="n">
        <v>73949000000</v>
      </c>
      <c r="D9" s="7" t="n">
        <v>120961000000</v>
      </c>
      <c r="E9" s="8" t="n">
        <f aca="false">E5*$L$8</f>
        <v>84779109238.8626</v>
      </c>
      <c r="F9" s="8" t="n">
        <f aca="false">F5*$L$8</f>
        <v>89994855943.2306</v>
      </c>
      <c r="G9" s="8" t="n">
        <f aca="false">G5*$L$8</f>
        <v>95531483745.8827</v>
      </c>
      <c r="H9" s="8" t="n">
        <f aca="false">H5*$L$8</f>
        <v>101408733766.37</v>
      </c>
      <c r="I9" s="8" t="n">
        <f aca="false">I5*$L$8</f>
        <v>107647561629.562</v>
      </c>
      <c r="K9" s="9" t="s">
        <v>27</v>
      </c>
      <c r="L9" s="10" t="n">
        <v>0.00277814443903713</v>
      </c>
      <c r="M9" s="11" t="s">
        <v>21</v>
      </c>
    </row>
    <row r="10" customFormat="false" ht="15" hidden="false" customHeight="false" outlineLevel="0" collapsed="false">
      <c r="A10" s="6" t="s">
        <v>28</v>
      </c>
      <c r="B10" s="7" t="n">
        <v>50088000000</v>
      </c>
      <c r="C10" s="7" t="n">
        <v>-166008000000</v>
      </c>
      <c r="D10" s="7" t="n">
        <v>220541000000</v>
      </c>
      <c r="E10" s="8" t="n">
        <f aca="false">E5*$L$9</f>
        <v>39009365147.3397</v>
      </c>
      <c r="F10" s="8" t="n">
        <f aca="false">F5*$L$9</f>
        <v>41409283824.634</v>
      </c>
      <c r="G10" s="8" t="n">
        <f aca="false">G5*$L$9</f>
        <v>43956849346.1124</v>
      </c>
      <c r="H10" s="8" t="n">
        <f aca="false">H5*$L$9</f>
        <v>46661145182.3122</v>
      </c>
      <c r="I10" s="8" t="n">
        <f aca="false">I5*$L$9</f>
        <v>49531813633.4395</v>
      </c>
      <c r="K10" s="9" t="s">
        <v>29</v>
      </c>
      <c r="L10" s="10" t="n">
        <v>0</v>
      </c>
      <c r="M10" s="11" t="s">
        <v>18</v>
      </c>
    </row>
    <row r="11" customFormat="false" ht="15" hidden="false" customHeight="false" outlineLevel="0" collapsed="false">
      <c r="A11" s="6" t="s">
        <v>30</v>
      </c>
      <c r="B11" s="8" t="n">
        <f aca="false">B12-SUM(B5:B10)</f>
        <v>0</v>
      </c>
      <c r="C11" s="8" t="n">
        <f aca="false">C12-SUM(C5:C10)</f>
        <v>0</v>
      </c>
      <c r="D11" s="8" t="n">
        <f aca="false">D12-SUM(D5:D10)</f>
        <v>0</v>
      </c>
      <c r="E11" s="8" t="n">
        <f aca="false">E5*$L$10</f>
        <v>0</v>
      </c>
      <c r="F11" s="8" t="n">
        <f aca="false">F5*$L$10</f>
        <v>0</v>
      </c>
      <c r="G11" s="8" t="n">
        <f aca="false">G5*$L$10</f>
        <v>0</v>
      </c>
      <c r="H11" s="8" t="n">
        <f aca="false">H5*$L$10</f>
        <v>0</v>
      </c>
      <c r="I11" s="8" t="n">
        <f aca="false">I5*$L$10</f>
        <v>0</v>
      </c>
      <c r="K11" s="9" t="s">
        <v>31</v>
      </c>
      <c r="L11" s="10" t="n">
        <v>0.0014518506415212</v>
      </c>
      <c r="M11" s="11" t="s">
        <v>21</v>
      </c>
    </row>
    <row r="12" customFormat="false" ht="15" hidden="false" customHeight="false" outlineLevel="0" collapsed="false">
      <c r="A12" s="12" t="s">
        <v>32</v>
      </c>
      <c r="B12" s="7" t="n">
        <v>10008995000000</v>
      </c>
      <c r="C12" s="7" t="n">
        <v>11551251000000</v>
      </c>
      <c r="D12" s="7" t="n">
        <v>14041518000000</v>
      </c>
      <c r="E12" s="8" t="n">
        <f aca="false">SUM(E5:E11)</f>
        <v>14905374696423.6</v>
      </c>
      <c r="F12" s="8" t="n">
        <f aca="false">SUM(F5:F11)</f>
        <v>15822377241605</v>
      </c>
      <c r="G12" s="8" t="n">
        <f aca="false">SUM(G5:G11)</f>
        <v>16795795253354.2</v>
      </c>
      <c r="H12" s="8" t="n">
        <f aca="false">SUM(H5:H11)</f>
        <v>17829099501610.8</v>
      </c>
      <c r="I12" s="8" t="n">
        <f aca="false">SUM(I5:I11)</f>
        <v>18925974283644.3</v>
      </c>
      <c r="K12" s="9" t="s">
        <v>33</v>
      </c>
      <c r="L12" s="10" t="n">
        <v>9.42685030594481E-005</v>
      </c>
      <c r="M12" s="11" t="s">
        <v>21</v>
      </c>
    </row>
    <row r="13" customFormat="false" ht="15" hidden="false" customHeight="false" outlineLevel="0" collapsed="false">
      <c r="A13" s="6" t="s">
        <v>34</v>
      </c>
      <c r="B13" s="8" t="n">
        <f aca="false">AVERAGE(B5,B12)</f>
        <v>9301740000000</v>
      </c>
      <c r="C13" s="8" t="n">
        <f aca="false">AVERAGE(C5,C12)</f>
        <v>10780123000000</v>
      </c>
      <c r="D13" s="8" t="n">
        <f aca="false">AVERAGE(D5,D12)</f>
        <v>12796384500000</v>
      </c>
      <c r="E13" s="8" t="n">
        <f aca="false">AVERAGE(E5,E12)</f>
        <v>14473446348211.8</v>
      </c>
      <c r="F13" s="8" t="n">
        <f aca="false">AVERAGE(F5,F12)</f>
        <v>15363875969014.3</v>
      </c>
      <c r="G13" s="8" t="n">
        <f aca="false">AVERAGE(G5,G12)</f>
        <v>16309086247479.6</v>
      </c>
      <c r="H13" s="8" t="n">
        <f aca="false">AVERAGE(H5,H12)</f>
        <v>17312447377482.5</v>
      </c>
      <c r="I13" s="8" t="n">
        <f aca="false">AVERAGE(I5,I12)</f>
        <v>18377536892627.5</v>
      </c>
      <c r="K13" s="9" t="s">
        <v>35</v>
      </c>
      <c r="L13" s="10" t="n">
        <v>0</v>
      </c>
      <c r="M13" s="11" t="s">
        <v>18</v>
      </c>
    </row>
    <row r="14" customFormat="false" ht="15" hidden="false" customHeight="false" outlineLevel="0" collapsed="false">
      <c r="A14" s="12" t="s">
        <v>36</v>
      </c>
      <c r="B14" s="8" t="n">
        <f aca="false">B12-SUM(B5:B11)</f>
        <v>0</v>
      </c>
      <c r="C14" s="8" t="n">
        <f aca="false">C12-SUM(C5:C11)</f>
        <v>0</v>
      </c>
      <c r="D14" s="8" t="n">
        <f aca="false">D12-SUM(D5:D11)</f>
        <v>0</v>
      </c>
      <c r="E14" s="8" t="n">
        <f aca="false">E12-SUM(E5:E11)</f>
        <v>0</v>
      </c>
      <c r="F14" s="8" t="n">
        <f aca="false">F12-SUM(F5:F11)</f>
        <v>0</v>
      </c>
      <c r="G14" s="8" t="n">
        <f aca="false">G12-SUM(G5:G11)</f>
        <v>0</v>
      </c>
      <c r="H14" s="8" t="n">
        <f aca="false">H12-SUM(H5:H11)</f>
        <v>0</v>
      </c>
      <c r="I14" s="8" t="n">
        <f aca="false">I12-SUM(I5:I11)</f>
        <v>0</v>
      </c>
      <c r="K14" s="9" t="s">
        <v>37</v>
      </c>
      <c r="L14" s="10" t="n">
        <v>6.15700655801845E-005</v>
      </c>
      <c r="M14" s="11" t="s">
        <v>21</v>
      </c>
    </row>
    <row r="15" customFormat="false" ht="15" hidden="false" customHeight="false" outlineLevel="0" collapsed="false">
      <c r="K15" s="9" t="s">
        <v>38</v>
      </c>
      <c r="L15" s="10" t="n">
        <v>0.157634569861644</v>
      </c>
      <c r="M15" s="11" t="s">
        <v>21</v>
      </c>
    </row>
    <row r="16" customFormat="false" ht="15" hidden="false" customHeight="false" outlineLevel="0" collapsed="false">
      <c r="A16" s="3" t="s">
        <v>39</v>
      </c>
      <c r="B16" s="3"/>
      <c r="C16" s="3"/>
      <c r="D16" s="3"/>
      <c r="E16" s="3"/>
      <c r="F16" s="3"/>
      <c r="G16" s="3"/>
      <c r="H16" s="3"/>
      <c r="I16" s="3"/>
      <c r="K16" s="9" t="s">
        <v>40</v>
      </c>
      <c r="L16" s="13" t="n">
        <v>1981000000</v>
      </c>
      <c r="M16" s="11" t="s">
        <v>41</v>
      </c>
    </row>
    <row r="17" customFormat="false" ht="15" hidden="false" customHeight="false" outlineLevel="0" collapsed="false">
      <c r="A17" s="6" t="s">
        <v>42</v>
      </c>
      <c r="B17" s="14" t="n">
        <f aca="false">IFERROR(B18/B13,"")</f>
        <v>0.00147542287787016</v>
      </c>
      <c r="C17" s="14" t="n">
        <f aca="false">IFERROR(C18/C13,"")</f>
        <v>0.00143644001093494</v>
      </c>
      <c r="D17" s="14" t="n">
        <f aca="false">IFERROR(D18/D13,"")</f>
        <v>0.0014436890357585</v>
      </c>
      <c r="E17" s="14" t="n">
        <f aca="false">$L$11</f>
        <v>0.0014518506415212</v>
      </c>
      <c r="F17" s="14" t="n">
        <f aca="false">$L$11</f>
        <v>0.0014518506415212</v>
      </c>
      <c r="G17" s="14" t="n">
        <f aca="false">$L$11</f>
        <v>0.0014518506415212</v>
      </c>
      <c r="H17" s="14" t="n">
        <f aca="false">$L$11</f>
        <v>0.0014518506415212</v>
      </c>
      <c r="I17" s="14" t="n">
        <f aca="false">$L$11</f>
        <v>0.0014518506415212</v>
      </c>
      <c r="K17" s="9" t="s">
        <v>43</v>
      </c>
      <c r="L17" s="10" t="n">
        <v>0.000119883510552133</v>
      </c>
      <c r="M17" s="11" t="s">
        <v>21</v>
      </c>
    </row>
    <row r="18" customFormat="false" ht="15" hidden="false" customHeight="false" outlineLevel="0" collapsed="false">
      <c r="A18" s="6" t="s">
        <v>44</v>
      </c>
      <c r="B18" s="7" t="n">
        <v>13724000000</v>
      </c>
      <c r="C18" s="7" t="n">
        <v>15485000000</v>
      </c>
      <c r="D18" s="7" t="n">
        <v>18474000000</v>
      </c>
      <c r="E18" s="8" t="n">
        <f aca="false">E13*E17</f>
        <v>21013282365.674</v>
      </c>
      <c r="F18" s="8" t="n">
        <f aca="false">F13*F17</f>
        <v>22306053181.8656</v>
      </c>
      <c r="G18" s="8" t="n">
        <f aca="false">G13*G17</f>
        <v>23678357331.0278</v>
      </c>
      <c r="H18" s="8" t="n">
        <f aca="false">H13*H17</f>
        <v>25135087831.3</v>
      </c>
      <c r="I18" s="8" t="n">
        <f aca="false">I13*I17</f>
        <v>26681438727.1408</v>
      </c>
      <c r="K18" s="9" t="s">
        <v>45</v>
      </c>
      <c r="L18" s="10" t="n">
        <v>0</v>
      </c>
      <c r="M18" s="11" t="s">
        <v>18</v>
      </c>
    </row>
    <row r="19" customFormat="false" ht="15" hidden="false" customHeight="false" outlineLevel="0" collapsed="false">
      <c r="A19" s="6" t="s">
        <v>46</v>
      </c>
      <c r="B19" s="14" t="n">
        <f aca="false">IFERROR(B20/B13,"")</f>
        <v>5.95587492232636E-005</v>
      </c>
      <c r="C19" s="14" t="n">
        <f aca="false">IFERROR(C20/C13,"")</f>
        <v>0.000111965327297286</v>
      </c>
      <c r="D19" s="14" t="n">
        <f aca="false">IFERROR(D20/D13,"")</f>
        <v>0.000111281432657795</v>
      </c>
      <c r="E19" s="14" t="n">
        <f aca="false">$L$12</f>
        <v>9.42685030594481E-005</v>
      </c>
      <c r="F19" s="14" t="n">
        <f aca="false">$L$12</f>
        <v>9.42685030594481E-005</v>
      </c>
      <c r="G19" s="14" t="n">
        <f aca="false">$L$12</f>
        <v>9.42685030594481E-005</v>
      </c>
      <c r="H19" s="14" t="n">
        <f aca="false">$L$12</f>
        <v>9.42685030594481E-005</v>
      </c>
      <c r="I19" s="14" t="n">
        <f aca="false">$L$12</f>
        <v>9.42685030594481E-005</v>
      </c>
      <c r="K19" s="9" t="s">
        <v>47</v>
      </c>
      <c r="L19" s="10" t="n">
        <v>0.322706087151842</v>
      </c>
      <c r="M19" s="11" t="s">
        <v>21</v>
      </c>
    </row>
    <row r="20" customFormat="false" ht="15" hidden="false" customHeight="false" outlineLevel="0" collapsed="false">
      <c r="A20" s="6" t="s">
        <v>48</v>
      </c>
      <c r="B20" s="7" t="n">
        <v>554000000</v>
      </c>
      <c r="C20" s="7" t="n">
        <v>1207000000</v>
      </c>
      <c r="D20" s="7" t="n">
        <v>1424000000</v>
      </c>
      <c r="E20" s="8" t="n">
        <f aca="false">E13*E19</f>
        <v>1364390121.35716</v>
      </c>
      <c r="F20" s="8" t="n">
        <f aca="false">F13*F19</f>
        <v>1448329588.79001</v>
      </c>
      <c r="G20" s="8" t="n">
        <f aca="false">G13*G19</f>
        <v>1537433146.81733</v>
      </c>
      <c r="H20" s="8" t="n">
        <f aca="false">H13*H19</f>
        <v>1632018498.57074</v>
      </c>
      <c r="I20" s="8" t="n">
        <f aca="false">I13*I19</f>
        <v>1732422892.78778</v>
      </c>
      <c r="K20" s="9" t="s">
        <v>49</v>
      </c>
      <c r="L20" s="10" t="n">
        <v>0</v>
      </c>
      <c r="M20" s="11" t="s">
        <v>21</v>
      </c>
    </row>
    <row r="21" customFormat="false" ht="15" hidden="false" customHeight="false" outlineLevel="0" collapsed="false">
      <c r="A21" s="6" t="s">
        <v>50</v>
      </c>
      <c r="E21" s="8" t="str">
        <f aca="false">IF($L$13=0,"",E13*$L$13)</f>
        <v/>
      </c>
      <c r="F21" s="8" t="str">
        <f aca="false">IF($L$13=0,"",F13*$L$13)</f>
        <v/>
      </c>
      <c r="G21" s="8" t="str">
        <f aca="false">IF($L$13=0,"",G13*$L$13)</f>
        <v/>
      </c>
      <c r="H21" s="8" t="str">
        <f aca="false">IF($L$13=0,"",H13*$L$13)</f>
        <v/>
      </c>
      <c r="I21" s="8" t="str">
        <f aca="false">IF($L$13=0,"",I13*$L$13)</f>
        <v/>
      </c>
      <c r="K21" s="9" t="s">
        <v>51</v>
      </c>
      <c r="L21" s="10" t="n">
        <v>0.351363458200347</v>
      </c>
      <c r="M21" s="11" t="s">
        <v>21</v>
      </c>
    </row>
    <row r="22" customFormat="false" ht="15" hidden="false" customHeight="false" outlineLevel="0" collapsed="false">
      <c r="A22" s="6" t="s">
        <v>52</v>
      </c>
      <c r="B22" s="7" t="n">
        <v>675000000</v>
      </c>
      <c r="C22" s="7" t="n">
        <v>615000000</v>
      </c>
      <c r="D22" s="7" t="n">
        <v>705000000</v>
      </c>
      <c r="E22" s="8" t="n">
        <f aca="false">IF($L$14=0,"",E13*$L$14)</f>
        <v>891131040.830683</v>
      </c>
      <c r="F22" s="8" t="n">
        <f aca="false">IF($L$14=0,"",F13*$L$14)</f>
        <v>945954850.978031</v>
      </c>
      <c r="G22" s="8" t="n">
        <f aca="false">IF($L$14=0,"",G13*$L$14)</f>
        <v>1004151509.8102</v>
      </c>
      <c r="H22" s="8" t="n">
        <f aca="false">IF($L$14=0,"",H13*$L$14)</f>
        <v>1065928520.38509</v>
      </c>
      <c r="I22" s="8" t="n">
        <f aca="false">IF($L$14=0,"",I13*$L$14)</f>
        <v>1131506151.68134</v>
      </c>
      <c r="K22" s="9" t="s">
        <v>53</v>
      </c>
      <c r="L22" s="10" t="n">
        <v>0.214948764315853</v>
      </c>
      <c r="M22" s="11" t="s">
        <v>21</v>
      </c>
    </row>
    <row r="23" customFormat="false" ht="15" hidden="false" customHeight="false" outlineLevel="0" collapsed="false">
      <c r="A23" s="6" t="s">
        <v>54</v>
      </c>
      <c r="B23" s="7" t="n">
        <v>1485000000</v>
      </c>
      <c r="C23" s="7" t="n">
        <v>1603000000</v>
      </c>
      <c r="D23" s="7" t="n">
        <v>1981000000</v>
      </c>
      <c r="E23" s="8" t="n">
        <f aca="false">$L$16*(1+$L$15)</f>
        <v>2293274082.89592</v>
      </c>
      <c r="F23" s="8" t="n">
        <f aca="false">E23*(1+$L$15)</f>
        <v>2654773356.52807</v>
      </c>
      <c r="G23" s="8" t="n">
        <f aca="false">F23*(1+$L$15)</f>
        <v>3073257412.66453</v>
      </c>
      <c r="H23" s="8" t="n">
        <f aca="false">G23*(1+$L$15)</f>
        <v>3557709022.98401</v>
      </c>
      <c r="I23" s="8" t="n">
        <f aca="false">H23*(1+$L$15)</f>
        <v>4118526954.51498</v>
      </c>
      <c r="K23" s="9" t="s">
        <v>55</v>
      </c>
      <c r="L23" s="10" t="n">
        <v>0.0259224775812221</v>
      </c>
      <c r="M23" s="11" t="s">
        <v>21</v>
      </c>
    </row>
    <row r="24" customFormat="false" ht="15" hidden="false" customHeight="false" outlineLevel="0" collapsed="false">
      <c r="A24" s="6" t="s">
        <v>56</v>
      </c>
      <c r="B24" s="7" t="n">
        <v>1262000000</v>
      </c>
      <c r="C24" s="7" t="n">
        <v>1273000000</v>
      </c>
      <c r="D24" s="7" t="n">
        <v>1355000000</v>
      </c>
      <c r="E24" s="8" t="n">
        <f aca="false">IF($L$17=0,"",E13*$L$17)</f>
        <v>1735127558.01158</v>
      </c>
      <c r="F24" s="8" t="n">
        <f aca="false">IF($L$17=0,"",F13*$L$17)</f>
        <v>1841875386.85298</v>
      </c>
      <c r="G24" s="8" t="n">
        <f aca="false">IF($L$17=0,"",G13*$L$17)</f>
        <v>1955190513.24536</v>
      </c>
      <c r="H24" s="8" t="n">
        <f aca="false">IF($L$17=0,"",H13*$L$17)</f>
        <v>2075476967.86166</v>
      </c>
      <c r="I24" s="8" t="n">
        <f aca="false">IF($L$17=0,"",I13*$L$17)</f>
        <v>2203163637.98952</v>
      </c>
      <c r="K24" s="9" t="s">
        <v>57</v>
      </c>
      <c r="L24" s="10" t="n">
        <v>0</v>
      </c>
      <c r="M24" s="11" t="s">
        <v>21</v>
      </c>
    </row>
    <row r="25" customFormat="false" ht="15" hidden="false" customHeight="false" outlineLevel="0" collapsed="false">
      <c r="A25" s="6" t="s">
        <v>58</v>
      </c>
      <c r="E25" s="8" t="str">
        <f aca="false">IF(D25="","",D25*(1+$L$18))</f>
        <v/>
      </c>
      <c r="F25" s="8" t="str">
        <f aca="false">IF(E25="","",E25*(1+$L$18))</f>
        <v/>
      </c>
      <c r="G25" s="8" t="str">
        <f aca="false">IF(F25="","",F25*(1+$L$18))</f>
        <v/>
      </c>
      <c r="H25" s="8" t="str">
        <f aca="false">IF(G25="","",G25*(1+$L$18))</f>
        <v/>
      </c>
      <c r="I25" s="8" t="str">
        <f aca="false">IF(H25="","",H25*(1+$L$18))</f>
        <v/>
      </c>
      <c r="K25" s="9" t="s">
        <v>59</v>
      </c>
      <c r="L25" s="10" t="n">
        <v>0.0154856293359762</v>
      </c>
      <c r="M25" s="11" t="s">
        <v>21</v>
      </c>
    </row>
    <row r="26" customFormat="false" ht="15" hidden="false" customHeight="false" outlineLevel="0" collapsed="false">
      <c r="A26" s="6" t="s">
        <v>60</v>
      </c>
      <c r="B26" s="7" t="n">
        <v>159000000</v>
      </c>
      <c r="C26" s="7" t="n">
        <v>224000000</v>
      </c>
      <c r="D26" s="7" t="n">
        <v>277000000</v>
      </c>
      <c r="E26" s="8" t="n">
        <f aca="false">IF(D26="","",D26*(1+$L$19))</f>
        <v>366389586.14106</v>
      </c>
      <c r="F26" s="8" t="n">
        <f aca="false">IF(E26="","",E26*(1+$L$19))</f>
        <v>484625735.857825</v>
      </c>
      <c r="G26" s="8" t="n">
        <f aca="false">IF(F26="","",F26*(1+$L$19))</f>
        <v>641017410.809585</v>
      </c>
      <c r="H26" s="8" t="n">
        <f aca="false">IF(G26="","",G26*(1+$L$19))</f>
        <v>847877631.248151</v>
      </c>
      <c r="I26" s="8" t="n">
        <f aca="false">IF(H26="","",H26*(1+$L$19))</f>
        <v>1121492904.01181</v>
      </c>
      <c r="K26" s="9" t="s">
        <v>61</v>
      </c>
      <c r="L26" s="10" t="n">
        <v>0.00780475718533201</v>
      </c>
      <c r="M26" s="11" t="s">
        <v>21</v>
      </c>
    </row>
    <row r="27" customFormat="false" ht="15" hidden="false" customHeight="false" outlineLevel="0" collapsed="false">
      <c r="A27" s="6" t="s">
        <v>62</v>
      </c>
      <c r="B27" s="8" t="n">
        <f aca="false">B28-SUM(B18,B20:B26)</f>
        <v>0</v>
      </c>
      <c r="C27" s="8" t="n">
        <f aca="false">C28-SUM(C18,C20:C26)</f>
        <v>0</v>
      </c>
      <c r="D27" s="8" t="n">
        <f aca="false">D28-SUM(D18,D20:D26)</f>
        <v>0</v>
      </c>
      <c r="E27" s="8" t="n">
        <f aca="false">IF(D27="","",D27*(1+$L$20))</f>
        <v>0</v>
      </c>
      <c r="F27" s="8" t="n">
        <f aca="false">IF(E27="","",E27*(1+$L$20))</f>
        <v>0</v>
      </c>
      <c r="G27" s="8" t="n">
        <f aca="false">IF(F27="","",F27*(1+$L$20))</f>
        <v>0</v>
      </c>
      <c r="H27" s="8" t="n">
        <f aca="false">IF(G27="","",G27*(1+$L$20))</f>
        <v>0</v>
      </c>
      <c r="I27" s="8" t="n">
        <f aca="false">IF(H27="","",H27*(1+$L$20))</f>
        <v>0</v>
      </c>
      <c r="K27" s="9" t="s">
        <v>63</v>
      </c>
      <c r="L27" s="15" t="n">
        <v>0.0527699995040894</v>
      </c>
      <c r="M27" s="11" t="s">
        <v>64</v>
      </c>
    </row>
    <row r="28" customFormat="false" ht="15" hidden="false" customHeight="false" outlineLevel="0" collapsed="false">
      <c r="A28" s="12" t="s">
        <v>65</v>
      </c>
      <c r="B28" s="7" t="n">
        <v>17859000000</v>
      </c>
      <c r="C28" s="7" t="n">
        <v>20407000000</v>
      </c>
      <c r="D28" s="7" t="n">
        <v>24216000000</v>
      </c>
      <c r="E28" s="8" t="n">
        <f aca="false">E29</f>
        <v>27663594754.9104</v>
      </c>
      <c r="F28" s="8" t="n">
        <f aca="false">F29</f>
        <v>29681612100.8725</v>
      </c>
      <c r="G28" s="8" t="n">
        <f aca="false">G29</f>
        <v>31889407324.3748</v>
      </c>
      <c r="H28" s="8" t="n">
        <f aca="false">H29</f>
        <v>34314098472.3496</v>
      </c>
      <c r="I28" s="8" t="n">
        <f aca="false">I29</f>
        <v>36988551268.1262</v>
      </c>
      <c r="K28" s="9" t="s">
        <v>66</v>
      </c>
      <c r="L28" s="15" t="n">
        <v>0.0838371068129586</v>
      </c>
      <c r="M28" s="11" t="s">
        <v>64</v>
      </c>
    </row>
    <row r="29" customFormat="false" ht="15" hidden="false" customHeight="false" outlineLevel="0" collapsed="false">
      <c r="A29" s="12" t="s">
        <v>67</v>
      </c>
      <c r="B29" s="8" t="n">
        <f aca="false">SUM(B18,B20:B27)</f>
        <v>17859000000</v>
      </c>
      <c r="C29" s="8" t="n">
        <f aca="false">SUM(C18,C20:C27)</f>
        <v>20407000000</v>
      </c>
      <c r="D29" s="8" t="n">
        <f aca="false">SUM(D18,D20:D27)</f>
        <v>24216000000</v>
      </c>
      <c r="E29" s="8" t="n">
        <f aca="false">SUM(E18,E20:E27)</f>
        <v>27663594754.9104</v>
      </c>
      <c r="F29" s="8" t="n">
        <f aca="false">SUM(F18,F20:F27)</f>
        <v>29681612100.8725</v>
      </c>
      <c r="G29" s="8" t="n">
        <f aca="false">SUM(G18,G20:G27)</f>
        <v>31889407324.3748</v>
      </c>
      <c r="H29" s="8" t="n">
        <f aca="false">SUM(H18,H20:H27)</f>
        <v>34314098472.3496</v>
      </c>
      <c r="I29" s="8" t="n">
        <f aca="false">SUM(I18,I20:I27)</f>
        <v>36988551268.1262</v>
      </c>
      <c r="K29" s="9" t="s">
        <v>68</v>
      </c>
      <c r="L29" s="16" t="n">
        <v>1.429</v>
      </c>
      <c r="M29" s="11" t="s">
        <v>64</v>
      </c>
    </row>
    <row r="30" customFormat="false" ht="15" hidden="false" customHeight="false" outlineLevel="0" collapsed="false">
      <c r="A30" s="12" t="s">
        <v>69</v>
      </c>
      <c r="B30" s="8" t="n">
        <f aca="false">B29-B28</f>
        <v>0</v>
      </c>
      <c r="C30" s="8" t="n">
        <f aca="false">C29-C28</f>
        <v>0</v>
      </c>
      <c r="D30" s="8" t="n">
        <f aca="false">D29-D28</f>
        <v>0</v>
      </c>
      <c r="E30" s="8" t="n">
        <f aca="false">E29-E28</f>
        <v>0</v>
      </c>
      <c r="F30" s="8" t="n">
        <f aca="false">F29-F28</f>
        <v>0</v>
      </c>
      <c r="G30" s="8" t="n">
        <f aca="false">G29-G28</f>
        <v>0</v>
      </c>
      <c r="H30" s="8" t="n">
        <f aca="false">H29-H28</f>
        <v>0</v>
      </c>
      <c r="I30" s="8" t="n">
        <f aca="false">I29-I28</f>
        <v>0</v>
      </c>
      <c r="K30" s="9" t="s">
        <v>70</v>
      </c>
      <c r="L30" s="15" t="n">
        <v>0.0489594131249502</v>
      </c>
      <c r="M30" s="11" t="s">
        <v>41</v>
      </c>
    </row>
    <row r="31" customFormat="false" ht="15" hidden="false" customHeight="false" outlineLevel="0" collapsed="false">
      <c r="K31" s="6" t="s">
        <v>71</v>
      </c>
      <c r="L31" s="14" t="n">
        <f aca="false">L27+L29*L28</f>
        <v>0.172573225139807</v>
      </c>
      <c r="M31" s="11" t="s">
        <v>72</v>
      </c>
    </row>
    <row r="32" customFormat="false" ht="15" hidden="false" customHeight="false" outlineLevel="0" collapsed="false">
      <c r="A32" s="3" t="s">
        <v>73</v>
      </c>
      <c r="B32" s="3"/>
      <c r="C32" s="3"/>
      <c r="D32" s="3"/>
      <c r="E32" s="3"/>
      <c r="F32" s="3"/>
      <c r="G32" s="3"/>
      <c r="H32" s="3"/>
      <c r="I32" s="3"/>
      <c r="K32" s="6" t="s">
        <v>74</v>
      </c>
      <c r="L32" s="14" t="n">
        <f aca="false">IFERROR(L38/(L38+L41),1)</f>
        <v>0.93095864708262</v>
      </c>
      <c r="M32" s="11" t="s">
        <v>72</v>
      </c>
    </row>
    <row r="33" customFormat="false" ht="15" hidden="false" customHeight="false" outlineLevel="0" collapsed="false">
      <c r="A33" s="6" t="s">
        <v>65</v>
      </c>
      <c r="B33" s="8" t="n">
        <f aca="false">B28</f>
        <v>17859000000</v>
      </c>
      <c r="C33" s="8" t="n">
        <f aca="false">C28</f>
        <v>20407000000</v>
      </c>
      <c r="D33" s="8" t="n">
        <f aca="false">D28</f>
        <v>24216000000</v>
      </c>
      <c r="E33" s="8" t="n">
        <f aca="false">E28</f>
        <v>27663594754.9104</v>
      </c>
      <c r="F33" s="8" t="n">
        <f aca="false">F28</f>
        <v>29681612100.8725</v>
      </c>
      <c r="G33" s="8" t="n">
        <f aca="false">G28</f>
        <v>31889407324.3748</v>
      </c>
      <c r="H33" s="8" t="n">
        <f aca="false">H28</f>
        <v>34314098472.3496</v>
      </c>
      <c r="I33" s="8" t="n">
        <f aca="false">I28</f>
        <v>36988551268.1262</v>
      </c>
      <c r="K33" s="6" t="s">
        <v>75</v>
      </c>
      <c r="L33" s="14" t="n">
        <f aca="false">IFERROR(L41/(L38+L41),0)</f>
        <v>0.0690413529173804</v>
      </c>
      <c r="M33" s="11" t="s">
        <v>72</v>
      </c>
    </row>
    <row r="34" customFormat="false" ht="15" hidden="false" customHeight="false" outlineLevel="0" collapsed="false">
      <c r="A34" s="6" t="s">
        <v>51</v>
      </c>
      <c r="B34" s="14" t="n">
        <f aca="false">IFERROR(B35/B33,"")</f>
        <v>0.351363458200347</v>
      </c>
      <c r="C34" s="14" t="n">
        <f aca="false">IFERROR(C35/C33,"")</f>
        <v>0.371147155387857</v>
      </c>
      <c r="D34" s="14" t="n">
        <f aca="false">IFERROR(D35/D33,"")</f>
        <v>0.29092335645854</v>
      </c>
      <c r="E34" s="14" t="n">
        <f aca="false">$L$21</f>
        <v>0.351363458200347</v>
      </c>
      <c r="F34" s="14" t="n">
        <f aca="false">$L$21</f>
        <v>0.351363458200347</v>
      </c>
      <c r="G34" s="14" t="n">
        <f aca="false">$L$21</f>
        <v>0.351363458200347</v>
      </c>
      <c r="H34" s="14" t="n">
        <f aca="false">$L$21</f>
        <v>0.351363458200347</v>
      </c>
      <c r="I34" s="14" t="n">
        <f aca="false">$L$21</f>
        <v>0.351363458200347</v>
      </c>
      <c r="K34" s="12" t="s">
        <v>76</v>
      </c>
      <c r="L34" s="14" t="n">
        <f aca="false">L31*L32+L30*(1-L22)*L33</f>
        <v>0.163312185321282</v>
      </c>
      <c r="M34" s="11" t="s">
        <v>72</v>
      </c>
    </row>
    <row r="35" customFormat="false" ht="15" hidden="false" customHeight="false" outlineLevel="0" collapsed="false">
      <c r="A35" s="12" t="s">
        <v>77</v>
      </c>
      <c r="B35" s="7" t="n">
        <v>6275000000</v>
      </c>
      <c r="C35" s="7" t="n">
        <v>7574000000</v>
      </c>
      <c r="D35" s="7" t="n">
        <v>7045000000</v>
      </c>
      <c r="E35" s="8" t="n">
        <f aca="false">E33*E34</f>
        <v>9719976319.33831</v>
      </c>
      <c r="F35" s="8" t="n">
        <f aca="false">F33*F34</f>
        <v>10429033872.7238</v>
      </c>
      <c r="G35" s="8" t="n">
        <f aca="false">G33*G34</f>
        <v>11204772437.4518</v>
      </c>
      <c r="H35" s="8" t="n">
        <f aca="false">H33*H34</f>
        <v>12056720304.272</v>
      </c>
      <c r="I35" s="8" t="n">
        <f aca="false">I33*I34</f>
        <v>12996425287.3897</v>
      </c>
      <c r="K35" s="9" t="s">
        <v>78</v>
      </c>
      <c r="L35" s="10" t="n">
        <v>0.025</v>
      </c>
      <c r="M35" s="11" t="s">
        <v>18</v>
      </c>
    </row>
    <row r="36" customFormat="false" ht="15" hidden="false" customHeight="false" outlineLevel="0" collapsed="false">
      <c r="A36" s="6" t="s">
        <v>53</v>
      </c>
      <c r="B36" s="15" t="n">
        <v>0.206708595387841</v>
      </c>
      <c r="C36" s="15" t="n">
        <v>0.214948764315853</v>
      </c>
      <c r="D36" s="15" t="n">
        <v>0.220107625672661</v>
      </c>
      <c r="E36" s="14" t="n">
        <f aca="false">$L$22</f>
        <v>0.214948764315853</v>
      </c>
      <c r="F36" s="14" t="n">
        <f aca="false">$L$22</f>
        <v>0.214948764315853</v>
      </c>
      <c r="G36" s="14" t="n">
        <f aca="false">$L$22</f>
        <v>0.214948764315853</v>
      </c>
      <c r="H36" s="14" t="n">
        <f aca="false">$L$22</f>
        <v>0.214948764315853</v>
      </c>
      <c r="I36" s="14" t="n">
        <f aca="false">$L$22</f>
        <v>0.214948764315853</v>
      </c>
      <c r="K36" s="9" t="s">
        <v>79</v>
      </c>
      <c r="L36" s="17" t="n">
        <v>1059.63</v>
      </c>
      <c r="M36" s="11" t="s">
        <v>80</v>
      </c>
    </row>
    <row r="37" customFormat="false" ht="15" hidden="false" customHeight="false" outlineLevel="0" collapsed="false">
      <c r="A37" s="6" t="s">
        <v>81</v>
      </c>
      <c r="B37" s="8" t="n">
        <f aca="false">B35*B36</f>
        <v>1297096436.0587</v>
      </c>
      <c r="C37" s="8" t="n">
        <f aca="false">C35*C36</f>
        <v>1628021940.92827</v>
      </c>
      <c r="D37" s="8" t="n">
        <f aca="false">D35*D36</f>
        <v>1550658222.86389</v>
      </c>
      <c r="E37" s="8" t="n">
        <f aca="false">E35*E36</f>
        <v>2089296899.02112</v>
      </c>
      <c r="F37" s="8" t="n">
        <f aca="false">F35*F36</f>
        <v>2241707943.95016</v>
      </c>
      <c r="G37" s="8" t="n">
        <f aca="false">G35*G36</f>
        <v>2408451989.8706</v>
      </c>
      <c r="H37" s="8" t="n">
        <f aca="false">H35*H36</f>
        <v>2591577131.10512</v>
      </c>
      <c r="I37" s="8" t="n">
        <f aca="false">I35*I36</f>
        <v>2793565556.04771</v>
      </c>
      <c r="K37" s="9" t="s">
        <v>82</v>
      </c>
      <c r="L37" s="7" t="n">
        <v>160866521</v>
      </c>
      <c r="M37" s="11" t="s">
        <v>80</v>
      </c>
    </row>
    <row r="38" customFormat="false" ht="15" hidden="false" customHeight="false" outlineLevel="0" collapsed="false">
      <c r="A38" s="12" t="s">
        <v>83</v>
      </c>
      <c r="B38" s="8" t="n">
        <f aca="false">B35-B37</f>
        <v>4977903563.9413</v>
      </c>
      <c r="C38" s="8" t="n">
        <f aca="false">C35-C37</f>
        <v>5945978059.07173</v>
      </c>
      <c r="D38" s="8" t="n">
        <f aca="false">D35-D37</f>
        <v>5494341777.13611</v>
      </c>
      <c r="E38" s="8" t="n">
        <f aca="false">E35-E37</f>
        <v>7630679420.31718</v>
      </c>
      <c r="F38" s="8" t="n">
        <f aca="false">F35-F37</f>
        <v>8187325928.77366</v>
      </c>
      <c r="G38" s="8" t="n">
        <f aca="false">G35-G37</f>
        <v>8796320447.58122</v>
      </c>
      <c r="H38" s="8" t="n">
        <f aca="false">H35-H37</f>
        <v>9465143173.16689</v>
      </c>
      <c r="I38" s="8" t="n">
        <f aca="false">I35-I37</f>
        <v>10202859731.342</v>
      </c>
      <c r="K38" s="9" t="s">
        <v>84</v>
      </c>
      <c r="L38" s="7" t="n">
        <v>172164644864</v>
      </c>
      <c r="M38" s="11" t="s">
        <v>80</v>
      </c>
    </row>
    <row r="39" customFormat="false" ht="15" hidden="false" customHeight="false" outlineLevel="0" collapsed="false">
      <c r="A39" s="6" t="s">
        <v>85</v>
      </c>
      <c r="B39" s="7" t="n">
        <v>427000000</v>
      </c>
      <c r="C39" s="7" t="n">
        <v>529000000</v>
      </c>
      <c r="D39" s="7" t="n">
        <v>1126000000</v>
      </c>
      <c r="E39" s="8" t="n">
        <f aca="false">E33*$L$23</f>
        <v>717108914.850179</v>
      </c>
      <c r="F39" s="8" t="n">
        <f aca="false">F33*$L$23</f>
        <v>769420924.259398</v>
      </c>
      <c r="G39" s="8" t="n">
        <f aca="false">G33*$L$23</f>
        <v>826652446.444567</v>
      </c>
      <c r="H39" s="8" t="n">
        <f aca="false">H33*$L$23</f>
        <v>889506448.369332</v>
      </c>
      <c r="I39" s="8" t="n">
        <f aca="false">I33*$L$23</f>
        <v>958834891.009887</v>
      </c>
      <c r="K39" s="9" t="s">
        <v>86</v>
      </c>
      <c r="L39" s="7" t="n">
        <v>11468000000</v>
      </c>
      <c r="M39" s="11" t="s">
        <v>80</v>
      </c>
    </row>
    <row r="40" customFormat="false" ht="15" hidden="false" customHeight="false" outlineLevel="0" collapsed="false">
      <c r="A40" s="6" t="s">
        <v>87</v>
      </c>
      <c r="E40" s="8" t="n">
        <f aca="false">E33*$L$24</f>
        <v>0</v>
      </c>
      <c r="F40" s="8" t="n">
        <f aca="false">F33*$L$24</f>
        <v>0</v>
      </c>
      <c r="G40" s="8" t="n">
        <f aca="false">G33*$L$24</f>
        <v>0</v>
      </c>
      <c r="H40" s="8" t="n">
        <f aca="false">H33*$L$24</f>
        <v>0</v>
      </c>
      <c r="I40" s="8" t="n">
        <f aca="false">I33*$L$24</f>
        <v>0</v>
      </c>
      <c r="K40" s="9" t="s">
        <v>88</v>
      </c>
      <c r="L40" s="7" t="n">
        <v>0</v>
      </c>
      <c r="M40" s="11" t="s">
        <v>80</v>
      </c>
    </row>
    <row r="41" customFormat="false" ht="15" hidden="false" customHeight="false" outlineLevel="0" collapsed="false">
      <c r="A41" s="6" t="s">
        <v>89</v>
      </c>
      <c r="B41" s="8" t="n">
        <f aca="false">SUM(B39:B40)</f>
        <v>427000000</v>
      </c>
      <c r="C41" s="8" t="n">
        <f aca="false">SUM(C39:C40)</f>
        <v>529000000</v>
      </c>
      <c r="D41" s="8" t="n">
        <f aca="false">SUM(D39:D40)</f>
        <v>1126000000</v>
      </c>
      <c r="E41" s="8" t="n">
        <f aca="false">SUM(E39:E40)</f>
        <v>717108914.850179</v>
      </c>
      <c r="F41" s="8" t="n">
        <f aca="false">SUM(F39:F40)</f>
        <v>769420924.259398</v>
      </c>
      <c r="G41" s="8" t="n">
        <f aca="false">SUM(G39:G40)</f>
        <v>826652446.444567</v>
      </c>
      <c r="H41" s="8" t="n">
        <f aca="false">SUM(H39:H40)</f>
        <v>889506448.369332</v>
      </c>
      <c r="I41" s="8" t="n">
        <f aca="false">SUM(I39:I40)</f>
        <v>958834891.009887</v>
      </c>
      <c r="K41" s="9" t="s">
        <v>90</v>
      </c>
      <c r="L41" s="7" t="n">
        <v>12768000000</v>
      </c>
      <c r="M41" s="11" t="s">
        <v>80</v>
      </c>
    </row>
    <row r="42" customFormat="false" ht="15" hidden="false" customHeight="false" outlineLevel="0" collapsed="false">
      <c r="A42" s="6" t="s">
        <v>91</v>
      </c>
      <c r="B42" s="7" t="n">
        <v>344000000</v>
      </c>
      <c r="C42" s="7" t="n">
        <v>255000000</v>
      </c>
      <c r="D42" s="7" t="n">
        <v>375000000</v>
      </c>
      <c r="E42" s="8" t="n">
        <f aca="false">E33*$L$25</f>
        <v>428388174.475198</v>
      </c>
      <c r="F42" s="8" t="n">
        <f aca="false">F33*$L$25</f>
        <v>459638443.088337</v>
      </c>
      <c r="G42" s="8" t="n">
        <f aca="false">G33*$L$25</f>
        <v>493827541.569233</v>
      </c>
      <c r="H42" s="8" t="n">
        <f aca="false">H33*$L$25</f>
        <v>531375409.940994</v>
      </c>
      <c r="I42" s="8" t="n">
        <f aca="false">I33*$L$25</f>
        <v>572790994.612955</v>
      </c>
      <c r="K42" s="9" t="s">
        <v>92</v>
      </c>
      <c r="L42" s="7" t="n">
        <v>227000000</v>
      </c>
      <c r="M42" s="11" t="s">
        <v>80</v>
      </c>
    </row>
    <row r="43" customFormat="false" ht="15" hidden="false" customHeight="false" outlineLevel="0" collapsed="false">
      <c r="A43" s="6" t="s">
        <v>93</v>
      </c>
      <c r="B43" s="7" t="n">
        <v>346000000</v>
      </c>
      <c r="C43" s="7" t="n">
        <v>-176000000</v>
      </c>
      <c r="D43" s="7" t="n">
        <v>189000000</v>
      </c>
      <c r="E43" s="8" t="n">
        <f aca="false">E33*$L$26</f>
        <v>215907639.9355</v>
      </c>
      <c r="F43" s="8" t="n">
        <f aca="false">F33*$L$26</f>
        <v>231657775.316522</v>
      </c>
      <c r="G43" s="8" t="n">
        <f aca="false">G33*$L$26</f>
        <v>248889080.950894</v>
      </c>
      <c r="H43" s="8" t="n">
        <f aca="false">H33*$L$26</f>
        <v>267813206.610261</v>
      </c>
      <c r="I43" s="8" t="n">
        <f aca="false">I33*$L$26</f>
        <v>288686661.28493</v>
      </c>
      <c r="K43" s="9" t="s">
        <v>94</v>
      </c>
      <c r="L43" s="7" t="n">
        <v>0</v>
      </c>
      <c r="M43" s="11" t="s">
        <v>80</v>
      </c>
    </row>
    <row r="44" customFormat="false" ht="15" hidden="false" customHeight="false" outlineLevel="0" collapsed="false">
      <c r="A44" s="12" t="s">
        <v>95</v>
      </c>
      <c r="B44" s="8" t="n">
        <f aca="false">B38+B41-B42-B43</f>
        <v>4714903563.9413</v>
      </c>
      <c r="C44" s="8" t="n">
        <f aca="false">C38+C41-C42-C43</f>
        <v>6395978059.07173</v>
      </c>
      <c r="D44" s="8" t="n">
        <f aca="false">D38+D41-D42-D43</f>
        <v>6056341777.13611</v>
      </c>
      <c r="E44" s="8" t="n">
        <f aca="false">E38+E41-E42-E43</f>
        <v>7703492520.75666</v>
      </c>
      <c r="F44" s="8" t="n">
        <f aca="false">F38+F41-F42-F43</f>
        <v>8265450634.6282</v>
      </c>
      <c r="G44" s="8" t="n">
        <f aca="false">G38+G41-G42-G43</f>
        <v>8880256271.50566</v>
      </c>
      <c r="H44" s="8" t="n">
        <f aca="false">H38+H41-H42-H43</f>
        <v>9555461004.98496</v>
      </c>
      <c r="I44" s="8" t="n">
        <f aca="false">I38+I41-I42-I43</f>
        <v>10300216966.454</v>
      </c>
    </row>
    <row r="45" customFormat="false" ht="15" hidden="false" customHeight="false" outlineLevel="0" collapsed="false">
      <c r="A45" s="6" t="s">
        <v>96</v>
      </c>
      <c r="E45" s="18" t="n">
        <f aca="false">1/(1+$L$34)^1</f>
        <v>0.859614480633865</v>
      </c>
      <c r="F45" s="18" t="n">
        <f aca="false">1/(1+$L$34)^2</f>
        <v>0.738937055315429</v>
      </c>
      <c r="G45" s="18" t="n">
        <f aca="false">1/(1+$L$34)^3</f>
        <v>0.63520099302609</v>
      </c>
      <c r="H45" s="18" t="n">
        <f aca="false">1/(1+$L$34)^4</f>
        <v>0.546027971718238</v>
      </c>
      <c r="I45" s="18" t="n">
        <f aca="false">1/(1+$L$34)^5</f>
        <v>0.469373551320136</v>
      </c>
    </row>
    <row r="46" customFormat="false" ht="15" hidden="false" customHeight="false" outlineLevel="0" collapsed="false">
      <c r="A46" s="12" t="s">
        <v>97</v>
      </c>
      <c r="E46" s="8" t="n">
        <f aca="false">E44*E45</f>
        <v>6622033722.2971</v>
      </c>
      <c r="F46" s="8" t="n">
        <f aca="false">F44*F45</f>
        <v>6107647752.80721</v>
      </c>
      <c r="G46" s="8" t="n">
        <f aca="false">G44*G45</f>
        <v>5640747601.98656</v>
      </c>
      <c r="H46" s="8" t="n">
        <f aca="false">H44*H45</f>
        <v>5217548991.38465</v>
      </c>
      <c r="I46" s="8" t="n">
        <f aca="false">I44*I45</f>
        <v>4834649416.91241</v>
      </c>
    </row>
    <row r="47" customFormat="false" ht="15" hidden="false" customHeight="false" outlineLevel="0" collapsed="false">
      <c r="A47" s="12" t="s">
        <v>98</v>
      </c>
      <c r="B47" s="8" t="n">
        <f aca="false">B44-(B38+B41-B42-B43)</f>
        <v>0</v>
      </c>
      <c r="C47" s="8" t="n">
        <f aca="false">C44-(C38+C41-C42-C43)</f>
        <v>0</v>
      </c>
      <c r="D47" s="8" t="n">
        <f aca="false">D44-(D38+D41-D42-D43)</f>
        <v>0</v>
      </c>
      <c r="E47" s="8" t="n">
        <f aca="false">E44-(E38+E41-E42-E43)</f>
        <v>0</v>
      </c>
      <c r="F47" s="8" t="n">
        <f aca="false">F44-(F38+F41-F42-F43)</f>
        <v>0</v>
      </c>
      <c r="G47" s="8" t="n">
        <f aca="false">G44-(G38+G41-G42-G43)</f>
        <v>0</v>
      </c>
      <c r="H47" s="8" t="n">
        <f aca="false">H44-(H38+H41-H42-H43)</f>
        <v>0</v>
      </c>
      <c r="I47" s="8" t="n">
        <f aca="false">I44-(I38+I41-I42-I43)</f>
        <v>0</v>
      </c>
    </row>
    <row r="49" customFormat="false" ht="15" hidden="false" customHeight="false" outlineLevel="0" collapsed="false">
      <c r="A49" s="3" t="s">
        <v>99</v>
      </c>
      <c r="B49" s="3"/>
      <c r="C49" s="3"/>
    </row>
    <row r="50" customFormat="false" ht="15" hidden="false" customHeight="false" outlineLevel="0" collapsed="false">
      <c r="A50" s="6" t="s">
        <v>100</v>
      </c>
      <c r="B50" s="14" t="n">
        <f aca="false">$L$34</f>
        <v>0.163312185321282</v>
      </c>
    </row>
    <row r="51" customFormat="false" ht="15" hidden="false" customHeight="false" outlineLevel="0" collapsed="false">
      <c r="A51" s="6" t="s">
        <v>101</v>
      </c>
      <c r="B51" s="8" t="n">
        <f aca="false">I44</f>
        <v>10300216966.454</v>
      </c>
    </row>
    <row r="52" customFormat="false" ht="15" hidden="false" customHeight="false" outlineLevel="0" collapsed="false">
      <c r="A52" s="6" t="s">
        <v>102</v>
      </c>
      <c r="B52" s="14" t="n">
        <f aca="false">$L$35</f>
        <v>0.025</v>
      </c>
    </row>
    <row r="53" customFormat="false" ht="15" hidden="false" customHeight="false" outlineLevel="0" collapsed="false">
      <c r="A53" s="6" t="s">
        <v>103</v>
      </c>
      <c r="B53" s="8" t="n">
        <f aca="false">B51*(1+B52)/(B50-B52)</f>
        <v>76332554258.2603</v>
      </c>
    </row>
    <row r="54" customFormat="false" ht="15" hidden="false" customHeight="false" outlineLevel="0" collapsed="false">
      <c r="A54" s="6" t="s">
        <v>104</v>
      </c>
      <c r="B54" s="8" t="n">
        <f aca="false">B53*I45</f>
        <v>35828482073.5366</v>
      </c>
    </row>
    <row r="55" customFormat="false" ht="15" hidden="false" customHeight="false" outlineLevel="0" collapsed="false">
      <c r="A55" s="6" t="s">
        <v>105</v>
      </c>
      <c r="B55" s="8" t="n">
        <f aca="false">SUM(E46:I46)</f>
        <v>28422627485.3879</v>
      </c>
    </row>
    <row r="56" customFormat="false" ht="15" hidden="false" customHeight="false" outlineLevel="0" collapsed="false">
      <c r="A56" s="12" t="s">
        <v>106</v>
      </c>
      <c r="B56" s="8" t="n">
        <f aca="false">SUM(B54:B55)</f>
        <v>64251109558.9245</v>
      </c>
    </row>
    <row r="57" customFormat="false" ht="15" hidden="false" customHeight="false" outlineLevel="0" collapsed="false">
      <c r="A57" s="6" t="s">
        <v>107</v>
      </c>
      <c r="B57" s="8" t="n">
        <f aca="false">$L$39</f>
        <v>11468000000</v>
      </c>
    </row>
    <row r="58" customFormat="false" ht="15" hidden="false" customHeight="false" outlineLevel="0" collapsed="false">
      <c r="A58" s="6" t="s">
        <v>108</v>
      </c>
      <c r="B58" s="8" t="n">
        <f aca="false">$L$40</f>
        <v>0</v>
      </c>
    </row>
    <row r="59" customFormat="false" ht="15" hidden="false" customHeight="false" outlineLevel="0" collapsed="false">
      <c r="A59" s="6" t="s">
        <v>109</v>
      </c>
      <c r="B59" s="8" t="n">
        <f aca="false">-$L$41</f>
        <v>-12768000000</v>
      </c>
    </row>
    <row r="60" customFormat="false" ht="15" hidden="false" customHeight="false" outlineLevel="0" collapsed="false">
      <c r="A60" s="6" t="s">
        <v>110</v>
      </c>
      <c r="B60" s="8" t="n">
        <f aca="false">-$L$42</f>
        <v>-227000000</v>
      </c>
    </row>
    <row r="61" customFormat="false" ht="15" hidden="false" customHeight="false" outlineLevel="0" collapsed="false">
      <c r="A61" s="6" t="s">
        <v>111</v>
      </c>
      <c r="B61" s="8" t="n">
        <f aca="false">-$L$43</f>
        <v>-0</v>
      </c>
    </row>
    <row r="62" customFormat="false" ht="15" hidden="false" customHeight="false" outlineLevel="0" collapsed="false">
      <c r="A62" s="12" t="s">
        <v>112</v>
      </c>
      <c r="B62" s="8" t="n">
        <f aca="false">SUM(B56:B61)</f>
        <v>62724109558.9245</v>
      </c>
    </row>
    <row r="63" customFormat="false" ht="15" hidden="false" customHeight="false" outlineLevel="0" collapsed="false">
      <c r="A63" s="12" t="s">
        <v>113</v>
      </c>
      <c r="B63" s="19" t="n">
        <f aca="false">IFERROR(B62/$L$37,0)</f>
        <v>389.914005530862</v>
      </c>
    </row>
    <row r="64" customFormat="false" ht="15" hidden="false" customHeight="false" outlineLevel="0" collapsed="false">
      <c r="A64" s="6" t="s">
        <v>79</v>
      </c>
      <c r="B64" s="19" t="n">
        <f aca="false">$L$36</f>
        <v>1059.63</v>
      </c>
    </row>
    <row r="65" customFormat="false" ht="15" hidden="false" customHeight="false" outlineLevel="0" collapsed="false">
      <c r="A65" s="12" t="s">
        <v>114</v>
      </c>
      <c r="B65" s="14" t="n">
        <f aca="false">IFERROR(B63/B64-1,0)</f>
        <v>-0.632028155553484</v>
      </c>
    </row>
    <row r="67" customFormat="false" ht="25.5" hidden="false" customHeight="true" outlineLevel="0" collapsed="false">
      <c r="A67" s="2" t="s">
        <v>115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9" customFormat="false" ht="15" hidden="false" customHeight="false" outlineLevel="0" collapsed="false">
      <c r="A69" s="3" t="s">
        <v>116</v>
      </c>
      <c r="B69" s="3"/>
      <c r="C69" s="3"/>
      <c r="D69" s="3"/>
      <c r="E69" s="3"/>
      <c r="F69" s="3"/>
      <c r="G69" s="3"/>
    </row>
    <row r="70" customFormat="false" ht="15" hidden="false" customHeight="false" outlineLevel="0" collapsed="false">
      <c r="B70" s="0" t="s">
        <v>117</v>
      </c>
      <c r="C70" s="20" t="n">
        <f aca="false">$L$35-2%</f>
        <v>0.005</v>
      </c>
      <c r="D70" s="20" t="n">
        <f aca="false">$L$35-1%</f>
        <v>0.015</v>
      </c>
      <c r="E70" s="20" t="n">
        <f aca="false">$L$35+0%</f>
        <v>0.025</v>
      </c>
      <c r="F70" s="20" t="n">
        <f aca="false">$L$35+1%</f>
        <v>0.035</v>
      </c>
      <c r="G70" s="20" t="n">
        <f aca="false">$L$35+2%</f>
        <v>0.045</v>
      </c>
    </row>
    <row r="71" customFormat="false" ht="15" hidden="false" customHeight="false" outlineLevel="0" collapsed="false">
      <c r="B71" s="14" t="n">
        <f aca="false">$L$34-2%</f>
        <v>0.143312185321282</v>
      </c>
      <c r="C71" s="19" t="n">
        <f aca="false">IF(OR($B71&lt;=C$70,$B71&lt;=0),"",(E44/(1+$B71)^1+F44/(1+$B71)^2+G44/(1+$B71)^3+H44/(1+$B71)^4+I44/(1+$B71)^5+($I$44*(1+C$70)/($B71-C$70))/(1+$B71)^5+$L$39+$L$40-$L$41-$L$42-$L$43)/$L$37)</f>
        <v>414.333105511905</v>
      </c>
      <c r="D71" s="19" t="n">
        <f aca="false">IF(OR($B71&lt;=D$70,$B71&lt;=0),"",(E44/(1+$B71)^1+F44/(1+$B71)^2+G44/(1+$B71)^3+H44/(1+$B71)^4+I44/(1+$B71)^5+($I$44*(1+D$70)/($B71-D$70))/(1+$B71)^5+$L$39+$L$40-$L$41-$L$42-$L$43)/$L$37)</f>
        <v>435.448200025456</v>
      </c>
      <c r="E71" s="19" t="n">
        <f aca="false">IF(OR($B71&lt;=E$70,$B71&lt;=0),"",(E44/(1+$B71)^1+F44/(1+$B71)^2+G44/(1+$B71)^3+H44/(1+$B71)^4+I44/(1+$B71)^5+($I$44*(1+E$70)/($B71-E$70))/(1+$B71)^5+$L$39+$L$40-$L$41-$L$42-$L$43)/$L$37)</f>
        <v>460.132680812486</v>
      </c>
      <c r="F71" s="19" t="n">
        <f aca="false">IF(OR($B71&lt;=F$70,$B71&lt;=0),"",(E44/(1+$B71)^1+F44/(1+$B71)^2+G44/(1+$B71)^3+H44/(1+$B71)^4+I44/(1+$B71)^5+($I$44*(1+F$70)/($B71-F$70))/(1+$B71)^5+$L$39+$L$40-$L$41-$L$42-$L$43)/$L$37)</f>
        <v>489.375186297071</v>
      </c>
      <c r="G71" s="19" t="n">
        <f aca="false">IF(OR($B71&lt;=G$70,$B71&lt;=0),"",(E44/(1+$B71)^1+F44/(1+$B71)^2+G44/(1+$B71)^3+H44/(1+$B71)^4+I44/(1+$B71)^5+($I$44*(1+G$70)/($B71-G$70))/(1+$B71)^5+$L$39+$L$40-$L$41-$L$42-$L$43)/$L$37)</f>
        <v>524.566599414829</v>
      </c>
    </row>
    <row r="72" customFormat="false" ht="15" hidden="false" customHeight="false" outlineLevel="0" collapsed="false">
      <c r="B72" s="14" t="n">
        <f aca="false">$L$34-1%</f>
        <v>0.153312185321282</v>
      </c>
      <c r="C72" s="19" t="n">
        <f aca="false">IF(OR($B72&lt;=C$70,$B72&lt;=0),"",(E44/(1+$B72)^1+F44/(1+$B72)^2+G44/(1+$B72)^3+H44/(1+$B72)^4+I44/(1+$B72)^5+($I$44*(1+C$70)/($B72-C$70))/(1+$B72)^5+$L$39+$L$40-$L$41-$L$42-$L$43)/$L$37)</f>
        <v>384.231141549857</v>
      </c>
      <c r="D72" s="19" t="n">
        <f aca="false">IF(OR($B72&lt;=D$70,$B72&lt;=0),"",(E44/(1+$B72)^1+F44/(1+$B72)^2+G44/(1+$B72)^3+H44/(1+$B72)^4+I44/(1+$B72)^5+($I$44*(1+D$70)/($B72-D$70))/(1+$B72)^5+$L$39+$L$40-$L$41-$L$42-$L$43)/$L$37)</f>
        <v>401.873470019711</v>
      </c>
      <c r="E72" s="19" t="n">
        <f aca="false">IF(OR($B72&lt;=E$70,$B72&lt;=0),"",(E44/(1+$B72)^1+F44/(1+$B72)^2+G44/(1+$B72)^3+H44/(1+$B72)^4+I44/(1+$B72)^5+($I$44*(1+E$70)/($B72-E$70))/(1+$B72)^5+$L$39+$L$40-$L$41-$L$42-$L$43)/$L$37)</f>
        <v>422.265705433427</v>
      </c>
      <c r="F72" s="19" t="n">
        <f aca="false">IF(OR($B72&lt;=F$70,$B72&lt;=0),"",(E44/(1+$B72)^1+F44/(1+$B72)^2+G44/(1+$B72)^3+H44/(1+$B72)^4+I44/(1+$B72)^5+($I$44*(1+F$70)/($B72-F$70))/(1+$B72)^5+$L$39+$L$40-$L$41-$L$42-$L$43)/$L$37)</f>
        <v>446.105131913446</v>
      </c>
      <c r="G72" s="19" t="n">
        <f aca="false">IF(OR($B72&lt;=G$70,$B72&lt;=0),"",(E44/(1+$B72)^1+F44/(1+$B72)^2+G44/(1+$B72)^3+H44/(1+$B72)^4+I44/(1+$B72)^5+($I$44*(1+G$70)/($B72-G$70))/(1+$B72)^5+$L$39+$L$40-$L$41-$L$42-$L$43)/$L$37)</f>
        <v>474.34654260407</v>
      </c>
    </row>
    <row r="73" customFormat="false" ht="15" hidden="false" customHeight="false" outlineLevel="0" collapsed="false">
      <c r="B73" s="14" t="n">
        <f aca="false">$L$34+0%</f>
        <v>0.163312185321282</v>
      </c>
      <c r="C73" s="19" t="n">
        <f aca="false">IF(OR($B73&lt;=C$70,$B73&lt;=0),"",(E44/(1+$B73)^1+F44/(1+$B73)^2+G44/(1+$B73)^3+H44/(1+$B73)^4+I44/(1+$B73)^5+($I$44*(1+C$70)/($B73-C$70))/(1+$B73)^5+$L$39+$L$40-$L$41-$L$42-$L$43)/$L$37)</f>
        <v>357.980190674782</v>
      </c>
      <c r="D73" s="19" t="n">
        <f aca="false">IF(OR($B73&lt;=D$70,$B73&lt;=0),"",(E44/(1+$B73)^1+F44/(1+$B73)^2+G44/(1+$B73)^3+H44/(1+$B73)^4+I44/(1+$B73)^5+($I$44*(1+D$70)/($B73-D$70))/(1+$B73)^5+$L$39+$L$40-$L$41-$L$42-$L$43)/$L$37)</f>
        <v>372.870523889217</v>
      </c>
      <c r="E73" s="19" t="n">
        <f aca="false">IF(OR($B73&lt;=E$70,$B73&lt;=0),"",(E44/(1+$B73)^1+F44/(1+$B73)^2+G44/(1+$B73)^3+H44/(1+$B73)^4+I44/(1+$B73)^5+($I$44*(1+E$70)/($B73-E$70))/(1+$B73)^5+$L$39+$L$40-$L$41-$L$42-$L$43)/$L$37)</f>
        <v>389.914005530862</v>
      </c>
      <c r="F73" s="19" t="n">
        <f aca="false">IF(OR($B73&lt;=F$70,$B73&lt;=0),"",(E44/(1+$B73)^1+F44/(1+$B73)^2+G44/(1+$B73)^3+H44/(1+$B73)^4+I44/(1+$B73)^5+($I$44*(1+F$70)/($B73-F$70))/(1+$B73)^5+$L$39+$L$40-$L$41-$L$42-$L$43)/$L$37)</f>
        <v>409.61405195612</v>
      </c>
      <c r="G73" s="19" t="n">
        <f aca="false">IF(OR($B73&lt;=G$70,$B73&lt;=0),"",(E44/(1+$B73)^1+F44/(1+$B73)^2+G44/(1+$B73)^3+H44/(1+$B73)^4+I44/(1+$B73)^5+($I$44*(1+G$70)/($B73-G$70))/(1+$B73)^5+$L$39+$L$40-$L$41-$L$42-$L$43)/$L$37)</f>
        <v>432.644278847872</v>
      </c>
    </row>
    <row r="74" customFormat="false" ht="15" hidden="false" customHeight="false" outlineLevel="0" collapsed="false">
      <c r="B74" s="14" t="n">
        <f aca="false">$L$34+1%</f>
        <v>0.173312185321282</v>
      </c>
      <c r="C74" s="19" t="n">
        <f aca="false">IF(OR($B74&lt;=C$70,$B74&lt;=0),"",(E44/(1+$B74)^1+F44/(1+$B74)^2+G44/(1+$B74)^3+H44/(1+$B74)^4+I44/(1+$B74)^5+($I$44*(1+C$70)/($B74-C$70))/(1+$B74)^5+$L$39+$L$40-$L$41-$L$42-$L$43)/$L$37)</f>
        <v>334.891855420311</v>
      </c>
      <c r="D74" s="19" t="n">
        <f aca="false">IF(OR($B74&lt;=D$70,$B74&lt;=0),"",(E44/(1+$B74)^1+F44/(1+$B74)^2+G44/(1+$B74)^3+H44/(1+$B74)^4+I44/(1+$B74)^5+($I$44*(1+D$70)/($B74-D$70))/(1+$B74)^5+$L$39+$L$40-$L$41-$L$42-$L$43)/$L$37)</f>
        <v>347.571190422728</v>
      </c>
      <c r="E74" s="19" t="n">
        <f aca="false">IF(OR($B74&lt;=E$70,$B74&lt;=0),"",(E44/(1+$B74)^1+F44/(1+$B74)^2+G44/(1+$B74)^3+H44/(1+$B74)^4+I44/(1+$B74)^5+($I$44*(1+E$70)/($B74-E$70))/(1+$B74)^5+$L$39+$L$40-$L$41-$L$42-$L$43)/$L$37)</f>
        <v>361.960342453995</v>
      </c>
      <c r="F74" s="19" t="n">
        <f aca="false">IF(OR($B74&lt;=F$70,$B74&lt;=0),"",(E44/(1+$B74)^1+F44/(1+$B74)^2+G44/(1+$B74)^3+H44/(1+$B74)^4+I44/(1+$B74)^5+($I$44*(1+F$70)/($B74-F$70))/(1+$B74)^5+$L$39+$L$40-$L$41-$L$42-$L$43)/$L$37)</f>
        <v>378.430171903213</v>
      </c>
      <c r="G74" s="19" t="n">
        <f aca="false">IF(OR($B74&lt;=G$70,$B74&lt;=0),"",(E44/(1+$B74)^1+F44/(1+$B74)^2+G44/(1+$B74)^3+H44/(1+$B74)^4+I44/(1+$B74)^5+($I$44*(1+G$70)/($B74-G$70))/(1+$B74)^5+$L$39+$L$40-$L$41-$L$42-$L$43)/$L$37)</f>
        <v>397.467151059683</v>
      </c>
    </row>
    <row r="75" customFormat="false" ht="15" hidden="false" customHeight="false" outlineLevel="0" collapsed="false">
      <c r="B75" s="14" t="n">
        <f aca="false">$L$34+2%</f>
        <v>0.183312185321282</v>
      </c>
      <c r="C75" s="19" t="n">
        <f aca="false">IF(OR($B75&lt;=C$70,$B75&lt;=0),"",(E44/(1+$B75)^1+F44/(1+$B75)^2+G44/(1+$B75)^3+H44/(1+$B75)^4+I44/(1+$B75)^5+($I$44*(1+C$70)/($B75-C$70))/(1+$B75)^5+$L$39+$L$40-$L$41-$L$42-$L$43)/$L$37)</f>
        <v>314.432263666995</v>
      </c>
      <c r="D75" s="19" t="n">
        <f aca="false">IF(OR($B75&lt;=D$70,$B75&lt;=0),"",(E44/(1+$B75)^1+F44/(1+$B75)^2+G44/(1+$B75)^3+H44/(1+$B75)^4+I44/(1+$B75)^5+($I$44*(1+D$70)/($B75-D$70))/(1+$B75)^5+$L$39+$L$40-$L$41-$L$42-$L$43)/$L$37)</f>
        <v>325.31371377022</v>
      </c>
      <c r="E75" s="19" t="n">
        <f aca="false">IF(OR($B75&lt;=E$70,$B75&lt;=0),"",(E44/(1+$B75)^1+F44/(1+$B75)^2+G44/(1+$B75)^3+H44/(1+$B75)^4+I44/(1+$B75)^5+($I$44*(1+E$70)/($B75-E$70))/(1+$B75)^5+$L$39+$L$40-$L$41-$L$42-$L$43)/$L$37)</f>
        <v>337.569846445243</v>
      </c>
      <c r="F75" s="19" t="n">
        <f aca="false">IF(OR($B75&lt;=F$70,$B75&lt;=0),"",(E44/(1+$B75)^1+F44/(1+$B75)^2+G44/(1+$B75)^3+H44/(1+$B75)^4+I44/(1+$B75)^5+($I$44*(1+F$70)/($B75-F$70))/(1+$B75)^5+$L$39+$L$40-$L$41-$L$42-$L$43)/$L$37)</f>
        <v>351.478727024759</v>
      </c>
      <c r="G75" s="19" t="n">
        <f aca="false">IF(OR($B75&lt;=G$70,$B75&lt;=0),"",(E44/(1+$B75)^1+F44/(1+$B75)^2+G44/(1+$B75)^3+H44/(1+$B75)^4+I44/(1+$B75)^5+($I$44*(1+G$70)/($B75-G$70))/(1+$B75)^5+$L$39+$L$40-$L$41-$L$42-$L$43)/$L$37)</f>
        <v>367.398837568895</v>
      </c>
    </row>
    <row r="77" customFormat="false" ht="15" hidden="false" customHeight="true" outlineLevel="0" collapsed="false">
      <c r="A77" s="2" t="s">
        <v>118</v>
      </c>
      <c r="B77" s="2"/>
      <c r="C77" s="2"/>
      <c r="D77" s="2"/>
      <c r="E77" s="2"/>
      <c r="F77" s="2"/>
      <c r="G77" s="2"/>
    </row>
  </sheetData>
  <mergeCells count="4">
    <mergeCell ref="A1:M1"/>
    <mergeCell ref="A2:M2"/>
    <mergeCell ref="A67:M67"/>
    <mergeCell ref="A77:G7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34"/>
    <col collapsed="false" customWidth="true" hidden="false" outlineLevel="0" max="4" min="4" style="0" width="22"/>
    <col collapsed="false" customWidth="true" hidden="false" outlineLevel="0" max="5" min="5" style="0" width="43"/>
    <col collapsed="false" customWidth="true" hidden="false" outlineLevel="0" max="6" min="6" style="0" width="25"/>
    <col collapsed="false" customWidth="true" hidden="false" outlineLevel="0" max="7" min="7" style="0" width="14"/>
    <col collapsed="false" customWidth="true" hidden="false" outlineLevel="0" max="8" min="8" style="0" width="22"/>
    <col collapsed="false" customWidth="true" hidden="false" outlineLevel="0" max="9" min="9" style="0" width="64"/>
  </cols>
  <sheetData>
    <row r="1" customFormat="false" ht="19.7" hidden="false" customHeight="false" outlineLevel="0" collapsed="false">
      <c r="A1" s="21" t="s">
        <v>119</v>
      </c>
      <c r="B1" s="21"/>
      <c r="C1" s="21"/>
      <c r="D1" s="21"/>
      <c r="E1" s="21"/>
      <c r="F1" s="21"/>
      <c r="G1" s="21"/>
      <c r="H1" s="21"/>
      <c r="I1" s="21"/>
    </row>
    <row r="2" customFormat="false" ht="30" hidden="false" customHeight="true" outlineLevel="0" collapsed="false">
      <c r="A2" s="2" t="s">
        <v>120</v>
      </c>
      <c r="B2" s="2"/>
      <c r="C2" s="2"/>
      <c r="D2" s="2"/>
      <c r="E2" s="2"/>
      <c r="F2" s="2"/>
      <c r="G2" s="2"/>
      <c r="H2" s="2"/>
      <c r="I2" s="2"/>
    </row>
    <row r="5" customFormat="false" ht="22.35" hidden="false" customHeight="false" outlineLevel="0" collapsed="false">
      <c r="A5" s="5" t="s">
        <v>121</v>
      </c>
      <c r="B5" s="5" t="s">
        <v>122</v>
      </c>
      <c r="C5" s="5" t="s">
        <v>123</v>
      </c>
      <c r="D5" s="5" t="s">
        <v>124</v>
      </c>
      <c r="E5" s="5" t="s">
        <v>125</v>
      </c>
      <c r="F5" s="5" t="s">
        <v>126</v>
      </c>
      <c r="G5" s="5" t="s">
        <v>127</v>
      </c>
      <c r="H5" s="5" t="s">
        <v>128</v>
      </c>
      <c r="I5" s="5" t="s">
        <v>129</v>
      </c>
    </row>
    <row r="6" customFormat="false" ht="15.75" hidden="false" customHeight="true" outlineLevel="0" collapsed="false">
      <c r="A6" s="22" t="s">
        <v>130</v>
      </c>
      <c r="B6" s="22" t="n">
        <v>2023</v>
      </c>
      <c r="C6" s="22" t="s">
        <v>131</v>
      </c>
      <c r="D6" s="23" t="n">
        <v>10008995000000</v>
      </c>
      <c r="E6" s="22" t="s">
        <v>132</v>
      </c>
      <c r="F6" s="22" t="s">
        <v>133</v>
      </c>
      <c r="G6" s="22" t="s">
        <v>134</v>
      </c>
      <c r="H6" s="22" t="s">
        <v>135</v>
      </c>
      <c r="I6" s="22" t="s">
        <v>136</v>
      </c>
    </row>
    <row r="7" customFormat="false" ht="15.75" hidden="false" customHeight="true" outlineLevel="0" collapsed="false">
      <c r="A7" s="22" t="s">
        <v>130</v>
      </c>
      <c r="B7" s="22" t="n">
        <v>2023</v>
      </c>
      <c r="C7" s="22" t="s">
        <v>137</v>
      </c>
      <c r="D7" s="23" t="n">
        <v>8594485000000</v>
      </c>
      <c r="E7" s="22" t="s">
        <v>132</v>
      </c>
      <c r="F7" s="22" t="s">
        <v>133</v>
      </c>
      <c r="G7" s="22" t="s">
        <v>134</v>
      </c>
      <c r="H7" s="22" t="s">
        <v>135</v>
      </c>
      <c r="I7" s="22" t="s">
        <v>136</v>
      </c>
    </row>
    <row r="8" customFormat="false" ht="15.75" hidden="false" customHeight="true" outlineLevel="0" collapsed="false">
      <c r="A8" s="22" t="s">
        <v>138</v>
      </c>
      <c r="B8" s="22" t="n">
        <v>2023</v>
      </c>
      <c r="C8" s="22" t="s">
        <v>139</v>
      </c>
      <c r="D8" s="23" t="n">
        <v>9301740000000</v>
      </c>
      <c r="E8" s="22" t="s">
        <v>132</v>
      </c>
      <c r="F8" s="22" t="s">
        <v>133</v>
      </c>
      <c r="G8" s="22" t="s">
        <v>134</v>
      </c>
      <c r="H8" s="22" t="s">
        <v>135</v>
      </c>
      <c r="I8" s="22" t="s">
        <v>136</v>
      </c>
    </row>
    <row r="9" customFormat="false" ht="15.75" hidden="false" customHeight="true" outlineLevel="0" collapsed="false">
      <c r="A9" s="22" t="s">
        <v>138</v>
      </c>
      <c r="B9" s="22" t="n">
        <v>2023</v>
      </c>
      <c r="C9" s="22" t="s">
        <v>139</v>
      </c>
      <c r="D9" s="23" t="n">
        <v>9301740000000</v>
      </c>
      <c r="E9" s="22" t="s">
        <v>132</v>
      </c>
      <c r="F9" s="22" t="s">
        <v>133</v>
      </c>
      <c r="G9" s="22" t="s">
        <v>134</v>
      </c>
      <c r="H9" s="22" t="s">
        <v>135</v>
      </c>
      <c r="I9" s="22" t="s">
        <v>136</v>
      </c>
    </row>
    <row r="10" customFormat="false" ht="15.75" hidden="false" customHeight="true" outlineLevel="0" collapsed="false">
      <c r="A10" s="22" t="s">
        <v>130</v>
      </c>
      <c r="B10" s="22" t="n">
        <v>2023</v>
      </c>
      <c r="C10" s="22" t="s">
        <v>140</v>
      </c>
      <c r="D10" s="23" t="n">
        <v>288695000000</v>
      </c>
      <c r="E10" s="22" t="s">
        <v>141</v>
      </c>
      <c r="F10" s="22" t="s">
        <v>142</v>
      </c>
      <c r="G10" s="22" t="s">
        <v>143</v>
      </c>
      <c r="H10" s="22" t="s">
        <v>135</v>
      </c>
      <c r="I10" s="22" t="s">
        <v>144</v>
      </c>
    </row>
    <row r="11" customFormat="false" ht="15.75" hidden="false" customHeight="true" outlineLevel="0" collapsed="false">
      <c r="A11" s="22" t="s">
        <v>145</v>
      </c>
      <c r="B11" s="22" t="n">
        <v>2023</v>
      </c>
      <c r="C11" s="22" t="s">
        <v>146</v>
      </c>
      <c r="D11" s="22"/>
      <c r="E11" s="22" t="s">
        <v>147</v>
      </c>
      <c r="F11" s="22"/>
      <c r="G11" s="22"/>
      <c r="H11" s="22"/>
      <c r="I11" s="22" t="s">
        <v>148</v>
      </c>
    </row>
    <row r="12" customFormat="false" ht="15.75" hidden="false" customHeight="true" outlineLevel="0" collapsed="false">
      <c r="A12" s="22" t="s">
        <v>130</v>
      </c>
      <c r="B12" s="22" t="n">
        <v>2023</v>
      </c>
      <c r="C12" s="22" t="s">
        <v>149</v>
      </c>
      <c r="D12" s="23" t="n">
        <v>2177000000</v>
      </c>
      <c r="E12" s="22" t="s">
        <v>150</v>
      </c>
      <c r="F12" s="22" t="s">
        <v>142</v>
      </c>
      <c r="G12" s="22" t="s">
        <v>143</v>
      </c>
      <c r="H12" s="22" t="s">
        <v>135</v>
      </c>
      <c r="I12" s="22" t="s">
        <v>151</v>
      </c>
    </row>
    <row r="13" customFormat="false" ht="15.75" hidden="false" customHeight="true" outlineLevel="0" collapsed="false">
      <c r="A13" s="22" t="s">
        <v>130</v>
      </c>
      <c r="B13" s="22" t="n">
        <v>2023</v>
      </c>
      <c r="C13" s="22" t="s">
        <v>152</v>
      </c>
      <c r="D13" s="23" t="n">
        <v>1073550000000</v>
      </c>
      <c r="E13" s="22" t="s">
        <v>153</v>
      </c>
      <c r="F13" s="22" t="s">
        <v>142</v>
      </c>
      <c r="G13" s="22" t="s">
        <v>143</v>
      </c>
      <c r="H13" s="22" t="s">
        <v>135</v>
      </c>
      <c r="I13" s="22" t="s">
        <v>154</v>
      </c>
    </row>
    <row r="14" customFormat="false" ht="15.75" hidden="false" customHeight="true" outlineLevel="0" collapsed="false">
      <c r="A14" s="22" t="s">
        <v>130</v>
      </c>
      <c r="B14" s="22" t="n">
        <v>2023</v>
      </c>
      <c r="C14" s="22" t="s">
        <v>155</v>
      </c>
      <c r="D14" s="23" t="n">
        <v>50088000000</v>
      </c>
      <c r="E14" s="22" t="s">
        <v>156</v>
      </c>
      <c r="F14" s="22" t="s">
        <v>142</v>
      </c>
      <c r="G14" s="22" t="s">
        <v>143</v>
      </c>
      <c r="H14" s="22" t="s">
        <v>135</v>
      </c>
      <c r="I14" s="22" t="s">
        <v>157</v>
      </c>
    </row>
    <row r="15" customFormat="false" ht="31.5" hidden="false" customHeight="true" outlineLevel="0" collapsed="false">
      <c r="A15" s="22" t="s">
        <v>138</v>
      </c>
      <c r="B15" s="22" t="n">
        <v>2023</v>
      </c>
      <c r="C15" s="22" t="s">
        <v>158</v>
      </c>
      <c r="D15" s="23" t="n">
        <v>0</v>
      </c>
      <c r="E15" s="22" t="s">
        <v>159</v>
      </c>
      <c r="F15" s="22" t="s">
        <v>142</v>
      </c>
      <c r="G15" s="22" t="s">
        <v>143</v>
      </c>
      <c r="H15" s="22" t="s">
        <v>135</v>
      </c>
      <c r="I15" s="22" t="s">
        <v>160</v>
      </c>
    </row>
    <row r="16" customFormat="false" ht="15.75" hidden="false" customHeight="true" outlineLevel="0" collapsed="false">
      <c r="A16" s="22" t="s">
        <v>138</v>
      </c>
      <c r="B16" s="22" t="n">
        <v>2023</v>
      </c>
      <c r="C16" s="22" t="s">
        <v>158</v>
      </c>
      <c r="D16" s="23" t="n">
        <v>0</v>
      </c>
      <c r="E16" s="22" t="s">
        <v>161</v>
      </c>
      <c r="F16" s="22" t="s">
        <v>142</v>
      </c>
      <c r="G16" s="22" t="s">
        <v>143</v>
      </c>
      <c r="H16" s="22" t="s">
        <v>135</v>
      </c>
      <c r="I16" s="22" t="s">
        <v>162</v>
      </c>
    </row>
    <row r="17" customFormat="false" ht="15.75" hidden="false" customHeight="true" outlineLevel="0" collapsed="false">
      <c r="A17" s="22" t="s">
        <v>138</v>
      </c>
      <c r="B17" s="22" t="n">
        <v>2023</v>
      </c>
      <c r="C17" s="22" t="s">
        <v>158</v>
      </c>
      <c r="D17" s="23" t="n">
        <v>0</v>
      </c>
      <c r="E17" s="22" t="s">
        <v>163</v>
      </c>
      <c r="F17" s="22" t="s">
        <v>142</v>
      </c>
      <c r="G17" s="22" t="s">
        <v>143</v>
      </c>
      <c r="H17" s="22" t="s">
        <v>135</v>
      </c>
      <c r="I17" s="22" t="s">
        <v>144</v>
      </c>
    </row>
    <row r="18" customFormat="false" ht="15.75" hidden="false" customHeight="true" outlineLevel="0" collapsed="false">
      <c r="A18" s="22" t="s">
        <v>138</v>
      </c>
      <c r="B18" s="22" t="n">
        <v>2023</v>
      </c>
      <c r="C18" s="22" t="s">
        <v>158</v>
      </c>
      <c r="D18" s="23" t="n">
        <v>0</v>
      </c>
      <c r="E18" s="22" t="s">
        <v>164</v>
      </c>
      <c r="F18" s="22" t="s">
        <v>142</v>
      </c>
      <c r="G18" s="22" t="s">
        <v>143</v>
      </c>
      <c r="H18" s="22" t="s">
        <v>135</v>
      </c>
      <c r="I18" s="22" t="s">
        <v>151</v>
      </c>
    </row>
    <row r="19" customFormat="false" ht="15.75" hidden="false" customHeight="true" outlineLevel="0" collapsed="false">
      <c r="A19" s="22" t="s">
        <v>138</v>
      </c>
      <c r="B19" s="22" t="n">
        <v>2023</v>
      </c>
      <c r="C19" s="22" t="s">
        <v>158</v>
      </c>
      <c r="D19" s="23" t="n">
        <v>0</v>
      </c>
      <c r="E19" s="22" t="s">
        <v>165</v>
      </c>
      <c r="F19" s="22" t="s">
        <v>142</v>
      </c>
      <c r="G19" s="22" t="s">
        <v>143</v>
      </c>
      <c r="H19" s="22" t="s">
        <v>135</v>
      </c>
      <c r="I19" s="22" t="s">
        <v>154</v>
      </c>
    </row>
    <row r="20" customFormat="false" ht="15.75" hidden="false" customHeight="true" outlineLevel="0" collapsed="false">
      <c r="A20" s="22" t="s">
        <v>138</v>
      </c>
      <c r="B20" s="22" t="n">
        <v>2023</v>
      </c>
      <c r="C20" s="22" t="s">
        <v>158</v>
      </c>
      <c r="D20" s="23" t="n">
        <v>0</v>
      </c>
      <c r="E20" s="22" t="s">
        <v>166</v>
      </c>
      <c r="F20" s="22" t="s">
        <v>142</v>
      </c>
      <c r="G20" s="22" t="s">
        <v>143</v>
      </c>
      <c r="H20" s="22" t="s">
        <v>135</v>
      </c>
      <c r="I20" s="22" t="s">
        <v>157</v>
      </c>
    </row>
    <row r="21" customFormat="false" ht="15.75" hidden="false" customHeight="true" outlineLevel="0" collapsed="false">
      <c r="A21" s="22" t="s">
        <v>138</v>
      </c>
      <c r="B21" s="22" t="n">
        <v>2023</v>
      </c>
      <c r="C21" s="22" t="s">
        <v>158</v>
      </c>
      <c r="D21" s="23" t="n">
        <v>0</v>
      </c>
      <c r="E21" s="22" t="s">
        <v>167</v>
      </c>
      <c r="F21" s="22" t="s">
        <v>142</v>
      </c>
      <c r="G21" s="22" t="s">
        <v>143</v>
      </c>
      <c r="H21" s="22" t="s">
        <v>135</v>
      </c>
      <c r="I21" s="22" t="s">
        <v>162</v>
      </c>
    </row>
    <row r="22" customFormat="false" ht="15.75" hidden="false" customHeight="true" outlineLevel="0" collapsed="false">
      <c r="A22" s="22" t="s">
        <v>130</v>
      </c>
      <c r="B22" s="22" t="n">
        <v>2023</v>
      </c>
      <c r="C22" s="22" t="s">
        <v>168</v>
      </c>
      <c r="D22" s="23" t="n">
        <v>427000000</v>
      </c>
      <c r="E22" s="22" t="s">
        <v>169</v>
      </c>
      <c r="F22" s="22" t="s">
        <v>133</v>
      </c>
      <c r="G22" s="22" t="s">
        <v>134</v>
      </c>
      <c r="H22" s="22" t="s">
        <v>135</v>
      </c>
      <c r="I22" s="22" t="s">
        <v>170</v>
      </c>
    </row>
    <row r="23" customFormat="false" ht="15.75" hidden="false" customHeight="true" outlineLevel="0" collapsed="false">
      <c r="A23" s="22" t="s">
        <v>145</v>
      </c>
      <c r="B23" s="22" t="n">
        <v>2023</v>
      </c>
      <c r="C23" s="22" t="s">
        <v>171</v>
      </c>
      <c r="D23" s="22"/>
      <c r="E23" s="22" t="s">
        <v>172</v>
      </c>
      <c r="F23" s="22"/>
      <c r="G23" s="22"/>
      <c r="H23" s="22"/>
      <c r="I23" s="22" t="s">
        <v>148</v>
      </c>
    </row>
    <row r="24" customFormat="false" ht="31.5" hidden="false" customHeight="true" outlineLevel="0" collapsed="false">
      <c r="A24" s="22" t="s">
        <v>138</v>
      </c>
      <c r="B24" s="22" t="n">
        <v>2023</v>
      </c>
      <c r="C24" s="22" t="s">
        <v>173</v>
      </c>
      <c r="D24" s="23" t="n">
        <v>346000000</v>
      </c>
      <c r="E24" s="22" t="s">
        <v>174</v>
      </c>
      <c r="F24" s="22" t="s">
        <v>133</v>
      </c>
      <c r="G24" s="22" t="s">
        <v>134</v>
      </c>
      <c r="H24" s="22" t="s">
        <v>135</v>
      </c>
      <c r="I24" s="22" t="s">
        <v>175</v>
      </c>
    </row>
    <row r="25" customFormat="false" ht="15.75" hidden="false" customHeight="true" outlineLevel="0" collapsed="false">
      <c r="A25" s="22" t="s">
        <v>138</v>
      </c>
      <c r="B25" s="22" t="n">
        <v>2023</v>
      </c>
      <c r="C25" s="22" t="s">
        <v>173</v>
      </c>
      <c r="D25" s="23" t="n">
        <v>346000000</v>
      </c>
      <c r="E25" s="22" t="s">
        <v>176</v>
      </c>
      <c r="F25" s="22" t="s">
        <v>133</v>
      </c>
      <c r="G25" s="22" t="s">
        <v>134</v>
      </c>
      <c r="H25" s="22" t="s">
        <v>135</v>
      </c>
      <c r="I25" s="22" t="s">
        <v>177</v>
      </c>
    </row>
    <row r="26" customFormat="false" ht="15.75" hidden="false" customHeight="true" outlineLevel="0" collapsed="false">
      <c r="A26" s="22" t="s">
        <v>138</v>
      </c>
      <c r="B26" s="22" t="n">
        <v>2023</v>
      </c>
      <c r="C26" s="22" t="s">
        <v>173</v>
      </c>
      <c r="D26" s="23" t="n">
        <v>346000000</v>
      </c>
      <c r="E26" s="22" t="s">
        <v>178</v>
      </c>
      <c r="F26" s="22" t="s">
        <v>133</v>
      </c>
      <c r="G26" s="22" t="s">
        <v>134</v>
      </c>
      <c r="H26" s="22" t="s">
        <v>135</v>
      </c>
      <c r="I26" s="22" t="s">
        <v>179</v>
      </c>
    </row>
    <row r="27" customFormat="false" ht="15.75" hidden="false" customHeight="true" outlineLevel="0" collapsed="false">
      <c r="A27" s="22" t="s">
        <v>138</v>
      </c>
      <c r="B27" s="22" t="n">
        <v>2023</v>
      </c>
      <c r="C27" s="22" t="s">
        <v>173</v>
      </c>
      <c r="D27" s="23" t="n">
        <v>346000000</v>
      </c>
      <c r="E27" s="22" t="s">
        <v>180</v>
      </c>
      <c r="F27" s="22" t="s">
        <v>133</v>
      </c>
      <c r="G27" s="22" t="s">
        <v>134</v>
      </c>
      <c r="H27" s="22" t="s">
        <v>135</v>
      </c>
      <c r="I27" s="22" t="s">
        <v>181</v>
      </c>
    </row>
    <row r="28" customFormat="false" ht="15.75" hidden="false" customHeight="true" outlineLevel="0" collapsed="false">
      <c r="A28" s="22" t="s">
        <v>138</v>
      </c>
      <c r="B28" s="22" t="n">
        <v>2023</v>
      </c>
      <c r="C28" s="22" t="s">
        <v>173</v>
      </c>
      <c r="D28" s="23" t="n">
        <v>346000000</v>
      </c>
      <c r="E28" s="22" t="s">
        <v>182</v>
      </c>
      <c r="F28" s="22" t="s">
        <v>133</v>
      </c>
      <c r="G28" s="22" t="s">
        <v>134</v>
      </c>
      <c r="H28" s="22" t="s">
        <v>135</v>
      </c>
      <c r="I28" s="22" t="s">
        <v>183</v>
      </c>
    </row>
    <row r="29" customFormat="false" ht="31.5" hidden="false" customHeight="true" outlineLevel="0" collapsed="false">
      <c r="A29" s="22" t="s">
        <v>138</v>
      </c>
      <c r="B29" s="22" t="n">
        <v>2023</v>
      </c>
      <c r="C29" s="22" t="s">
        <v>173</v>
      </c>
      <c r="D29" s="23" t="n">
        <v>346000000</v>
      </c>
      <c r="E29" s="22" t="s">
        <v>184</v>
      </c>
      <c r="F29" s="22" t="s">
        <v>133</v>
      </c>
      <c r="G29" s="22" t="s">
        <v>134</v>
      </c>
      <c r="H29" s="22" t="s">
        <v>135</v>
      </c>
      <c r="I29" s="22" t="s">
        <v>185</v>
      </c>
    </row>
    <row r="30" customFormat="false" ht="15.75" hidden="false" customHeight="true" outlineLevel="0" collapsed="false">
      <c r="A30" s="22" t="s">
        <v>138</v>
      </c>
      <c r="B30" s="22" t="n">
        <v>2023</v>
      </c>
      <c r="C30" s="22" t="s">
        <v>173</v>
      </c>
      <c r="D30" s="23" t="n">
        <v>346000000</v>
      </c>
      <c r="E30" s="22" t="s">
        <v>186</v>
      </c>
      <c r="F30" s="22" t="s">
        <v>133</v>
      </c>
      <c r="G30" s="22" t="s">
        <v>134</v>
      </c>
      <c r="H30" s="22" t="s">
        <v>135</v>
      </c>
      <c r="I30" s="22" t="s">
        <v>187</v>
      </c>
    </row>
    <row r="31" customFormat="false" ht="15.75" hidden="false" customHeight="true" outlineLevel="0" collapsed="false">
      <c r="A31" s="22" t="s">
        <v>130</v>
      </c>
      <c r="B31" s="22" t="n">
        <v>2023</v>
      </c>
      <c r="C31" s="22" t="s">
        <v>188</v>
      </c>
      <c r="D31" s="23" t="n">
        <v>13724000000</v>
      </c>
      <c r="E31" s="22" t="s">
        <v>189</v>
      </c>
      <c r="F31" s="22" t="s">
        <v>133</v>
      </c>
      <c r="G31" s="22" t="s">
        <v>134</v>
      </c>
      <c r="H31" s="22" t="s">
        <v>135</v>
      </c>
      <c r="I31" s="22" t="s">
        <v>190</v>
      </c>
    </row>
    <row r="32" customFormat="false" ht="15.75" hidden="false" customHeight="true" outlineLevel="0" collapsed="false">
      <c r="A32" s="22" t="s">
        <v>138</v>
      </c>
      <c r="B32" s="22" t="n">
        <v>2023</v>
      </c>
      <c r="C32" s="22" t="s">
        <v>191</v>
      </c>
      <c r="D32" s="22" t="n">
        <v>0.00147542287787016</v>
      </c>
      <c r="E32" s="22" t="s">
        <v>189</v>
      </c>
      <c r="F32" s="22" t="s">
        <v>133</v>
      </c>
      <c r="G32" s="22" t="s">
        <v>134</v>
      </c>
      <c r="H32" s="22" t="s">
        <v>135</v>
      </c>
      <c r="I32" s="22" t="s">
        <v>190</v>
      </c>
    </row>
    <row r="33" customFormat="false" ht="15.75" hidden="false" customHeight="true" outlineLevel="0" collapsed="false">
      <c r="A33" s="22" t="s">
        <v>138</v>
      </c>
      <c r="B33" s="22" t="n">
        <v>2023</v>
      </c>
      <c r="C33" s="22" t="s">
        <v>191</v>
      </c>
      <c r="D33" s="22" t="n">
        <v>0.00147542287787016</v>
      </c>
      <c r="E33" s="22" t="s">
        <v>132</v>
      </c>
      <c r="F33" s="22" t="s">
        <v>133</v>
      </c>
      <c r="G33" s="22" t="s">
        <v>134</v>
      </c>
      <c r="H33" s="22" t="s">
        <v>135</v>
      </c>
      <c r="I33" s="22" t="s">
        <v>136</v>
      </c>
    </row>
    <row r="34" customFormat="false" ht="15.75" hidden="false" customHeight="true" outlineLevel="0" collapsed="false">
      <c r="A34" s="22" t="s">
        <v>138</v>
      </c>
      <c r="B34" s="22" t="n">
        <v>2023</v>
      </c>
      <c r="C34" s="22" t="s">
        <v>191</v>
      </c>
      <c r="D34" s="22" t="n">
        <v>0.00147542287787016</v>
      </c>
      <c r="E34" s="22" t="s">
        <v>132</v>
      </c>
      <c r="F34" s="22" t="s">
        <v>133</v>
      </c>
      <c r="G34" s="22" t="s">
        <v>134</v>
      </c>
      <c r="H34" s="22" t="s">
        <v>135</v>
      </c>
      <c r="I34" s="22" t="s">
        <v>136</v>
      </c>
    </row>
    <row r="35" customFormat="false" ht="15.75" hidden="false" customHeight="true" outlineLevel="0" collapsed="false">
      <c r="A35" s="22" t="s">
        <v>145</v>
      </c>
      <c r="B35" s="22" t="n">
        <v>2023</v>
      </c>
      <c r="C35" s="22" t="s">
        <v>192</v>
      </c>
      <c r="D35" s="22"/>
      <c r="E35" s="22" t="s">
        <v>193</v>
      </c>
      <c r="F35" s="22"/>
      <c r="G35" s="22"/>
      <c r="H35" s="22"/>
      <c r="I35" s="22" t="s">
        <v>148</v>
      </c>
    </row>
    <row r="36" customFormat="false" ht="15.75" hidden="false" customHeight="true" outlineLevel="0" collapsed="false">
      <c r="A36" s="22" t="s">
        <v>130</v>
      </c>
      <c r="B36" s="22" t="n">
        <v>2023</v>
      </c>
      <c r="C36" s="22" t="s">
        <v>194</v>
      </c>
      <c r="D36" s="23" t="n">
        <v>554000000</v>
      </c>
      <c r="E36" s="22" t="s">
        <v>195</v>
      </c>
      <c r="F36" s="22" t="s">
        <v>133</v>
      </c>
      <c r="G36" s="22" t="s">
        <v>134</v>
      </c>
      <c r="H36" s="22" t="s">
        <v>135</v>
      </c>
      <c r="I36" s="22" t="s">
        <v>190</v>
      </c>
    </row>
    <row r="37" customFormat="false" ht="15.75" hidden="false" customHeight="true" outlineLevel="0" collapsed="false">
      <c r="A37" s="22" t="s">
        <v>130</v>
      </c>
      <c r="B37" s="22" t="n">
        <v>2023</v>
      </c>
      <c r="C37" s="22" t="s">
        <v>196</v>
      </c>
      <c r="D37" s="23" t="n">
        <v>675000000</v>
      </c>
      <c r="E37" s="22" t="s">
        <v>197</v>
      </c>
      <c r="F37" s="22" t="s">
        <v>133</v>
      </c>
      <c r="G37" s="22" t="s">
        <v>134</v>
      </c>
      <c r="H37" s="22" t="s">
        <v>135</v>
      </c>
      <c r="I37" s="22" t="s">
        <v>190</v>
      </c>
    </row>
    <row r="38" customFormat="false" ht="15.75" hidden="false" customHeight="true" outlineLevel="0" collapsed="false">
      <c r="A38" s="22" t="s">
        <v>130</v>
      </c>
      <c r="B38" s="22" t="n">
        <v>2023</v>
      </c>
      <c r="C38" s="22" t="s">
        <v>198</v>
      </c>
      <c r="D38" s="23" t="n">
        <v>1485000000</v>
      </c>
      <c r="E38" s="22" t="s">
        <v>199</v>
      </c>
      <c r="F38" s="22" t="s">
        <v>133</v>
      </c>
      <c r="G38" s="22" t="s">
        <v>134</v>
      </c>
      <c r="H38" s="22" t="s">
        <v>135</v>
      </c>
      <c r="I38" s="22" t="s">
        <v>190</v>
      </c>
    </row>
    <row r="39" customFormat="false" ht="15.75" hidden="false" customHeight="true" outlineLevel="0" collapsed="false">
      <c r="A39" s="22" t="s">
        <v>130</v>
      </c>
      <c r="B39" s="22" t="n">
        <v>2023</v>
      </c>
      <c r="C39" s="22" t="s">
        <v>200</v>
      </c>
      <c r="D39" s="23" t="n">
        <v>1262000000</v>
      </c>
      <c r="E39" s="22" t="s">
        <v>201</v>
      </c>
      <c r="F39" s="22" t="s">
        <v>133</v>
      </c>
      <c r="G39" s="22" t="s">
        <v>134</v>
      </c>
      <c r="H39" s="22" t="s">
        <v>135</v>
      </c>
      <c r="I39" s="22" t="s">
        <v>190</v>
      </c>
    </row>
    <row r="40" customFormat="false" ht="15.75" hidden="false" customHeight="true" outlineLevel="0" collapsed="false">
      <c r="A40" s="22" t="s">
        <v>145</v>
      </c>
      <c r="B40" s="22" t="n">
        <v>2023</v>
      </c>
      <c r="C40" s="22" t="s">
        <v>202</v>
      </c>
      <c r="D40" s="22"/>
      <c r="E40" s="22" t="s">
        <v>203</v>
      </c>
      <c r="F40" s="22"/>
      <c r="G40" s="22"/>
      <c r="H40" s="22"/>
      <c r="I40" s="22" t="s">
        <v>148</v>
      </c>
    </row>
    <row r="41" customFormat="false" ht="15.75" hidden="false" customHeight="true" outlineLevel="0" collapsed="false">
      <c r="A41" s="22" t="s">
        <v>130</v>
      </c>
      <c r="B41" s="22" t="n">
        <v>2023</v>
      </c>
      <c r="C41" s="22" t="s">
        <v>204</v>
      </c>
      <c r="D41" s="23" t="n">
        <v>159000000</v>
      </c>
      <c r="E41" s="22" t="s">
        <v>205</v>
      </c>
      <c r="F41" s="22" t="s">
        <v>133</v>
      </c>
      <c r="G41" s="22" t="s">
        <v>134</v>
      </c>
      <c r="H41" s="22" t="s">
        <v>135</v>
      </c>
      <c r="I41" s="22" t="s">
        <v>190</v>
      </c>
    </row>
    <row r="42" customFormat="false" ht="15.75" hidden="false" customHeight="true" outlineLevel="0" collapsed="false">
      <c r="A42" s="22" t="s">
        <v>138</v>
      </c>
      <c r="B42" s="22" t="n">
        <v>2023</v>
      </c>
      <c r="C42" s="22" t="s">
        <v>206</v>
      </c>
      <c r="D42" s="23" t="n">
        <v>0</v>
      </c>
      <c r="E42" s="22" t="s">
        <v>207</v>
      </c>
      <c r="F42" s="22" t="s">
        <v>133</v>
      </c>
      <c r="G42" s="22" t="s">
        <v>134</v>
      </c>
      <c r="H42" s="22" t="s">
        <v>208</v>
      </c>
      <c r="I42" s="22" t="s">
        <v>209</v>
      </c>
    </row>
    <row r="43" customFormat="false" ht="15.75" hidden="false" customHeight="true" outlineLevel="0" collapsed="false">
      <c r="A43" s="22" t="s">
        <v>138</v>
      </c>
      <c r="B43" s="22" t="n">
        <v>2023</v>
      </c>
      <c r="C43" s="22" t="s">
        <v>206</v>
      </c>
      <c r="D43" s="23" t="n">
        <v>0</v>
      </c>
      <c r="E43" s="22" t="s">
        <v>189</v>
      </c>
      <c r="F43" s="22" t="s">
        <v>133</v>
      </c>
      <c r="G43" s="22" t="s">
        <v>134</v>
      </c>
      <c r="H43" s="22" t="s">
        <v>135</v>
      </c>
      <c r="I43" s="22" t="s">
        <v>190</v>
      </c>
    </row>
    <row r="44" customFormat="false" ht="15.75" hidden="false" customHeight="true" outlineLevel="0" collapsed="false">
      <c r="A44" s="22" t="s">
        <v>138</v>
      </c>
      <c r="B44" s="22" t="n">
        <v>2023</v>
      </c>
      <c r="C44" s="22" t="s">
        <v>206</v>
      </c>
      <c r="D44" s="23" t="n">
        <v>0</v>
      </c>
      <c r="E44" s="22" t="s">
        <v>195</v>
      </c>
      <c r="F44" s="22" t="s">
        <v>133</v>
      </c>
      <c r="G44" s="22" t="s">
        <v>134</v>
      </c>
      <c r="H44" s="22" t="s">
        <v>135</v>
      </c>
      <c r="I44" s="22" t="s">
        <v>190</v>
      </c>
    </row>
    <row r="45" customFormat="false" ht="15.75" hidden="false" customHeight="true" outlineLevel="0" collapsed="false">
      <c r="A45" s="22" t="s">
        <v>138</v>
      </c>
      <c r="B45" s="22" t="n">
        <v>2023</v>
      </c>
      <c r="C45" s="22" t="s">
        <v>206</v>
      </c>
      <c r="D45" s="23" t="n">
        <v>0</v>
      </c>
      <c r="E45" s="22" t="s">
        <v>197</v>
      </c>
      <c r="F45" s="22" t="s">
        <v>133</v>
      </c>
      <c r="G45" s="22" t="s">
        <v>134</v>
      </c>
      <c r="H45" s="22" t="s">
        <v>135</v>
      </c>
      <c r="I45" s="22" t="s">
        <v>190</v>
      </c>
    </row>
    <row r="46" customFormat="false" ht="15.75" hidden="false" customHeight="true" outlineLevel="0" collapsed="false">
      <c r="A46" s="22" t="s">
        <v>138</v>
      </c>
      <c r="B46" s="22" t="n">
        <v>2023</v>
      </c>
      <c r="C46" s="22" t="s">
        <v>206</v>
      </c>
      <c r="D46" s="23" t="n">
        <v>0</v>
      </c>
      <c r="E46" s="22" t="s">
        <v>199</v>
      </c>
      <c r="F46" s="22" t="s">
        <v>133</v>
      </c>
      <c r="G46" s="22" t="s">
        <v>134</v>
      </c>
      <c r="H46" s="22" t="s">
        <v>135</v>
      </c>
      <c r="I46" s="22" t="s">
        <v>190</v>
      </c>
    </row>
    <row r="47" customFormat="false" ht="15.75" hidden="false" customHeight="true" outlineLevel="0" collapsed="false">
      <c r="A47" s="22" t="s">
        <v>138</v>
      </c>
      <c r="B47" s="22" t="n">
        <v>2023</v>
      </c>
      <c r="C47" s="22" t="s">
        <v>206</v>
      </c>
      <c r="D47" s="23" t="n">
        <v>0</v>
      </c>
      <c r="E47" s="22" t="s">
        <v>201</v>
      </c>
      <c r="F47" s="22" t="s">
        <v>133</v>
      </c>
      <c r="G47" s="22" t="s">
        <v>134</v>
      </c>
      <c r="H47" s="22" t="s">
        <v>135</v>
      </c>
      <c r="I47" s="22" t="s">
        <v>190</v>
      </c>
    </row>
    <row r="48" customFormat="false" ht="15.75" hidden="false" customHeight="true" outlineLevel="0" collapsed="false">
      <c r="A48" s="22" t="s">
        <v>138</v>
      </c>
      <c r="B48" s="22" t="n">
        <v>2023</v>
      </c>
      <c r="C48" s="22" t="s">
        <v>206</v>
      </c>
      <c r="D48" s="23" t="n">
        <v>0</v>
      </c>
      <c r="E48" s="22" t="s">
        <v>205</v>
      </c>
      <c r="F48" s="22" t="s">
        <v>133</v>
      </c>
      <c r="G48" s="22" t="s">
        <v>134</v>
      </c>
      <c r="H48" s="22" t="s">
        <v>135</v>
      </c>
      <c r="I48" s="22" t="s">
        <v>190</v>
      </c>
    </row>
    <row r="49" customFormat="false" ht="15.75" hidden="false" customHeight="true" outlineLevel="0" collapsed="false">
      <c r="A49" s="22" t="s">
        <v>130</v>
      </c>
      <c r="B49" s="22" t="n">
        <v>2023</v>
      </c>
      <c r="C49" s="22" t="s">
        <v>210</v>
      </c>
      <c r="D49" s="23" t="n">
        <v>17859000000</v>
      </c>
      <c r="E49" s="22" t="s">
        <v>207</v>
      </c>
      <c r="F49" s="22" t="s">
        <v>133</v>
      </c>
      <c r="G49" s="22" t="s">
        <v>134</v>
      </c>
      <c r="H49" s="22" t="s">
        <v>208</v>
      </c>
      <c r="I49" s="22" t="s">
        <v>209</v>
      </c>
    </row>
    <row r="50" customFormat="false" ht="15.75" hidden="false" customHeight="true" outlineLevel="0" collapsed="false">
      <c r="A50" s="22" t="s">
        <v>130</v>
      </c>
      <c r="B50" s="22" t="n">
        <v>2023</v>
      </c>
      <c r="C50" s="22" t="s">
        <v>77</v>
      </c>
      <c r="D50" s="23" t="n">
        <v>6275000000</v>
      </c>
      <c r="E50" s="22" t="s">
        <v>211</v>
      </c>
      <c r="F50" s="22" t="s">
        <v>133</v>
      </c>
      <c r="G50" s="22" t="s">
        <v>134</v>
      </c>
      <c r="H50" s="22" t="s">
        <v>208</v>
      </c>
      <c r="I50" s="22" t="s">
        <v>209</v>
      </c>
    </row>
    <row r="51" customFormat="false" ht="15.75" hidden="false" customHeight="true" outlineLevel="0" collapsed="false">
      <c r="A51" s="22" t="s">
        <v>130</v>
      </c>
      <c r="B51" s="22" t="n">
        <v>2023</v>
      </c>
      <c r="C51" s="22" t="s">
        <v>212</v>
      </c>
      <c r="D51" s="23" t="n">
        <v>292000000</v>
      </c>
      <c r="E51" s="22" t="s">
        <v>213</v>
      </c>
      <c r="F51" s="22" t="s">
        <v>133</v>
      </c>
      <c r="G51" s="22" t="s">
        <v>134</v>
      </c>
      <c r="H51" s="22" t="s">
        <v>208</v>
      </c>
      <c r="I51" s="22" t="s">
        <v>209</v>
      </c>
    </row>
    <row r="52" customFormat="false" ht="15.75" hidden="false" customHeight="true" outlineLevel="0" collapsed="false">
      <c r="A52" s="22" t="s">
        <v>138</v>
      </c>
      <c r="B52" s="22" t="n">
        <v>2023</v>
      </c>
      <c r="C52" s="22" t="s">
        <v>214</v>
      </c>
      <c r="D52" s="23" t="n">
        <v>0.206708595387841</v>
      </c>
      <c r="E52" s="22" t="s">
        <v>215</v>
      </c>
      <c r="F52" s="22" t="s">
        <v>133</v>
      </c>
      <c r="G52" s="22" t="s">
        <v>134</v>
      </c>
      <c r="H52" s="22" t="s">
        <v>208</v>
      </c>
      <c r="I52" s="22" t="s">
        <v>209</v>
      </c>
    </row>
    <row r="53" customFormat="false" ht="15.75" hidden="false" customHeight="true" outlineLevel="0" collapsed="false">
      <c r="A53" s="22" t="s">
        <v>138</v>
      </c>
      <c r="B53" s="22" t="n">
        <v>2023</v>
      </c>
      <c r="C53" s="22" t="s">
        <v>214</v>
      </c>
      <c r="D53" s="23" t="n">
        <v>0.206708595387841</v>
      </c>
      <c r="E53" s="22" t="s">
        <v>216</v>
      </c>
      <c r="F53" s="22" t="s">
        <v>133</v>
      </c>
      <c r="G53" s="22" t="s">
        <v>134</v>
      </c>
      <c r="H53" s="22" t="s">
        <v>208</v>
      </c>
      <c r="I53" s="22" t="s">
        <v>209</v>
      </c>
    </row>
    <row r="54" customFormat="false" ht="15.75" hidden="false" customHeight="true" outlineLevel="0" collapsed="false">
      <c r="A54" s="22" t="s">
        <v>130</v>
      </c>
      <c r="B54" s="22" t="n">
        <v>2023</v>
      </c>
      <c r="C54" s="22" t="s">
        <v>217</v>
      </c>
      <c r="D54" s="23" t="n">
        <v>344000000</v>
      </c>
      <c r="E54" s="22" t="s">
        <v>218</v>
      </c>
      <c r="F54" s="22" t="s">
        <v>133</v>
      </c>
      <c r="G54" s="22" t="s">
        <v>134</v>
      </c>
      <c r="H54" s="22" t="s">
        <v>208</v>
      </c>
      <c r="I54" s="22" t="s">
        <v>219</v>
      </c>
    </row>
    <row r="55" customFormat="false" ht="15.75" hidden="false" customHeight="true" outlineLevel="0" collapsed="false">
      <c r="A55" s="22" t="s">
        <v>130</v>
      </c>
      <c r="B55" s="22" t="n">
        <v>2023</v>
      </c>
      <c r="C55" s="22" t="s">
        <v>220</v>
      </c>
      <c r="D55" s="23" t="n">
        <v>8736000000</v>
      </c>
      <c r="E55" s="22" t="s">
        <v>221</v>
      </c>
      <c r="F55" s="22" t="s">
        <v>142</v>
      </c>
      <c r="G55" s="22" t="s">
        <v>143</v>
      </c>
      <c r="H55" s="22" t="s">
        <v>208</v>
      </c>
      <c r="I55" s="22" t="s">
        <v>222</v>
      </c>
    </row>
    <row r="56" customFormat="false" ht="15.75" hidden="false" customHeight="true" outlineLevel="0" collapsed="false">
      <c r="A56" s="22" t="s">
        <v>145</v>
      </c>
      <c r="B56" s="22" t="n">
        <v>2023</v>
      </c>
      <c r="C56" s="22" t="s">
        <v>223</v>
      </c>
      <c r="D56" s="22"/>
      <c r="E56" s="22"/>
      <c r="F56" s="22"/>
      <c r="G56" s="22"/>
      <c r="H56" s="22"/>
      <c r="I56" s="22" t="s">
        <v>224</v>
      </c>
    </row>
    <row r="57" customFormat="false" ht="15.75" hidden="false" customHeight="true" outlineLevel="0" collapsed="false">
      <c r="A57" s="22" t="s">
        <v>145</v>
      </c>
      <c r="B57" s="22" t="n">
        <v>2023</v>
      </c>
      <c r="C57" s="22" t="s">
        <v>225</v>
      </c>
      <c r="D57" s="22"/>
      <c r="E57" s="22" t="s">
        <v>226</v>
      </c>
      <c r="F57" s="22" t="s">
        <v>142</v>
      </c>
      <c r="G57" s="22" t="s">
        <v>143</v>
      </c>
      <c r="H57" s="22" t="s">
        <v>208</v>
      </c>
      <c r="I57" s="22" t="s">
        <v>222</v>
      </c>
    </row>
    <row r="58" customFormat="false" ht="31.5" hidden="false" customHeight="true" outlineLevel="0" collapsed="false">
      <c r="A58" s="22" t="s">
        <v>138</v>
      </c>
      <c r="B58" s="22" t="n">
        <v>2023</v>
      </c>
      <c r="C58" s="22" t="s">
        <v>227</v>
      </c>
      <c r="D58" s="23" t="n">
        <v>346000000</v>
      </c>
      <c r="E58" s="22" t="s">
        <v>174</v>
      </c>
      <c r="F58" s="22" t="s">
        <v>133</v>
      </c>
      <c r="G58" s="22" t="s">
        <v>134</v>
      </c>
      <c r="H58" s="22" t="s">
        <v>135</v>
      </c>
      <c r="I58" s="22" t="s">
        <v>175</v>
      </c>
    </row>
    <row r="59" customFormat="false" ht="15.75" hidden="false" customHeight="true" outlineLevel="0" collapsed="false">
      <c r="A59" s="22" t="s">
        <v>138</v>
      </c>
      <c r="B59" s="22" t="n">
        <v>2023</v>
      </c>
      <c r="C59" s="22" t="s">
        <v>227</v>
      </c>
      <c r="D59" s="23" t="n">
        <v>346000000</v>
      </c>
      <c r="E59" s="22" t="s">
        <v>176</v>
      </c>
      <c r="F59" s="22" t="s">
        <v>133</v>
      </c>
      <c r="G59" s="22" t="s">
        <v>134</v>
      </c>
      <c r="H59" s="22" t="s">
        <v>135</v>
      </c>
      <c r="I59" s="22" t="s">
        <v>177</v>
      </c>
    </row>
    <row r="60" customFormat="false" ht="15.75" hidden="false" customHeight="true" outlineLevel="0" collapsed="false">
      <c r="A60" s="22" t="s">
        <v>138</v>
      </c>
      <c r="B60" s="22" t="n">
        <v>2023</v>
      </c>
      <c r="C60" s="22" t="s">
        <v>227</v>
      </c>
      <c r="D60" s="23" t="n">
        <v>346000000</v>
      </c>
      <c r="E60" s="22" t="s">
        <v>178</v>
      </c>
      <c r="F60" s="22" t="s">
        <v>133</v>
      </c>
      <c r="G60" s="22" t="s">
        <v>134</v>
      </c>
      <c r="H60" s="22" t="s">
        <v>135</v>
      </c>
      <c r="I60" s="22" t="s">
        <v>179</v>
      </c>
    </row>
    <row r="61" customFormat="false" ht="15.75" hidden="false" customHeight="true" outlineLevel="0" collapsed="false">
      <c r="A61" s="22" t="s">
        <v>138</v>
      </c>
      <c r="B61" s="22" t="n">
        <v>2023</v>
      </c>
      <c r="C61" s="22" t="s">
        <v>227</v>
      </c>
      <c r="D61" s="23" t="n">
        <v>346000000</v>
      </c>
      <c r="E61" s="22" t="s">
        <v>180</v>
      </c>
      <c r="F61" s="22" t="s">
        <v>133</v>
      </c>
      <c r="G61" s="22" t="s">
        <v>134</v>
      </c>
      <c r="H61" s="22" t="s">
        <v>135</v>
      </c>
      <c r="I61" s="22" t="s">
        <v>181</v>
      </c>
    </row>
    <row r="62" customFormat="false" ht="15.75" hidden="false" customHeight="true" outlineLevel="0" collapsed="false">
      <c r="A62" s="22" t="s">
        <v>138</v>
      </c>
      <c r="B62" s="22" t="n">
        <v>2023</v>
      </c>
      <c r="C62" s="22" t="s">
        <v>227</v>
      </c>
      <c r="D62" s="23" t="n">
        <v>346000000</v>
      </c>
      <c r="E62" s="22" t="s">
        <v>182</v>
      </c>
      <c r="F62" s="22" t="s">
        <v>133</v>
      </c>
      <c r="G62" s="22" t="s">
        <v>134</v>
      </c>
      <c r="H62" s="22" t="s">
        <v>135</v>
      </c>
      <c r="I62" s="22" t="s">
        <v>183</v>
      </c>
    </row>
    <row r="63" customFormat="false" ht="31.5" hidden="false" customHeight="true" outlineLevel="0" collapsed="false">
      <c r="A63" s="22" t="s">
        <v>138</v>
      </c>
      <c r="B63" s="22" t="n">
        <v>2023</v>
      </c>
      <c r="C63" s="22" t="s">
        <v>227</v>
      </c>
      <c r="D63" s="23" t="n">
        <v>346000000</v>
      </c>
      <c r="E63" s="22" t="s">
        <v>184</v>
      </c>
      <c r="F63" s="22" t="s">
        <v>133</v>
      </c>
      <c r="G63" s="22" t="s">
        <v>134</v>
      </c>
      <c r="H63" s="22" t="s">
        <v>135</v>
      </c>
      <c r="I63" s="22" t="s">
        <v>185</v>
      </c>
    </row>
    <row r="64" customFormat="false" ht="15.75" hidden="false" customHeight="true" outlineLevel="0" collapsed="false">
      <c r="A64" s="22" t="s">
        <v>138</v>
      </c>
      <c r="B64" s="22" t="n">
        <v>2023</v>
      </c>
      <c r="C64" s="22" t="s">
        <v>227</v>
      </c>
      <c r="D64" s="23" t="n">
        <v>346000000</v>
      </c>
      <c r="E64" s="22" t="s">
        <v>186</v>
      </c>
      <c r="F64" s="22" t="s">
        <v>133</v>
      </c>
      <c r="G64" s="22" t="s">
        <v>134</v>
      </c>
      <c r="H64" s="22" t="s">
        <v>135</v>
      </c>
      <c r="I64" s="22" t="s">
        <v>187</v>
      </c>
    </row>
    <row r="65" customFormat="false" ht="15.75" hidden="false" customHeight="true" outlineLevel="0" collapsed="false">
      <c r="A65" s="22" t="s">
        <v>130</v>
      </c>
      <c r="B65" s="22" t="n">
        <v>2023</v>
      </c>
      <c r="C65" s="22" t="s">
        <v>228</v>
      </c>
      <c r="D65" s="23" t="n">
        <v>427000000</v>
      </c>
      <c r="E65" s="22" t="s">
        <v>169</v>
      </c>
      <c r="F65" s="22" t="s">
        <v>133</v>
      </c>
      <c r="G65" s="22" t="s">
        <v>134</v>
      </c>
      <c r="H65" s="22" t="s">
        <v>135</v>
      </c>
      <c r="I65" s="22" t="s">
        <v>170</v>
      </c>
    </row>
    <row r="66" customFormat="false" ht="15.75" hidden="false" customHeight="true" outlineLevel="0" collapsed="false">
      <c r="A66" s="22" t="s">
        <v>145</v>
      </c>
      <c r="B66" s="22" t="n">
        <v>2023</v>
      </c>
      <c r="C66" s="22" t="s">
        <v>229</v>
      </c>
      <c r="D66" s="22"/>
      <c r="E66" s="22" t="s">
        <v>172</v>
      </c>
      <c r="F66" s="22"/>
      <c r="G66" s="22"/>
      <c r="H66" s="22"/>
      <c r="I66" s="22" t="s">
        <v>148</v>
      </c>
    </row>
    <row r="67" customFormat="false" ht="15.75" hidden="false" customHeight="true" outlineLevel="0" collapsed="false">
      <c r="A67" s="22" t="s">
        <v>130</v>
      </c>
      <c r="B67" s="22" t="n">
        <v>2023</v>
      </c>
      <c r="C67" s="22" t="s">
        <v>230</v>
      </c>
      <c r="D67" s="23" t="n">
        <v>153000000</v>
      </c>
      <c r="E67" s="22" t="s">
        <v>231</v>
      </c>
      <c r="F67" s="22" t="s">
        <v>142</v>
      </c>
      <c r="G67" s="22" t="s">
        <v>143</v>
      </c>
      <c r="H67" s="22" t="s">
        <v>208</v>
      </c>
      <c r="I67" s="22" t="s">
        <v>222</v>
      </c>
    </row>
    <row r="68" customFormat="false" ht="15.75" hidden="false" customHeight="true" outlineLevel="0" collapsed="false">
      <c r="A68" s="22" t="s">
        <v>145</v>
      </c>
      <c r="B68" s="22" t="n">
        <v>2023</v>
      </c>
      <c r="C68" s="22" t="s">
        <v>232</v>
      </c>
      <c r="D68" s="22"/>
      <c r="E68" s="22" t="s">
        <v>233</v>
      </c>
      <c r="F68" s="22"/>
      <c r="G68" s="22"/>
      <c r="H68" s="22"/>
      <c r="I68" s="22" t="s">
        <v>234</v>
      </c>
    </row>
    <row r="69" customFormat="false" ht="15.75" hidden="false" customHeight="true" outlineLevel="0" collapsed="false">
      <c r="A69" s="22" t="s">
        <v>130</v>
      </c>
      <c r="B69" s="22" t="n">
        <v>2023</v>
      </c>
      <c r="C69" s="22" t="s">
        <v>235</v>
      </c>
      <c r="D69" s="23" t="n">
        <v>150706451</v>
      </c>
      <c r="E69" s="22" t="s">
        <v>236</v>
      </c>
      <c r="F69" s="22" t="s">
        <v>133</v>
      </c>
      <c r="G69" s="22" t="s">
        <v>134</v>
      </c>
      <c r="H69" s="22" t="s">
        <v>237</v>
      </c>
      <c r="I69" s="22" t="s">
        <v>238</v>
      </c>
    </row>
    <row r="70" customFormat="false" ht="15.75" hidden="false" customHeight="true" outlineLevel="0" collapsed="false">
      <c r="A70" s="22" t="s">
        <v>130</v>
      </c>
      <c r="B70" s="22" t="n">
        <v>2024</v>
      </c>
      <c r="C70" s="22" t="s">
        <v>131</v>
      </c>
      <c r="D70" s="23" t="n">
        <v>11551251000000</v>
      </c>
      <c r="E70" s="22" t="s">
        <v>132</v>
      </c>
      <c r="F70" s="22" t="s">
        <v>133</v>
      </c>
      <c r="G70" s="22" t="s">
        <v>134</v>
      </c>
      <c r="H70" s="22" t="s">
        <v>135</v>
      </c>
      <c r="I70" s="22" t="s">
        <v>136</v>
      </c>
    </row>
    <row r="71" customFormat="false" ht="15.75" hidden="false" customHeight="true" outlineLevel="0" collapsed="false">
      <c r="A71" s="22" t="s">
        <v>130</v>
      </c>
      <c r="B71" s="22" t="n">
        <v>2024</v>
      </c>
      <c r="C71" s="22" t="s">
        <v>137</v>
      </c>
      <c r="D71" s="23" t="n">
        <v>10008995000000</v>
      </c>
      <c r="E71" s="22" t="s">
        <v>132</v>
      </c>
      <c r="F71" s="22" t="s">
        <v>133</v>
      </c>
      <c r="G71" s="22" t="s">
        <v>134</v>
      </c>
      <c r="H71" s="22" t="s">
        <v>135</v>
      </c>
      <c r="I71" s="22" t="s">
        <v>136</v>
      </c>
    </row>
    <row r="72" customFormat="false" ht="15.75" hidden="false" customHeight="true" outlineLevel="0" collapsed="false">
      <c r="A72" s="22" t="s">
        <v>138</v>
      </c>
      <c r="B72" s="22" t="n">
        <v>2024</v>
      </c>
      <c r="C72" s="22" t="s">
        <v>139</v>
      </c>
      <c r="D72" s="23" t="n">
        <v>10780123000000</v>
      </c>
      <c r="E72" s="22" t="s">
        <v>132</v>
      </c>
      <c r="F72" s="22" t="s">
        <v>133</v>
      </c>
      <c r="G72" s="22" t="s">
        <v>134</v>
      </c>
      <c r="H72" s="22" t="s">
        <v>135</v>
      </c>
      <c r="I72" s="22" t="s">
        <v>136</v>
      </c>
    </row>
    <row r="73" customFormat="false" ht="15.75" hidden="false" customHeight="true" outlineLevel="0" collapsed="false">
      <c r="A73" s="22" t="s">
        <v>138</v>
      </c>
      <c r="B73" s="22" t="n">
        <v>2024</v>
      </c>
      <c r="C73" s="22" t="s">
        <v>139</v>
      </c>
      <c r="D73" s="23" t="n">
        <v>10780123000000</v>
      </c>
      <c r="E73" s="22" t="s">
        <v>132</v>
      </c>
      <c r="F73" s="22" t="s">
        <v>133</v>
      </c>
      <c r="G73" s="22" t="s">
        <v>134</v>
      </c>
      <c r="H73" s="22" t="s">
        <v>135</v>
      </c>
      <c r="I73" s="22" t="s">
        <v>136</v>
      </c>
    </row>
    <row r="74" customFormat="false" ht="15.75" hidden="false" customHeight="true" outlineLevel="0" collapsed="false">
      <c r="A74" s="22" t="s">
        <v>130</v>
      </c>
      <c r="B74" s="22" t="n">
        <v>2024</v>
      </c>
      <c r="C74" s="22" t="s">
        <v>140</v>
      </c>
      <c r="D74" s="23" t="n">
        <v>641351000000</v>
      </c>
      <c r="E74" s="22" t="s">
        <v>141</v>
      </c>
      <c r="F74" s="22" t="s">
        <v>133</v>
      </c>
      <c r="G74" s="22" t="s">
        <v>134</v>
      </c>
      <c r="H74" s="22" t="s">
        <v>135</v>
      </c>
      <c r="I74" s="22" t="s">
        <v>144</v>
      </c>
    </row>
    <row r="75" customFormat="false" ht="15.75" hidden="false" customHeight="true" outlineLevel="0" collapsed="false">
      <c r="A75" s="22" t="s">
        <v>145</v>
      </c>
      <c r="B75" s="22" t="n">
        <v>2024</v>
      </c>
      <c r="C75" s="22" t="s">
        <v>146</v>
      </c>
      <c r="D75" s="22"/>
      <c r="E75" s="22" t="s">
        <v>147</v>
      </c>
      <c r="F75" s="22"/>
      <c r="G75" s="22"/>
      <c r="H75" s="22"/>
      <c r="I75" s="22" t="s">
        <v>148</v>
      </c>
    </row>
    <row r="76" customFormat="false" ht="15.75" hidden="false" customHeight="true" outlineLevel="0" collapsed="false">
      <c r="A76" s="22" t="s">
        <v>130</v>
      </c>
      <c r="B76" s="22" t="n">
        <v>2024</v>
      </c>
      <c r="C76" s="22" t="s">
        <v>149</v>
      </c>
      <c r="D76" s="23" t="n">
        <v>73949000000</v>
      </c>
      <c r="E76" s="22" t="s">
        <v>150</v>
      </c>
      <c r="F76" s="22" t="s">
        <v>133</v>
      </c>
      <c r="G76" s="22" t="s">
        <v>134</v>
      </c>
      <c r="H76" s="22" t="s">
        <v>135</v>
      </c>
      <c r="I76" s="22" t="s">
        <v>151</v>
      </c>
    </row>
    <row r="77" customFormat="false" ht="15.75" hidden="false" customHeight="true" outlineLevel="0" collapsed="false">
      <c r="A77" s="22" t="s">
        <v>130</v>
      </c>
      <c r="B77" s="22" t="n">
        <v>2024</v>
      </c>
      <c r="C77" s="22" t="s">
        <v>152</v>
      </c>
      <c r="D77" s="23" t="n">
        <v>992964000000</v>
      </c>
      <c r="E77" s="22" t="s">
        <v>153</v>
      </c>
      <c r="F77" s="22" t="s">
        <v>133</v>
      </c>
      <c r="G77" s="22" t="s">
        <v>134</v>
      </c>
      <c r="H77" s="22" t="s">
        <v>135</v>
      </c>
      <c r="I77" s="22" t="s">
        <v>154</v>
      </c>
    </row>
    <row r="78" customFormat="false" ht="15.75" hidden="false" customHeight="true" outlineLevel="0" collapsed="false">
      <c r="A78" s="22" t="s">
        <v>130</v>
      </c>
      <c r="B78" s="22" t="n">
        <v>2024</v>
      </c>
      <c r="C78" s="22" t="s">
        <v>155</v>
      </c>
      <c r="D78" s="23" t="n">
        <v>-166008000000</v>
      </c>
      <c r="E78" s="22" t="s">
        <v>156</v>
      </c>
      <c r="F78" s="22" t="s">
        <v>133</v>
      </c>
      <c r="G78" s="22" t="s">
        <v>134</v>
      </c>
      <c r="H78" s="22" t="s">
        <v>135</v>
      </c>
      <c r="I78" s="22" t="s">
        <v>157</v>
      </c>
    </row>
    <row r="79" customFormat="false" ht="31.5" hidden="false" customHeight="true" outlineLevel="0" collapsed="false">
      <c r="A79" s="22" t="s">
        <v>138</v>
      </c>
      <c r="B79" s="22" t="n">
        <v>2024</v>
      </c>
      <c r="C79" s="22" t="s">
        <v>158</v>
      </c>
      <c r="D79" s="23" t="n">
        <v>0</v>
      </c>
      <c r="E79" s="22" t="s">
        <v>159</v>
      </c>
      <c r="F79" s="22" t="s">
        <v>133</v>
      </c>
      <c r="G79" s="22" t="s">
        <v>134</v>
      </c>
      <c r="H79" s="22" t="s">
        <v>135</v>
      </c>
      <c r="I79" s="22" t="s">
        <v>160</v>
      </c>
    </row>
    <row r="80" customFormat="false" ht="15.75" hidden="false" customHeight="true" outlineLevel="0" collapsed="false">
      <c r="A80" s="22" t="s">
        <v>138</v>
      </c>
      <c r="B80" s="22" t="n">
        <v>2024</v>
      </c>
      <c r="C80" s="22" t="s">
        <v>158</v>
      </c>
      <c r="D80" s="23" t="n">
        <v>0</v>
      </c>
      <c r="E80" s="22" t="s">
        <v>161</v>
      </c>
      <c r="F80" s="22" t="s">
        <v>133</v>
      </c>
      <c r="G80" s="22" t="s">
        <v>134</v>
      </c>
      <c r="H80" s="22" t="s">
        <v>135</v>
      </c>
      <c r="I80" s="22" t="s">
        <v>162</v>
      </c>
    </row>
    <row r="81" customFormat="false" ht="15.75" hidden="false" customHeight="true" outlineLevel="0" collapsed="false">
      <c r="A81" s="22" t="s">
        <v>138</v>
      </c>
      <c r="B81" s="22" t="n">
        <v>2024</v>
      </c>
      <c r="C81" s="22" t="s">
        <v>158</v>
      </c>
      <c r="D81" s="23" t="n">
        <v>0</v>
      </c>
      <c r="E81" s="22" t="s">
        <v>163</v>
      </c>
      <c r="F81" s="22" t="s">
        <v>133</v>
      </c>
      <c r="G81" s="22" t="s">
        <v>134</v>
      </c>
      <c r="H81" s="22" t="s">
        <v>135</v>
      </c>
      <c r="I81" s="22" t="s">
        <v>144</v>
      </c>
    </row>
    <row r="82" customFormat="false" ht="15.75" hidden="false" customHeight="true" outlineLevel="0" collapsed="false">
      <c r="A82" s="22" t="s">
        <v>138</v>
      </c>
      <c r="B82" s="22" t="n">
        <v>2024</v>
      </c>
      <c r="C82" s="22" t="s">
        <v>158</v>
      </c>
      <c r="D82" s="23" t="n">
        <v>0</v>
      </c>
      <c r="E82" s="22" t="s">
        <v>164</v>
      </c>
      <c r="F82" s="22" t="s">
        <v>133</v>
      </c>
      <c r="G82" s="22" t="s">
        <v>134</v>
      </c>
      <c r="H82" s="22" t="s">
        <v>135</v>
      </c>
      <c r="I82" s="22" t="s">
        <v>151</v>
      </c>
    </row>
    <row r="83" customFormat="false" ht="15.75" hidden="false" customHeight="true" outlineLevel="0" collapsed="false">
      <c r="A83" s="22" t="s">
        <v>138</v>
      </c>
      <c r="B83" s="22" t="n">
        <v>2024</v>
      </c>
      <c r="C83" s="22" t="s">
        <v>158</v>
      </c>
      <c r="D83" s="23" t="n">
        <v>0</v>
      </c>
      <c r="E83" s="22" t="s">
        <v>165</v>
      </c>
      <c r="F83" s="22" t="s">
        <v>133</v>
      </c>
      <c r="G83" s="22" t="s">
        <v>134</v>
      </c>
      <c r="H83" s="22" t="s">
        <v>135</v>
      </c>
      <c r="I83" s="22" t="s">
        <v>154</v>
      </c>
    </row>
    <row r="84" customFormat="false" ht="15.75" hidden="false" customHeight="true" outlineLevel="0" collapsed="false">
      <c r="A84" s="22" t="s">
        <v>138</v>
      </c>
      <c r="B84" s="22" t="n">
        <v>2024</v>
      </c>
      <c r="C84" s="22" t="s">
        <v>158</v>
      </c>
      <c r="D84" s="23" t="n">
        <v>0</v>
      </c>
      <c r="E84" s="22" t="s">
        <v>166</v>
      </c>
      <c r="F84" s="22" t="s">
        <v>133</v>
      </c>
      <c r="G84" s="22" t="s">
        <v>134</v>
      </c>
      <c r="H84" s="22" t="s">
        <v>135</v>
      </c>
      <c r="I84" s="22" t="s">
        <v>157</v>
      </c>
    </row>
    <row r="85" customFormat="false" ht="15.75" hidden="false" customHeight="true" outlineLevel="0" collapsed="false">
      <c r="A85" s="22" t="s">
        <v>138</v>
      </c>
      <c r="B85" s="22" t="n">
        <v>2024</v>
      </c>
      <c r="C85" s="22" t="s">
        <v>158</v>
      </c>
      <c r="D85" s="23" t="n">
        <v>0</v>
      </c>
      <c r="E85" s="22" t="s">
        <v>167</v>
      </c>
      <c r="F85" s="22" t="s">
        <v>133</v>
      </c>
      <c r="G85" s="22" t="s">
        <v>134</v>
      </c>
      <c r="H85" s="22" t="s">
        <v>135</v>
      </c>
      <c r="I85" s="22" t="s">
        <v>162</v>
      </c>
    </row>
    <row r="86" customFormat="false" ht="15.75" hidden="false" customHeight="true" outlineLevel="0" collapsed="false">
      <c r="A86" s="22" t="s">
        <v>130</v>
      </c>
      <c r="B86" s="22" t="n">
        <v>2024</v>
      </c>
      <c r="C86" s="22" t="s">
        <v>168</v>
      </c>
      <c r="D86" s="23" t="n">
        <v>529000000</v>
      </c>
      <c r="E86" s="22" t="s">
        <v>169</v>
      </c>
      <c r="F86" s="22" t="s">
        <v>133</v>
      </c>
      <c r="G86" s="22" t="s">
        <v>134</v>
      </c>
      <c r="H86" s="22" t="s">
        <v>135</v>
      </c>
      <c r="I86" s="22" t="s">
        <v>170</v>
      </c>
    </row>
    <row r="87" customFormat="false" ht="15.75" hidden="false" customHeight="true" outlineLevel="0" collapsed="false">
      <c r="A87" s="22" t="s">
        <v>145</v>
      </c>
      <c r="B87" s="22" t="n">
        <v>2024</v>
      </c>
      <c r="C87" s="22" t="s">
        <v>171</v>
      </c>
      <c r="D87" s="22"/>
      <c r="E87" s="22" t="s">
        <v>172</v>
      </c>
      <c r="F87" s="22"/>
      <c r="G87" s="22"/>
      <c r="H87" s="22"/>
      <c r="I87" s="22" t="s">
        <v>148</v>
      </c>
    </row>
    <row r="88" customFormat="false" ht="31.5" hidden="false" customHeight="true" outlineLevel="0" collapsed="false">
      <c r="A88" s="22" t="s">
        <v>138</v>
      </c>
      <c r="B88" s="22" t="n">
        <v>2024</v>
      </c>
      <c r="C88" s="22" t="s">
        <v>173</v>
      </c>
      <c r="D88" s="23" t="n">
        <v>-176000000</v>
      </c>
      <c r="E88" s="22" t="s">
        <v>174</v>
      </c>
      <c r="F88" s="22" t="s">
        <v>133</v>
      </c>
      <c r="G88" s="22" t="s">
        <v>134</v>
      </c>
      <c r="H88" s="22" t="s">
        <v>135</v>
      </c>
      <c r="I88" s="22" t="s">
        <v>175</v>
      </c>
    </row>
    <row r="89" customFormat="false" ht="15.75" hidden="false" customHeight="true" outlineLevel="0" collapsed="false">
      <c r="A89" s="22" t="s">
        <v>138</v>
      </c>
      <c r="B89" s="22" t="n">
        <v>2024</v>
      </c>
      <c r="C89" s="22" t="s">
        <v>173</v>
      </c>
      <c r="D89" s="23" t="n">
        <v>-176000000</v>
      </c>
      <c r="E89" s="22" t="s">
        <v>176</v>
      </c>
      <c r="F89" s="22" t="s">
        <v>133</v>
      </c>
      <c r="G89" s="22" t="s">
        <v>134</v>
      </c>
      <c r="H89" s="22" t="s">
        <v>135</v>
      </c>
      <c r="I89" s="22" t="s">
        <v>177</v>
      </c>
    </row>
    <row r="90" customFormat="false" ht="15.75" hidden="false" customHeight="true" outlineLevel="0" collapsed="false">
      <c r="A90" s="22" t="s">
        <v>138</v>
      </c>
      <c r="B90" s="22" t="n">
        <v>2024</v>
      </c>
      <c r="C90" s="22" t="s">
        <v>173</v>
      </c>
      <c r="D90" s="23" t="n">
        <v>-176000000</v>
      </c>
      <c r="E90" s="22" t="s">
        <v>178</v>
      </c>
      <c r="F90" s="22" t="s">
        <v>133</v>
      </c>
      <c r="G90" s="22" t="s">
        <v>134</v>
      </c>
      <c r="H90" s="22" t="s">
        <v>135</v>
      </c>
      <c r="I90" s="22" t="s">
        <v>179</v>
      </c>
    </row>
    <row r="91" customFormat="false" ht="15.75" hidden="false" customHeight="true" outlineLevel="0" collapsed="false">
      <c r="A91" s="22" t="s">
        <v>138</v>
      </c>
      <c r="B91" s="22" t="n">
        <v>2024</v>
      </c>
      <c r="C91" s="22" t="s">
        <v>173</v>
      </c>
      <c r="D91" s="23" t="n">
        <v>-176000000</v>
      </c>
      <c r="E91" s="22" t="s">
        <v>180</v>
      </c>
      <c r="F91" s="22" t="s">
        <v>133</v>
      </c>
      <c r="G91" s="22" t="s">
        <v>134</v>
      </c>
      <c r="H91" s="22" t="s">
        <v>135</v>
      </c>
      <c r="I91" s="22" t="s">
        <v>181</v>
      </c>
    </row>
    <row r="92" customFormat="false" ht="15.75" hidden="false" customHeight="true" outlineLevel="0" collapsed="false">
      <c r="A92" s="22" t="s">
        <v>138</v>
      </c>
      <c r="B92" s="22" t="n">
        <v>2024</v>
      </c>
      <c r="C92" s="22" t="s">
        <v>173</v>
      </c>
      <c r="D92" s="23" t="n">
        <v>-176000000</v>
      </c>
      <c r="E92" s="22" t="s">
        <v>182</v>
      </c>
      <c r="F92" s="22" t="s">
        <v>133</v>
      </c>
      <c r="G92" s="22" t="s">
        <v>134</v>
      </c>
      <c r="H92" s="22" t="s">
        <v>135</v>
      </c>
      <c r="I92" s="22" t="s">
        <v>183</v>
      </c>
    </row>
    <row r="93" customFormat="false" ht="31.5" hidden="false" customHeight="true" outlineLevel="0" collapsed="false">
      <c r="A93" s="22" t="s">
        <v>138</v>
      </c>
      <c r="B93" s="22" t="n">
        <v>2024</v>
      </c>
      <c r="C93" s="22" t="s">
        <v>173</v>
      </c>
      <c r="D93" s="23" t="n">
        <v>-176000000</v>
      </c>
      <c r="E93" s="22" t="s">
        <v>184</v>
      </c>
      <c r="F93" s="22" t="s">
        <v>133</v>
      </c>
      <c r="G93" s="22" t="s">
        <v>134</v>
      </c>
      <c r="H93" s="22" t="s">
        <v>135</v>
      </c>
      <c r="I93" s="22" t="s">
        <v>185</v>
      </c>
    </row>
    <row r="94" customFormat="false" ht="15.75" hidden="false" customHeight="true" outlineLevel="0" collapsed="false">
      <c r="A94" s="22" t="s">
        <v>138</v>
      </c>
      <c r="B94" s="22" t="n">
        <v>2024</v>
      </c>
      <c r="C94" s="22" t="s">
        <v>173</v>
      </c>
      <c r="D94" s="23" t="n">
        <v>-176000000</v>
      </c>
      <c r="E94" s="22" t="s">
        <v>186</v>
      </c>
      <c r="F94" s="22" t="s">
        <v>133</v>
      </c>
      <c r="G94" s="22" t="s">
        <v>134</v>
      </c>
      <c r="H94" s="22" t="s">
        <v>135</v>
      </c>
      <c r="I94" s="22" t="s">
        <v>187</v>
      </c>
    </row>
    <row r="95" customFormat="false" ht="15.75" hidden="false" customHeight="true" outlineLevel="0" collapsed="false">
      <c r="A95" s="22" t="s">
        <v>130</v>
      </c>
      <c r="B95" s="22" t="n">
        <v>2024</v>
      </c>
      <c r="C95" s="22" t="s">
        <v>188</v>
      </c>
      <c r="D95" s="23" t="n">
        <v>15485000000</v>
      </c>
      <c r="E95" s="22" t="s">
        <v>189</v>
      </c>
      <c r="F95" s="22" t="s">
        <v>133</v>
      </c>
      <c r="G95" s="22" t="s">
        <v>134</v>
      </c>
      <c r="H95" s="22" t="s">
        <v>135</v>
      </c>
      <c r="I95" s="22" t="s">
        <v>190</v>
      </c>
    </row>
    <row r="96" customFormat="false" ht="15.75" hidden="false" customHeight="true" outlineLevel="0" collapsed="false">
      <c r="A96" s="22" t="s">
        <v>138</v>
      </c>
      <c r="B96" s="22" t="n">
        <v>2024</v>
      </c>
      <c r="C96" s="22" t="s">
        <v>191</v>
      </c>
      <c r="D96" s="22" t="n">
        <v>0.00143644001093494</v>
      </c>
      <c r="E96" s="22" t="s">
        <v>189</v>
      </c>
      <c r="F96" s="22" t="s">
        <v>133</v>
      </c>
      <c r="G96" s="22" t="s">
        <v>134</v>
      </c>
      <c r="H96" s="22" t="s">
        <v>135</v>
      </c>
      <c r="I96" s="22" t="s">
        <v>190</v>
      </c>
    </row>
    <row r="97" customFormat="false" ht="15.75" hidden="false" customHeight="true" outlineLevel="0" collapsed="false">
      <c r="A97" s="22" t="s">
        <v>138</v>
      </c>
      <c r="B97" s="22" t="n">
        <v>2024</v>
      </c>
      <c r="C97" s="22" t="s">
        <v>191</v>
      </c>
      <c r="D97" s="22" t="n">
        <v>0.00143644001093494</v>
      </c>
      <c r="E97" s="22" t="s">
        <v>132</v>
      </c>
      <c r="F97" s="22" t="s">
        <v>133</v>
      </c>
      <c r="G97" s="22" t="s">
        <v>134</v>
      </c>
      <c r="H97" s="22" t="s">
        <v>135</v>
      </c>
      <c r="I97" s="22" t="s">
        <v>136</v>
      </c>
    </row>
    <row r="98" customFormat="false" ht="15.75" hidden="false" customHeight="true" outlineLevel="0" collapsed="false">
      <c r="A98" s="22" t="s">
        <v>138</v>
      </c>
      <c r="B98" s="22" t="n">
        <v>2024</v>
      </c>
      <c r="C98" s="22" t="s">
        <v>191</v>
      </c>
      <c r="D98" s="22" t="n">
        <v>0.00143644001093494</v>
      </c>
      <c r="E98" s="22" t="s">
        <v>132</v>
      </c>
      <c r="F98" s="22" t="s">
        <v>133</v>
      </c>
      <c r="G98" s="22" t="s">
        <v>134</v>
      </c>
      <c r="H98" s="22" t="s">
        <v>135</v>
      </c>
      <c r="I98" s="22" t="s">
        <v>136</v>
      </c>
    </row>
    <row r="99" customFormat="false" ht="15.75" hidden="false" customHeight="true" outlineLevel="0" collapsed="false">
      <c r="A99" s="22" t="s">
        <v>145</v>
      </c>
      <c r="B99" s="22" t="n">
        <v>2024</v>
      </c>
      <c r="C99" s="22" t="s">
        <v>192</v>
      </c>
      <c r="D99" s="22"/>
      <c r="E99" s="22" t="s">
        <v>193</v>
      </c>
      <c r="F99" s="22"/>
      <c r="G99" s="22"/>
      <c r="H99" s="22"/>
      <c r="I99" s="22" t="s">
        <v>148</v>
      </c>
    </row>
    <row r="100" customFormat="false" ht="15.75" hidden="false" customHeight="true" outlineLevel="0" collapsed="false">
      <c r="A100" s="22" t="s">
        <v>130</v>
      </c>
      <c r="B100" s="22" t="n">
        <v>2024</v>
      </c>
      <c r="C100" s="22" t="s">
        <v>194</v>
      </c>
      <c r="D100" s="23" t="n">
        <v>1207000000</v>
      </c>
      <c r="E100" s="22" t="s">
        <v>195</v>
      </c>
      <c r="F100" s="22" t="s">
        <v>133</v>
      </c>
      <c r="G100" s="22" t="s">
        <v>134</v>
      </c>
      <c r="H100" s="22" t="s">
        <v>135</v>
      </c>
      <c r="I100" s="22" t="s">
        <v>190</v>
      </c>
    </row>
    <row r="101" customFormat="false" ht="15.75" hidden="false" customHeight="true" outlineLevel="0" collapsed="false">
      <c r="A101" s="22" t="s">
        <v>130</v>
      </c>
      <c r="B101" s="22" t="n">
        <v>2024</v>
      </c>
      <c r="C101" s="22" t="s">
        <v>196</v>
      </c>
      <c r="D101" s="23" t="n">
        <v>615000000</v>
      </c>
      <c r="E101" s="22" t="s">
        <v>197</v>
      </c>
      <c r="F101" s="22" t="s">
        <v>133</v>
      </c>
      <c r="G101" s="22" t="s">
        <v>134</v>
      </c>
      <c r="H101" s="22" t="s">
        <v>135</v>
      </c>
      <c r="I101" s="22" t="s">
        <v>190</v>
      </c>
    </row>
    <row r="102" customFormat="false" ht="15.75" hidden="false" customHeight="true" outlineLevel="0" collapsed="false">
      <c r="A102" s="22" t="s">
        <v>130</v>
      </c>
      <c r="B102" s="22" t="n">
        <v>2024</v>
      </c>
      <c r="C102" s="22" t="s">
        <v>198</v>
      </c>
      <c r="D102" s="23" t="n">
        <v>1603000000</v>
      </c>
      <c r="E102" s="22" t="s">
        <v>199</v>
      </c>
      <c r="F102" s="22" t="s">
        <v>133</v>
      </c>
      <c r="G102" s="22" t="s">
        <v>134</v>
      </c>
      <c r="H102" s="22" t="s">
        <v>135</v>
      </c>
      <c r="I102" s="22" t="s">
        <v>190</v>
      </c>
    </row>
    <row r="103" customFormat="false" ht="15.75" hidden="false" customHeight="true" outlineLevel="0" collapsed="false">
      <c r="A103" s="22" t="s">
        <v>130</v>
      </c>
      <c r="B103" s="22" t="n">
        <v>2024</v>
      </c>
      <c r="C103" s="22" t="s">
        <v>200</v>
      </c>
      <c r="D103" s="23" t="n">
        <v>1273000000</v>
      </c>
      <c r="E103" s="22" t="s">
        <v>201</v>
      </c>
      <c r="F103" s="22" t="s">
        <v>133</v>
      </c>
      <c r="G103" s="22" t="s">
        <v>134</v>
      </c>
      <c r="H103" s="22" t="s">
        <v>135</v>
      </c>
      <c r="I103" s="22" t="s">
        <v>190</v>
      </c>
    </row>
    <row r="104" customFormat="false" ht="15.75" hidden="false" customHeight="true" outlineLevel="0" collapsed="false">
      <c r="A104" s="22" t="s">
        <v>145</v>
      </c>
      <c r="B104" s="22" t="n">
        <v>2024</v>
      </c>
      <c r="C104" s="22" t="s">
        <v>202</v>
      </c>
      <c r="D104" s="22"/>
      <c r="E104" s="22" t="s">
        <v>203</v>
      </c>
      <c r="F104" s="22"/>
      <c r="G104" s="22"/>
      <c r="H104" s="22"/>
      <c r="I104" s="22" t="s">
        <v>148</v>
      </c>
    </row>
    <row r="105" customFormat="false" ht="15.75" hidden="false" customHeight="true" outlineLevel="0" collapsed="false">
      <c r="A105" s="22" t="s">
        <v>130</v>
      </c>
      <c r="B105" s="22" t="n">
        <v>2024</v>
      </c>
      <c r="C105" s="22" t="s">
        <v>204</v>
      </c>
      <c r="D105" s="23" t="n">
        <v>224000000</v>
      </c>
      <c r="E105" s="22" t="s">
        <v>205</v>
      </c>
      <c r="F105" s="22" t="s">
        <v>133</v>
      </c>
      <c r="G105" s="22" t="s">
        <v>134</v>
      </c>
      <c r="H105" s="22" t="s">
        <v>135</v>
      </c>
      <c r="I105" s="22" t="s">
        <v>190</v>
      </c>
    </row>
    <row r="106" customFormat="false" ht="15.75" hidden="false" customHeight="true" outlineLevel="0" collapsed="false">
      <c r="A106" s="22" t="s">
        <v>138</v>
      </c>
      <c r="B106" s="22" t="n">
        <v>2024</v>
      </c>
      <c r="C106" s="22" t="s">
        <v>206</v>
      </c>
      <c r="D106" s="23" t="n">
        <v>0</v>
      </c>
      <c r="E106" s="22" t="s">
        <v>207</v>
      </c>
      <c r="F106" s="22" t="s">
        <v>133</v>
      </c>
      <c r="G106" s="22" t="s">
        <v>134</v>
      </c>
      <c r="H106" s="22" t="s">
        <v>208</v>
      </c>
      <c r="I106" s="22" t="s">
        <v>209</v>
      </c>
    </row>
    <row r="107" customFormat="false" ht="15.75" hidden="false" customHeight="true" outlineLevel="0" collapsed="false">
      <c r="A107" s="22" t="s">
        <v>138</v>
      </c>
      <c r="B107" s="22" t="n">
        <v>2024</v>
      </c>
      <c r="C107" s="22" t="s">
        <v>206</v>
      </c>
      <c r="D107" s="23" t="n">
        <v>0</v>
      </c>
      <c r="E107" s="22" t="s">
        <v>189</v>
      </c>
      <c r="F107" s="22" t="s">
        <v>133</v>
      </c>
      <c r="G107" s="22" t="s">
        <v>134</v>
      </c>
      <c r="H107" s="22" t="s">
        <v>135</v>
      </c>
      <c r="I107" s="22" t="s">
        <v>190</v>
      </c>
    </row>
    <row r="108" customFormat="false" ht="15.75" hidden="false" customHeight="true" outlineLevel="0" collapsed="false">
      <c r="A108" s="22" t="s">
        <v>138</v>
      </c>
      <c r="B108" s="22" t="n">
        <v>2024</v>
      </c>
      <c r="C108" s="22" t="s">
        <v>206</v>
      </c>
      <c r="D108" s="23" t="n">
        <v>0</v>
      </c>
      <c r="E108" s="22" t="s">
        <v>195</v>
      </c>
      <c r="F108" s="22" t="s">
        <v>133</v>
      </c>
      <c r="G108" s="22" t="s">
        <v>134</v>
      </c>
      <c r="H108" s="22" t="s">
        <v>135</v>
      </c>
      <c r="I108" s="22" t="s">
        <v>190</v>
      </c>
    </row>
    <row r="109" customFormat="false" ht="15.75" hidden="false" customHeight="true" outlineLevel="0" collapsed="false">
      <c r="A109" s="22" t="s">
        <v>138</v>
      </c>
      <c r="B109" s="22" t="n">
        <v>2024</v>
      </c>
      <c r="C109" s="22" t="s">
        <v>206</v>
      </c>
      <c r="D109" s="23" t="n">
        <v>0</v>
      </c>
      <c r="E109" s="22" t="s">
        <v>197</v>
      </c>
      <c r="F109" s="22" t="s">
        <v>133</v>
      </c>
      <c r="G109" s="22" t="s">
        <v>134</v>
      </c>
      <c r="H109" s="22" t="s">
        <v>135</v>
      </c>
      <c r="I109" s="22" t="s">
        <v>190</v>
      </c>
    </row>
    <row r="110" customFormat="false" ht="15.75" hidden="false" customHeight="true" outlineLevel="0" collapsed="false">
      <c r="A110" s="22" t="s">
        <v>138</v>
      </c>
      <c r="B110" s="22" t="n">
        <v>2024</v>
      </c>
      <c r="C110" s="22" t="s">
        <v>206</v>
      </c>
      <c r="D110" s="23" t="n">
        <v>0</v>
      </c>
      <c r="E110" s="22" t="s">
        <v>199</v>
      </c>
      <c r="F110" s="22" t="s">
        <v>133</v>
      </c>
      <c r="G110" s="22" t="s">
        <v>134</v>
      </c>
      <c r="H110" s="22" t="s">
        <v>135</v>
      </c>
      <c r="I110" s="22" t="s">
        <v>190</v>
      </c>
    </row>
    <row r="111" customFormat="false" ht="15.75" hidden="false" customHeight="true" outlineLevel="0" collapsed="false">
      <c r="A111" s="22" t="s">
        <v>138</v>
      </c>
      <c r="B111" s="22" t="n">
        <v>2024</v>
      </c>
      <c r="C111" s="22" t="s">
        <v>206</v>
      </c>
      <c r="D111" s="23" t="n">
        <v>0</v>
      </c>
      <c r="E111" s="22" t="s">
        <v>201</v>
      </c>
      <c r="F111" s="22" t="s">
        <v>133</v>
      </c>
      <c r="G111" s="22" t="s">
        <v>134</v>
      </c>
      <c r="H111" s="22" t="s">
        <v>135</v>
      </c>
      <c r="I111" s="22" t="s">
        <v>190</v>
      </c>
    </row>
    <row r="112" customFormat="false" ht="15.75" hidden="false" customHeight="true" outlineLevel="0" collapsed="false">
      <c r="A112" s="22" t="s">
        <v>138</v>
      </c>
      <c r="B112" s="22" t="n">
        <v>2024</v>
      </c>
      <c r="C112" s="22" t="s">
        <v>206</v>
      </c>
      <c r="D112" s="23" t="n">
        <v>0</v>
      </c>
      <c r="E112" s="22" t="s">
        <v>205</v>
      </c>
      <c r="F112" s="22" t="s">
        <v>133</v>
      </c>
      <c r="G112" s="22" t="s">
        <v>134</v>
      </c>
      <c r="H112" s="22" t="s">
        <v>135</v>
      </c>
      <c r="I112" s="22" t="s">
        <v>190</v>
      </c>
    </row>
    <row r="113" customFormat="false" ht="15.75" hidden="false" customHeight="true" outlineLevel="0" collapsed="false">
      <c r="A113" s="22" t="s">
        <v>130</v>
      </c>
      <c r="B113" s="22" t="n">
        <v>2024</v>
      </c>
      <c r="C113" s="22" t="s">
        <v>210</v>
      </c>
      <c r="D113" s="23" t="n">
        <v>20407000000</v>
      </c>
      <c r="E113" s="22" t="s">
        <v>207</v>
      </c>
      <c r="F113" s="22" t="s">
        <v>133</v>
      </c>
      <c r="G113" s="22" t="s">
        <v>134</v>
      </c>
      <c r="H113" s="22" t="s">
        <v>208</v>
      </c>
      <c r="I113" s="22" t="s">
        <v>209</v>
      </c>
    </row>
    <row r="114" customFormat="false" ht="15.75" hidden="false" customHeight="true" outlineLevel="0" collapsed="false">
      <c r="A114" s="22" t="s">
        <v>130</v>
      </c>
      <c r="B114" s="22" t="n">
        <v>2024</v>
      </c>
      <c r="C114" s="22" t="s">
        <v>77</v>
      </c>
      <c r="D114" s="23" t="n">
        <v>7574000000</v>
      </c>
      <c r="E114" s="22" t="s">
        <v>211</v>
      </c>
      <c r="F114" s="22" t="s">
        <v>133</v>
      </c>
      <c r="G114" s="22" t="s">
        <v>134</v>
      </c>
      <c r="H114" s="22" t="s">
        <v>208</v>
      </c>
      <c r="I114" s="22" t="s">
        <v>209</v>
      </c>
    </row>
    <row r="115" customFormat="false" ht="15.75" hidden="false" customHeight="true" outlineLevel="0" collapsed="false">
      <c r="A115" s="22" t="s">
        <v>130</v>
      </c>
      <c r="B115" s="22" t="n">
        <v>2024</v>
      </c>
      <c r="C115" s="22" t="s">
        <v>212</v>
      </c>
      <c r="D115" s="23" t="n">
        <v>538000000</v>
      </c>
      <c r="E115" s="22" t="s">
        <v>213</v>
      </c>
      <c r="F115" s="22" t="s">
        <v>133</v>
      </c>
      <c r="G115" s="22" t="s">
        <v>134</v>
      </c>
      <c r="H115" s="22" t="s">
        <v>208</v>
      </c>
      <c r="I115" s="22" t="s">
        <v>209</v>
      </c>
    </row>
    <row r="116" customFormat="false" ht="15.75" hidden="false" customHeight="true" outlineLevel="0" collapsed="false">
      <c r="A116" s="22" t="s">
        <v>138</v>
      </c>
      <c r="B116" s="22" t="n">
        <v>2024</v>
      </c>
      <c r="C116" s="22" t="s">
        <v>214</v>
      </c>
      <c r="D116" s="23" t="n">
        <v>0.214948764315853</v>
      </c>
      <c r="E116" s="22" t="s">
        <v>215</v>
      </c>
      <c r="F116" s="22" t="s">
        <v>133</v>
      </c>
      <c r="G116" s="22" t="s">
        <v>134</v>
      </c>
      <c r="H116" s="22" t="s">
        <v>208</v>
      </c>
      <c r="I116" s="22" t="s">
        <v>209</v>
      </c>
    </row>
    <row r="117" customFormat="false" ht="15.75" hidden="false" customHeight="true" outlineLevel="0" collapsed="false">
      <c r="A117" s="22" t="s">
        <v>138</v>
      </c>
      <c r="B117" s="22" t="n">
        <v>2024</v>
      </c>
      <c r="C117" s="22" t="s">
        <v>214</v>
      </c>
      <c r="D117" s="23" t="n">
        <v>0.214948764315853</v>
      </c>
      <c r="E117" s="22" t="s">
        <v>216</v>
      </c>
      <c r="F117" s="22" t="s">
        <v>133</v>
      </c>
      <c r="G117" s="22" t="s">
        <v>134</v>
      </c>
      <c r="H117" s="22" t="s">
        <v>208</v>
      </c>
      <c r="I117" s="22" t="s">
        <v>209</v>
      </c>
    </row>
    <row r="118" customFormat="false" ht="15.75" hidden="false" customHeight="true" outlineLevel="0" collapsed="false">
      <c r="A118" s="22" t="s">
        <v>130</v>
      </c>
      <c r="B118" s="22" t="n">
        <v>2024</v>
      </c>
      <c r="C118" s="22" t="s">
        <v>217</v>
      </c>
      <c r="D118" s="23" t="n">
        <v>255000000</v>
      </c>
      <c r="E118" s="22" t="s">
        <v>218</v>
      </c>
      <c r="F118" s="22" t="s">
        <v>133</v>
      </c>
      <c r="G118" s="22" t="s">
        <v>134</v>
      </c>
      <c r="H118" s="22" t="s">
        <v>208</v>
      </c>
      <c r="I118" s="22" t="s">
        <v>219</v>
      </c>
    </row>
    <row r="119" customFormat="false" ht="15.75" hidden="false" customHeight="true" outlineLevel="0" collapsed="false">
      <c r="A119" s="22" t="s">
        <v>130</v>
      </c>
      <c r="B119" s="22" t="n">
        <v>2024</v>
      </c>
      <c r="C119" s="22" t="s">
        <v>220</v>
      </c>
      <c r="D119" s="23" t="n">
        <v>12762000000</v>
      </c>
      <c r="E119" s="22" t="s">
        <v>221</v>
      </c>
      <c r="F119" s="22" t="s">
        <v>133</v>
      </c>
      <c r="G119" s="22" t="s">
        <v>134</v>
      </c>
      <c r="H119" s="22" t="s">
        <v>208</v>
      </c>
      <c r="I119" s="22" t="s">
        <v>222</v>
      </c>
    </row>
    <row r="120" customFormat="false" ht="15.75" hidden="false" customHeight="true" outlineLevel="0" collapsed="false">
      <c r="A120" s="22" t="s">
        <v>239</v>
      </c>
      <c r="B120" s="22" t="n">
        <v>2024</v>
      </c>
      <c r="C120" s="22" t="s">
        <v>223</v>
      </c>
      <c r="D120" s="22"/>
      <c r="E120" s="22" t="s">
        <v>240</v>
      </c>
      <c r="F120" s="22" t="s">
        <v>142</v>
      </c>
      <c r="G120" s="22" t="s">
        <v>143</v>
      </c>
      <c r="H120" s="22" t="s">
        <v>208</v>
      </c>
      <c r="I120" s="22" t="s">
        <v>238</v>
      </c>
    </row>
    <row r="121" customFormat="false" ht="15.75" hidden="false" customHeight="true" outlineLevel="0" collapsed="false">
      <c r="A121" s="22" t="s">
        <v>239</v>
      </c>
      <c r="B121" s="22" t="n">
        <v>2024</v>
      </c>
      <c r="C121" s="22" t="s">
        <v>223</v>
      </c>
      <c r="D121" s="22"/>
      <c r="E121" s="22" t="s">
        <v>241</v>
      </c>
      <c r="F121" s="22" t="s">
        <v>142</v>
      </c>
      <c r="G121" s="22" t="s">
        <v>143</v>
      </c>
      <c r="H121" s="22" t="s">
        <v>208</v>
      </c>
      <c r="I121" s="22" t="s">
        <v>238</v>
      </c>
    </row>
    <row r="122" customFormat="false" ht="15.75" hidden="false" customHeight="true" outlineLevel="0" collapsed="false">
      <c r="A122" s="22" t="s">
        <v>138</v>
      </c>
      <c r="B122" s="22" t="n">
        <v>2024</v>
      </c>
      <c r="C122" s="22" t="s">
        <v>225</v>
      </c>
      <c r="D122" s="23" t="n">
        <v>12314000000</v>
      </c>
      <c r="E122" s="22" t="s">
        <v>242</v>
      </c>
      <c r="F122" s="22" t="s">
        <v>142</v>
      </c>
      <c r="G122" s="22" t="s">
        <v>143</v>
      </c>
      <c r="H122" s="22" t="s">
        <v>208</v>
      </c>
      <c r="I122" s="22" t="s">
        <v>238</v>
      </c>
    </row>
    <row r="123" customFormat="false" ht="15.75" hidden="false" customHeight="true" outlineLevel="0" collapsed="false">
      <c r="A123" s="22" t="s">
        <v>138</v>
      </c>
      <c r="B123" s="22" t="n">
        <v>2024</v>
      </c>
      <c r="C123" s="22" t="s">
        <v>225</v>
      </c>
      <c r="D123" s="23" t="n">
        <v>12314000000</v>
      </c>
      <c r="E123" s="22" t="s">
        <v>243</v>
      </c>
      <c r="F123" s="22" t="s">
        <v>142</v>
      </c>
      <c r="G123" s="22" t="s">
        <v>143</v>
      </c>
      <c r="H123" s="22" t="s">
        <v>208</v>
      </c>
      <c r="I123" s="22" t="s">
        <v>238</v>
      </c>
    </row>
    <row r="124" customFormat="false" ht="15.75" hidden="false" customHeight="true" outlineLevel="0" collapsed="false">
      <c r="A124" s="22" t="s">
        <v>138</v>
      </c>
      <c r="B124" s="22" t="n">
        <v>2024</v>
      </c>
      <c r="C124" s="22" t="s">
        <v>225</v>
      </c>
      <c r="D124" s="23" t="n">
        <v>12314000000</v>
      </c>
      <c r="E124" s="22" t="s">
        <v>226</v>
      </c>
      <c r="F124" s="22" t="s">
        <v>133</v>
      </c>
      <c r="G124" s="22" t="s">
        <v>134</v>
      </c>
      <c r="H124" s="22" t="s">
        <v>208</v>
      </c>
      <c r="I124" s="22" t="s">
        <v>222</v>
      </c>
    </row>
    <row r="125" customFormat="false" ht="31.5" hidden="false" customHeight="true" outlineLevel="0" collapsed="false">
      <c r="A125" s="22" t="s">
        <v>138</v>
      </c>
      <c r="B125" s="22" t="n">
        <v>2024</v>
      </c>
      <c r="C125" s="22" t="s">
        <v>227</v>
      </c>
      <c r="D125" s="23" t="n">
        <v>-176000000</v>
      </c>
      <c r="E125" s="22" t="s">
        <v>174</v>
      </c>
      <c r="F125" s="22" t="s">
        <v>133</v>
      </c>
      <c r="G125" s="22" t="s">
        <v>134</v>
      </c>
      <c r="H125" s="22" t="s">
        <v>135</v>
      </c>
      <c r="I125" s="22" t="s">
        <v>175</v>
      </c>
    </row>
    <row r="126" customFormat="false" ht="15.75" hidden="false" customHeight="true" outlineLevel="0" collapsed="false">
      <c r="A126" s="22" t="s">
        <v>138</v>
      </c>
      <c r="B126" s="22" t="n">
        <v>2024</v>
      </c>
      <c r="C126" s="22" t="s">
        <v>227</v>
      </c>
      <c r="D126" s="23" t="n">
        <v>-176000000</v>
      </c>
      <c r="E126" s="22" t="s">
        <v>176</v>
      </c>
      <c r="F126" s="22" t="s">
        <v>133</v>
      </c>
      <c r="G126" s="22" t="s">
        <v>134</v>
      </c>
      <c r="H126" s="22" t="s">
        <v>135</v>
      </c>
      <c r="I126" s="22" t="s">
        <v>177</v>
      </c>
    </row>
    <row r="127" customFormat="false" ht="15.75" hidden="false" customHeight="true" outlineLevel="0" collapsed="false">
      <c r="A127" s="22" t="s">
        <v>138</v>
      </c>
      <c r="B127" s="22" t="n">
        <v>2024</v>
      </c>
      <c r="C127" s="22" t="s">
        <v>227</v>
      </c>
      <c r="D127" s="23" t="n">
        <v>-176000000</v>
      </c>
      <c r="E127" s="22" t="s">
        <v>178</v>
      </c>
      <c r="F127" s="22" t="s">
        <v>133</v>
      </c>
      <c r="G127" s="22" t="s">
        <v>134</v>
      </c>
      <c r="H127" s="22" t="s">
        <v>135</v>
      </c>
      <c r="I127" s="22" t="s">
        <v>179</v>
      </c>
    </row>
    <row r="128" customFormat="false" ht="15.75" hidden="false" customHeight="true" outlineLevel="0" collapsed="false">
      <c r="A128" s="22" t="s">
        <v>138</v>
      </c>
      <c r="B128" s="22" t="n">
        <v>2024</v>
      </c>
      <c r="C128" s="22" t="s">
        <v>227</v>
      </c>
      <c r="D128" s="23" t="n">
        <v>-176000000</v>
      </c>
      <c r="E128" s="22" t="s">
        <v>180</v>
      </c>
      <c r="F128" s="22" t="s">
        <v>133</v>
      </c>
      <c r="G128" s="22" t="s">
        <v>134</v>
      </c>
      <c r="H128" s="22" t="s">
        <v>135</v>
      </c>
      <c r="I128" s="22" t="s">
        <v>181</v>
      </c>
    </row>
    <row r="129" customFormat="false" ht="15.75" hidden="false" customHeight="true" outlineLevel="0" collapsed="false">
      <c r="A129" s="22" t="s">
        <v>138</v>
      </c>
      <c r="B129" s="22" t="n">
        <v>2024</v>
      </c>
      <c r="C129" s="22" t="s">
        <v>227</v>
      </c>
      <c r="D129" s="23" t="n">
        <v>-176000000</v>
      </c>
      <c r="E129" s="22" t="s">
        <v>182</v>
      </c>
      <c r="F129" s="22" t="s">
        <v>133</v>
      </c>
      <c r="G129" s="22" t="s">
        <v>134</v>
      </c>
      <c r="H129" s="22" t="s">
        <v>135</v>
      </c>
      <c r="I129" s="22" t="s">
        <v>183</v>
      </c>
    </row>
    <row r="130" customFormat="false" ht="31.5" hidden="false" customHeight="true" outlineLevel="0" collapsed="false">
      <c r="A130" s="22" t="s">
        <v>138</v>
      </c>
      <c r="B130" s="22" t="n">
        <v>2024</v>
      </c>
      <c r="C130" s="22" t="s">
        <v>227</v>
      </c>
      <c r="D130" s="23" t="n">
        <v>-176000000</v>
      </c>
      <c r="E130" s="22" t="s">
        <v>184</v>
      </c>
      <c r="F130" s="22" t="s">
        <v>133</v>
      </c>
      <c r="G130" s="22" t="s">
        <v>134</v>
      </c>
      <c r="H130" s="22" t="s">
        <v>135</v>
      </c>
      <c r="I130" s="22" t="s">
        <v>185</v>
      </c>
    </row>
    <row r="131" customFormat="false" ht="15.75" hidden="false" customHeight="true" outlineLevel="0" collapsed="false">
      <c r="A131" s="22" t="s">
        <v>138</v>
      </c>
      <c r="B131" s="22" t="n">
        <v>2024</v>
      </c>
      <c r="C131" s="22" t="s">
        <v>227</v>
      </c>
      <c r="D131" s="23" t="n">
        <v>-176000000</v>
      </c>
      <c r="E131" s="22" t="s">
        <v>186</v>
      </c>
      <c r="F131" s="22" t="s">
        <v>133</v>
      </c>
      <c r="G131" s="22" t="s">
        <v>134</v>
      </c>
      <c r="H131" s="22" t="s">
        <v>135</v>
      </c>
      <c r="I131" s="22" t="s">
        <v>187</v>
      </c>
    </row>
    <row r="132" customFormat="false" ht="15.75" hidden="false" customHeight="true" outlineLevel="0" collapsed="false">
      <c r="A132" s="22" t="s">
        <v>130</v>
      </c>
      <c r="B132" s="22" t="n">
        <v>2024</v>
      </c>
      <c r="C132" s="22" t="s">
        <v>228</v>
      </c>
      <c r="D132" s="23" t="n">
        <v>529000000</v>
      </c>
      <c r="E132" s="22" t="s">
        <v>169</v>
      </c>
      <c r="F132" s="22" t="s">
        <v>133</v>
      </c>
      <c r="G132" s="22" t="s">
        <v>134</v>
      </c>
      <c r="H132" s="22" t="s">
        <v>135</v>
      </c>
      <c r="I132" s="22" t="s">
        <v>170</v>
      </c>
    </row>
    <row r="133" customFormat="false" ht="15.75" hidden="false" customHeight="true" outlineLevel="0" collapsed="false">
      <c r="A133" s="22" t="s">
        <v>145</v>
      </c>
      <c r="B133" s="22" t="n">
        <v>2024</v>
      </c>
      <c r="C133" s="22" t="s">
        <v>229</v>
      </c>
      <c r="D133" s="22"/>
      <c r="E133" s="22" t="s">
        <v>172</v>
      </c>
      <c r="F133" s="22"/>
      <c r="G133" s="22"/>
      <c r="H133" s="22"/>
      <c r="I133" s="22" t="s">
        <v>148</v>
      </c>
    </row>
    <row r="134" customFormat="false" ht="15.75" hidden="false" customHeight="true" outlineLevel="0" collapsed="false">
      <c r="A134" s="22" t="s">
        <v>130</v>
      </c>
      <c r="B134" s="22" t="n">
        <v>2024</v>
      </c>
      <c r="C134" s="22" t="s">
        <v>230</v>
      </c>
      <c r="D134" s="23" t="n">
        <v>169000000</v>
      </c>
      <c r="E134" s="22" t="s">
        <v>231</v>
      </c>
      <c r="F134" s="22" t="s">
        <v>133</v>
      </c>
      <c r="G134" s="22" t="s">
        <v>134</v>
      </c>
      <c r="H134" s="22" t="s">
        <v>208</v>
      </c>
      <c r="I134" s="22" t="s">
        <v>222</v>
      </c>
    </row>
    <row r="135" customFormat="false" ht="15.75" hidden="false" customHeight="true" outlineLevel="0" collapsed="false">
      <c r="A135" s="22" t="s">
        <v>239</v>
      </c>
      <c r="B135" s="22" t="n">
        <v>2024</v>
      </c>
      <c r="C135" s="22" t="s">
        <v>232</v>
      </c>
      <c r="D135" s="22"/>
      <c r="E135" s="22" t="s">
        <v>244</v>
      </c>
      <c r="F135" s="22" t="s">
        <v>142</v>
      </c>
      <c r="G135" s="22" t="s">
        <v>143</v>
      </c>
      <c r="H135" s="22" t="s">
        <v>208</v>
      </c>
      <c r="I135" s="22" t="s">
        <v>238</v>
      </c>
    </row>
    <row r="136" customFormat="false" ht="15.75" hidden="false" customHeight="true" outlineLevel="0" collapsed="false">
      <c r="A136" s="22" t="s">
        <v>130</v>
      </c>
      <c r="B136" s="22" t="n">
        <v>2024</v>
      </c>
      <c r="C136" s="22" t="s">
        <v>235</v>
      </c>
      <c r="D136" s="23" t="n">
        <v>151615085</v>
      </c>
      <c r="E136" s="22" t="s">
        <v>236</v>
      </c>
      <c r="F136" s="22" t="s">
        <v>133</v>
      </c>
      <c r="G136" s="22" t="s">
        <v>134</v>
      </c>
      <c r="H136" s="22" t="s">
        <v>237</v>
      </c>
      <c r="I136" s="22" t="s">
        <v>238</v>
      </c>
    </row>
    <row r="137" customFormat="false" ht="15.75" hidden="false" customHeight="true" outlineLevel="0" collapsed="false">
      <c r="A137" s="22" t="s">
        <v>130</v>
      </c>
      <c r="B137" s="22" t="n">
        <v>2025</v>
      </c>
      <c r="C137" s="22" t="s">
        <v>131</v>
      </c>
      <c r="D137" s="23" t="n">
        <v>14041518000000</v>
      </c>
      <c r="E137" s="22" t="s">
        <v>132</v>
      </c>
      <c r="F137" s="22" t="s">
        <v>133</v>
      </c>
      <c r="G137" s="22" t="s">
        <v>134</v>
      </c>
      <c r="H137" s="22" t="s">
        <v>135</v>
      </c>
      <c r="I137" s="22" t="s">
        <v>136</v>
      </c>
    </row>
    <row r="138" customFormat="false" ht="15.75" hidden="false" customHeight="true" outlineLevel="0" collapsed="false">
      <c r="A138" s="22" t="s">
        <v>130</v>
      </c>
      <c r="B138" s="22" t="n">
        <v>2025</v>
      </c>
      <c r="C138" s="22" t="s">
        <v>137</v>
      </c>
      <c r="D138" s="23" t="n">
        <v>11551251000000</v>
      </c>
      <c r="E138" s="22" t="s">
        <v>132</v>
      </c>
      <c r="F138" s="22" t="s">
        <v>133</v>
      </c>
      <c r="G138" s="22" t="s">
        <v>134</v>
      </c>
      <c r="H138" s="22" t="s">
        <v>135</v>
      </c>
      <c r="I138" s="22" t="s">
        <v>136</v>
      </c>
    </row>
    <row r="139" customFormat="false" ht="15.75" hidden="false" customHeight="true" outlineLevel="0" collapsed="false">
      <c r="A139" s="22" t="s">
        <v>138</v>
      </c>
      <c r="B139" s="22" t="n">
        <v>2025</v>
      </c>
      <c r="C139" s="22" t="s">
        <v>139</v>
      </c>
      <c r="D139" s="23" t="n">
        <v>12796384500000</v>
      </c>
      <c r="E139" s="22" t="s">
        <v>132</v>
      </c>
      <c r="F139" s="22" t="s">
        <v>133</v>
      </c>
      <c r="G139" s="22" t="s">
        <v>134</v>
      </c>
      <c r="H139" s="22" t="s">
        <v>135</v>
      </c>
      <c r="I139" s="22" t="s">
        <v>136</v>
      </c>
    </row>
    <row r="140" customFormat="false" ht="15.75" hidden="false" customHeight="true" outlineLevel="0" collapsed="false">
      <c r="A140" s="22" t="s">
        <v>138</v>
      </c>
      <c r="B140" s="22" t="n">
        <v>2025</v>
      </c>
      <c r="C140" s="22" t="s">
        <v>139</v>
      </c>
      <c r="D140" s="23" t="n">
        <v>12796384500000</v>
      </c>
      <c r="E140" s="22" t="s">
        <v>132</v>
      </c>
      <c r="F140" s="22" t="s">
        <v>133</v>
      </c>
      <c r="G140" s="22" t="s">
        <v>134</v>
      </c>
      <c r="H140" s="22" t="s">
        <v>135</v>
      </c>
      <c r="I140" s="22" t="s">
        <v>136</v>
      </c>
    </row>
    <row r="141" customFormat="false" ht="15.75" hidden="false" customHeight="true" outlineLevel="0" collapsed="false">
      <c r="A141" s="22" t="s">
        <v>130</v>
      </c>
      <c r="B141" s="22" t="n">
        <v>2025</v>
      </c>
      <c r="C141" s="22" t="s">
        <v>140</v>
      </c>
      <c r="D141" s="23" t="n">
        <v>698261000000</v>
      </c>
      <c r="E141" s="22" t="s">
        <v>141</v>
      </c>
      <c r="F141" s="22" t="s">
        <v>133</v>
      </c>
      <c r="G141" s="22" t="s">
        <v>134</v>
      </c>
      <c r="H141" s="22" t="s">
        <v>135</v>
      </c>
      <c r="I141" s="22" t="s">
        <v>245</v>
      </c>
    </row>
    <row r="142" customFormat="false" ht="15.75" hidden="false" customHeight="true" outlineLevel="0" collapsed="false">
      <c r="A142" s="22" t="s">
        <v>130</v>
      </c>
      <c r="B142" s="22" t="n">
        <v>2025</v>
      </c>
      <c r="C142" s="22" t="s">
        <v>146</v>
      </c>
      <c r="D142" s="23" t="n">
        <v>-33125000000</v>
      </c>
      <c r="E142" s="22" t="s">
        <v>147</v>
      </c>
      <c r="F142" s="22" t="s">
        <v>133</v>
      </c>
      <c r="G142" s="22" t="s">
        <v>134</v>
      </c>
      <c r="H142" s="22" t="s">
        <v>135</v>
      </c>
      <c r="I142" s="22" t="s">
        <v>246</v>
      </c>
    </row>
    <row r="143" customFormat="false" ht="15.75" hidden="false" customHeight="true" outlineLevel="0" collapsed="false">
      <c r="A143" s="22" t="s">
        <v>130</v>
      </c>
      <c r="B143" s="22" t="n">
        <v>2025</v>
      </c>
      <c r="C143" s="22" t="s">
        <v>149</v>
      </c>
      <c r="D143" s="23" t="n">
        <v>120961000000</v>
      </c>
      <c r="E143" s="22" t="s">
        <v>150</v>
      </c>
      <c r="F143" s="22" t="s">
        <v>133</v>
      </c>
      <c r="G143" s="22" t="s">
        <v>134</v>
      </c>
      <c r="H143" s="22" t="s">
        <v>135</v>
      </c>
      <c r="I143" s="22" t="s">
        <v>247</v>
      </c>
    </row>
    <row r="144" customFormat="false" ht="15.75" hidden="false" customHeight="true" outlineLevel="0" collapsed="false">
      <c r="A144" s="22" t="s">
        <v>130</v>
      </c>
      <c r="B144" s="22" t="n">
        <v>2025</v>
      </c>
      <c r="C144" s="22" t="s">
        <v>152</v>
      </c>
      <c r="D144" s="23" t="n">
        <v>1483629000000</v>
      </c>
      <c r="E144" s="22" t="s">
        <v>153</v>
      </c>
      <c r="F144" s="22" t="s">
        <v>133</v>
      </c>
      <c r="G144" s="22" t="s">
        <v>134</v>
      </c>
      <c r="H144" s="22" t="s">
        <v>135</v>
      </c>
      <c r="I144" s="22" t="s">
        <v>248</v>
      </c>
    </row>
    <row r="145" customFormat="false" ht="15.75" hidden="false" customHeight="true" outlineLevel="0" collapsed="false">
      <c r="A145" s="22" t="s">
        <v>130</v>
      </c>
      <c r="B145" s="22" t="n">
        <v>2025</v>
      </c>
      <c r="C145" s="22" t="s">
        <v>155</v>
      </c>
      <c r="D145" s="23" t="n">
        <v>220541000000</v>
      </c>
      <c r="E145" s="22" t="s">
        <v>156</v>
      </c>
      <c r="F145" s="22" t="s">
        <v>133</v>
      </c>
      <c r="G145" s="22" t="s">
        <v>134</v>
      </c>
      <c r="H145" s="22" t="s">
        <v>135</v>
      </c>
      <c r="I145" s="22" t="s">
        <v>249</v>
      </c>
    </row>
    <row r="146" customFormat="false" ht="31.5" hidden="false" customHeight="true" outlineLevel="0" collapsed="false">
      <c r="A146" s="22" t="s">
        <v>138</v>
      </c>
      <c r="B146" s="22" t="n">
        <v>2025</v>
      </c>
      <c r="C146" s="22" t="s">
        <v>158</v>
      </c>
      <c r="D146" s="23" t="n">
        <v>0</v>
      </c>
      <c r="E146" s="22" t="s">
        <v>159</v>
      </c>
      <c r="F146" s="22" t="s">
        <v>133</v>
      </c>
      <c r="G146" s="22" t="s">
        <v>134</v>
      </c>
      <c r="H146" s="22" t="s">
        <v>135</v>
      </c>
      <c r="I146" s="22" t="s">
        <v>250</v>
      </c>
    </row>
    <row r="147" customFormat="false" ht="15.75" hidden="false" customHeight="true" outlineLevel="0" collapsed="false">
      <c r="A147" s="22" t="s">
        <v>138</v>
      </c>
      <c r="B147" s="22" t="n">
        <v>2025</v>
      </c>
      <c r="C147" s="22" t="s">
        <v>158</v>
      </c>
      <c r="D147" s="23" t="n">
        <v>0</v>
      </c>
      <c r="E147" s="22" t="s">
        <v>161</v>
      </c>
      <c r="F147" s="22" t="s">
        <v>133</v>
      </c>
      <c r="G147" s="22" t="s">
        <v>134</v>
      </c>
      <c r="H147" s="22" t="s">
        <v>135</v>
      </c>
      <c r="I147" s="22" t="s">
        <v>251</v>
      </c>
    </row>
    <row r="148" customFormat="false" ht="15.75" hidden="false" customHeight="true" outlineLevel="0" collapsed="false">
      <c r="A148" s="22" t="s">
        <v>138</v>
      </c>
      <c r="B148" s="22" t="n">
        <v>2025</v>
      </c>
      <c r="C148" s="22" t="s">
        <v>158</v>
      </c>
      <c r="D148" s="23" t="n">
        <v>0</v>
      </c>
      <c r="E148" s="22" t="s">
        <v>163</v>
      </c>
      <c r="F148" s="22" t="s">
        <v>133</v>
      </c>
      <c r="G148" s="22" t="s">
        <v>134</v>
      </c>
      <c r="H148" s="22" t="s">
        <v>135</v>
      </c>
      <c r="I148" s="22" t="s">
        <v>245</v>
      </c>
    </row>
    <row r="149" customFormat="false" ht="15.75" hidden="false" customHeight="true" outlineLevel="0" collapsed="false">
      <c r="A149" s="22" t="s">
        <v>138</v>
      </c>
      <c r="B149" s="22" t="n">
        <v>2025</v>
      </c>
      <c r="C149" s="22" t="s">
        <v>158</v>
      </c>
      <c r="D149" s="23" t="n">
        <v>0</v>
      </c>
      <c r="E149" s="22" t="s">
        <v>252</v>
      </c>
      <c r="F149" s="22" t="s">
        <v>133</v>
      </c>
      <c r="G149" s="22" t="s">
        <v>134</v>
      </c>
      <c r="H149" s="22" t="s">
        <v>135</v>
      </c>
      <c r="I149" s="22" t="s">
        <v>246</v>
      </c>
    </row>
    <row r="150" customFormat="false" ht="15.75" hidden="false" customHeight="true" outlineLevel="0" collapsed="false">
      <c r="A150" s="22" t="s">
        <v>138</v>
      </c>
      <c r="B150" s="22" t="n">
        <v>2025</v>
      </c>
      <c r="C150" s="22" t="s">
        <v>158</v>
      </c>
      <c r="D150" s="23" t="n">
        <v>0</v>
      </c>
      <c r="E150" s="22" t="s">
        <v>164</v>
      </c>
      <c r="F150" s="22" t="s">
        <v>133</v>
      </c>
      <c r="G150" s="22" t="s">
        <v>134</v>
      </c>
      <c r="H150" s="22" t="s">
        <v>135</v>
      </c>
      <c r="I150" s="22" t="s">
        <v>247</v>
      </c>
    </row>
    <row r="151" customFormat="false" ht="15.75" hidden="false" customHeight="true" outlineLevel="0" collapsed="false">
      <c r="A151" s="22" t="s">
        <v>138</v>
      </c>
      <c r="B151" s="22" t="n">
        <v>2025</v>
      </c>
      <c r="C151" s="22" t="s">
        <v>158</v>
      </c>
      <c r="D151" s="23" t="n">
        <v>0</v>
      </c>
      <c r="E151" s="22" t="s">
        <v>165</v>
      </c>
      <c r="F151" s="22" t="s">
        <v>133</v>
      </c>
      <c r="G151" s="22" t="s">
        <v>134</v>
      </c>
      <c r="H151" s="22" t="s">
        <v>135</v>
      </c>
      <c r="I151" s="22" t="s">
        <v>248</v>
      </c>
    </row>
    <row r="152" customFormat="false" ht="15.75" hidden="false" customHeight="true" outlineLevel="0" collapsed="false">
      <c r="A152" s="22" t="s">
        <v>138</v>
      </c>
      <c r="B152" s="22" t="n">
        <v>2025</v>
      </c>
      <c r="C152" s="22" t="s">
        <v>158</v>
      </c>
      <c r="D152" s="23" t="n">
        <v>0</v>
      </c>
      <c r="E152" s="22" t="s">
        <v>166</v>
      </c>
      <c r="F152" s="22" t="s">
        <v>133</v>
      </c>
      <c r="G152" s="22" t="s">
        <v>134</v>
      </c>
      <c r="H152" s="22" t="s">
        <v>135</v>
      </c>
      <c r="I152" s="22" t="s">
        <v>249</v>
      </c>
    </row>
    <row r="153" customFormat="false" ht="15.75" hidden="false" customHeight="true" outlineLevel="0" collapsed="false">
      <c r="A153" s="22" t="s">
        <v>138</v>
      </c>
      <c r="B153" s="22" t="n">
        <v>2025</v>
      </c>
      <c r="C153" s="22" t="s">
        <v>158</v>
      </c>
      <c r="D153" s="23" t="n">
        <v>0</v>
      </c>
      <c r="E153" s="22" t="s">
        <v>167</v>
      </c>
      <c r="F153" s="22" t="s">
        <v>133</v>
      </c>
      <c r="G153" s="22" t="s">
        <v>134</v>
      </c>
      <c r="H153" s="22" t="s">
        <v>135</v>
      </c>
      <c r="I153" s="22" t="s">
        <v>251</v>
      </c>
    </row>
    <row r="154" customFormat="false" ht="15.75" hidden="false" customHeight="true" outlineLevel="0" collapsed="false">
      <c r="A154" s="22" t="s">
        <v>130</v>
      </c>
      <c r="B154" s="22" t="n">
        <v>2025</v>
      </c>
      <c r="C154" s="22" t="s">
        <v>168</v>
      </c>
      <c r="D154" s="23" t="n">
        <v>1126000000</v>
      </c>
      <c r="E154" s="22" t="s">
        <v>169</v>
      </c>
      <c r="F154" s="22" t="s">
        <v>133</v>
      </c>
      <c r="G154" s="22" t="s">
        <v>134</v>
      </c>
      <c r="H154" s="22" t="s">
        <v>135</v>
      </c>
      <c r="I154" s="22" t="s">
        <v>170</v>
      </c>
    </row>
    <row r="155" customFormat="false" ht="15.75" hidden="false" customHeight="true" outlineLevel="0" collapsed="false">
      <c r="A155" s="22" t="s">
        <v>145</v>
      </c>
      <c r="B155" s="22" t="n">
        <v>2025</v>
      </c>
      <c r="C155" s="22" t="s">
        <v>171</v>
      </c>
      <c r="D155" s="22"/>
      <c r="E155" s="22" t="s">
        <v>172</v>
      </c>
      <c r="F155" s="22"/>
      <c r="G155" s="22"/>
      <c r="H155" s="22"/>
      <c r="I155" s="22" t="s">
        <v>148</v>
      </c>
    </row>
    <row r="156" customFormat="false" ht="31.5" hidden="false" customHeight="true" outlineLevel="0" collapsed="false">
      <c r="A156" s="22" t="s">
        <v>138</v>
      </c>
      <c r="B156" s="22" t="n">
        <v>2025</v>
      </c>
      <c r="C156" s="22" t="s">
        <v>173</v>
      </c>
      <c r="D156" s="23" t="n">
        <v>189000000</v>
      </c>
      <c r="E156" s="22" t="s">
        <v>174</v>
      </c>
      <c r="F156" s="22" t="s">
        <v>133</v>
      </c>
      <c r="G156" s="22" t="s">
        <v>134</v>
      </c>
      <c r="H156" s="22" t="s">
        <v>135</v>
      </c>
      <c r="I156" s="22" t="s">
        <v>175</v>
      </c>
    </row>
    <row r="157" customFormat="false" ht="15.75" hidden="false" customHeight="true" outlineLevel="0" collapsed="false">
      <c r="A157" s="22" t="s">
        <v>138</v>
      </c>
      <c r="B157" s="22" t="n">
        <v>2025</v>
      </c>
      <c r="C157" s="22" t="s">
        <v>173</v>
      </c>
      <c r="D157" s="23" t="n">
        <v>189000000</v>
      </c>
      <c r="E157" s="22" t="s">
        <v>176</v>
      </c>
      <c r="F157" s="22" t="s">
        <v>133</v>
      </c>
      <c r="G157" s="22" t="s">
        <v>134</v>
      </c>
      <c r="H157" s="22" t="s">
        <v>135</v>
      </c>
      <c r="I157" s="22" t="s">
        <v>177</v>
      </c>
    </row>
    <row r="158" customFormat="false" ht="15.75" hidden="false" customHeight="true" outlineLevel="0" collapsed="false">
      <c r="A158" s="22" t="s">
        <v>138</v>
      </c>
      <c r="B158" s="22" t="n">
        <v>2025</v>
      </c>
      <c r="C158" s="22" t="s">
        <v>173</v>
      </c>
      <c r="D158" s="23" t="n">
        <v>189000000</v>
      </c>
      <c r="E158" s="22" t="s">
        <v>178</v>
      </c>
      <c r="F158" s="22" t="s">
        <v>133</v>
      </c>
      <c r="G158" s="22" t="s">
        <v>134</v>
      </c>
      <c r="H158" s="22" t="s">
        <v>135</v>
      </c>
      <c r="I158" s="22" t="s">
        <v>179</v>
      </c>
    </row>
    <row r="159" customFormat="false" ht="15.75" hidden="false" customHeight="true" outlineLevel="0" collapsed="false">
      <c r="A159" s="22" t="s">
        <v>138</v>
      </c>
      <c r="B159" s="22" t="n">
        <v>2025</v>
      </c>
      <c r="C159" s="22" t="s">
        <v>173</v>
      </c>
      <c r="D159" s="23" t="n">
        <v>189000000</v>
      </c>
      <c r="E159" s="22" t="s">
        <v>180</v>
      </c>
      <c r="F159" s="22" t="s">
        <v>133</v>
      </c>
      <c r="G159" s="22" t="s">
        <v>134</v>
      </c>
      <c r="H159" s="22" t="s">
        <v>135</v>
      </c>
      <c r="I159" s="22" t="s">
        <v>181</v>
      </c>
    </row>
    <row r="160" customFormat="false" ht="15.75" hidden="false" customHeight="true" outlineLevel="0" collapsed="false">
      <c r="A160" s="22" t="s">
        <v>138</v>
      </c>
      <c r="B160" s="22" t="n">
        <v>2025</v>
      </c>
      <c r="C160" s="22" t="s">
        <v>173</v>
      </c>
      <c r="D160" s="23" t="n">
        <v>189000000</v>
      </c>
      <c r="E160" s="22" t="s">
        <v>182</v>
      </c>
      <c r="F160" s="22" t="s">
        <v>133</v>
      </c>
      <c r="G160" s="22" t="s">
        <v>134</v>
      </c>
      <c r="H160" s="22" t="s">
        <v>135</v>
      </c>
      <c r="I160" s="22" t="s">
        <v>183</v>
      </c>
    </row>
    <row r="161" customFormat="false" ht="31.5" hidden="false" customHeight="true" outlineLevel="0" collapsed="false">
      <c r="A161" s="22" t="s">
        <v>138</v>
      </c>
      <c r="B161" s="22" t="n">
        <v>2025</v>
      </c>
      <c r="C161" s="22" t="s">
        <v>173</v>
      </c>
      <c r="D161" s="23" t="n">
        <v>189000000</v>
      </c>
      <c r="E161" s="22" t="s">
        <v>184</v>
      </c>
      <c r="F161" s="22" t="s">
        <v>133</v>
      </c>
      <c r="G161" s="22" t="s">
        <v>134</v>
      </c>
      <c r="H161" s="22" t="s">
        <v>135</v>
      </c>
      <c r="I161" s="22" t="s">
        <v>185</v>
      </c>
    </row>
    <row r="162" customFormat="false" ht="15.75" hidden="false" customHeight="true" outlineLevel="0" collapsed="false">
      <c r="A162" s="22" t="s">
        <v>138</v>
      </c>
      <c r="B162" s="22" t="n">
        <v>2025</v>
      </c>
      <c r="C162" s="22" t="s">
        <v>173</v>
      </c>
      <c r="D162" s="23" t="n">
        <v>189000000</v>
      </c>
      <c r="E162" s="22" t="s">
        <v>186</v>
      </c>
      <c r="F162" s="22" t="s">
        <v>133</v>
      </c>
      <c r="G162" s="22" t="s">
        <v>134</v>
      </c>
      <c r="H162" s="22" t="s">
        <v>135</v>
      </c>
      <c r="I162" s="22" t="s">
        <v>187</v>
      </c>
    </row>
    <row r="163" customFormat="false" ht="15.75" hidden="false" customHeight="true" outlineLevel="0" collapsed="false">
      <c r="A163" s="22" t="s">
        <v>130</v>
      </c>
      <c r="B163" s="22" t="n">
        <v>2025</v>
      </c>
      <c r="C163" s="22" t="s">
        <v>188</v>
      </c>
      <c r="D163" s="23" t="n">
        <v>18474000000</v>
      </c>
      <c r="E163" s="22" t="s">
        <v>189</v>
      </c>
      <c r="F163" s="22" t="s">
        <v>133</v>
      </c>
      <c r="G163" s="22" t="s">
        <v>134</v>
      </c>
      <c r="H163" s="22" t="s">
        <v>135</v>
      </c>
      <c r="I163" s="22" t="s">
        <v>190</v>
      </c>
    </row>
    <row r="164" customFormat="false" ht="15.75" hidden="false" customHeight="true" outlineLevel="0" collapsed="false">
      <c r="A164" s="22" t="s">
        <v>138</v>
      </c>
      <c r="B164" s="22" t="n">
        <v>2025</v>
      </c>
      <c r="C164" s="22" t="s">
        <v>191</v>
      </c>
      <c r="D164" s="22" t="n">
        <v>0.0014436890357585</v>
      </c>
      <c r="E164" s="22" t="s">
        <v>189</v>
      </c>
      <c r="F164" s="22" t="s">
        <v>133</v>
      </c>
      <c r="G164" s="22" t="s">
        <v>134</v>
      </c>
      <c r="H164" s="22" t="s">
        <v>135</v>
      </c>
      <c r="I164" s="22" t="s">
        <v>190</v>
      </c>
    </row>
    <row r="165" customFormat="false" ht="15.75" hidden="false" customHeight="true" outlineLevel="0" collapsed="false">
      <c r="A165" s="22" t="s">
        <v>138</v>
      </c>
      <c r="B165" s="22" t="n">
        <v>2025</v>
      </c>
      <c r="C165" s="22" t="s">
        <v>191</v>
      </c>
      <c r="D165" s="22" t="n">
        <v>0.0014436890357585</v>
      </c>
      <c r="E165" s="22" t="s">
        <v>132</v>
      </c>
      <c r="F165" s="22" t="s">
        <v>133</v>
      </c>
      <c r="G165" s="22" t="s">
        <v>134</v>
      </c>
      <c r="H165" s="22" t="s">
        <v>135</v>
      </c>
      <c r="I165" s="22" t="s">
        <v>136</v>
      </c>
    </row>
    <row r="166" customFormat="false" ht="15.75" hidden="false" customHeight="true" outlineLevel="0" collapsed="false">
      <c r="A166" s="22" t="s">
        <v>138</v>
      </c>
      <c r="B166" s="22" t="n">
        <v>2025</v>
      </c>
      <c r="C166" s="22" t="s">
        <v>191</v>
      </c>
      <c r="D166" s="22" t="n">
        <v>0.0014436890357585</v>
      </c>
      <c r="E166" s="22" t="s">
        <v>132</v>
      </c>
      <c r="F166" s="22" t="s">
        <v>133</v>
      </c>
      <c r="G166" s="22" t="s">
        <v>134</v>
      </c>
      <c r="H166" s="22" t="s">
        <v>135</v>
      </c>
      <c r="I166" s="22" t="s">
        <v>136</v>
      </c>
    </row>
    <row r="167" customFormat="false" ht="15.75" hidden="false" customHeight="true" outlineLevel="0" collapsed="false">
      <c r="A167" s="22" t="s">
        <v>145</v>
      </c>
      <c r="B167" s="22" t="n">
        <v>2025</v>
      </c>
      <c r="C167" s="22" t="s">
        <v>192</v>
      </c>
      <c r="D167" s="22"/>
      <c r="E167" s="22" t="s">
        <v>193</v>
      </c>
      <c r="F167" s="22"/>
      <c r="G167" s="22"/>
      <c r="H167" s="22"/>
      <c r="I167" s="22" t="s">
        <v>148</v>
      </c>
    </row>
    <row r="168" customFormat="false" ht="15.75" hidden="false" customHeight="true" outlineLevel="0" collapsed="false">
      <c r="A168" s="22" t="s">
        <v>130</v>
      </c>
      <c r="B168" s="22" t="n">
        <v>2025</v>
      </c>
      <c r="C168" s="22" t="s">
        <v>194</v>
      </c>
      <c r="D168" s="23" t="n">
        <v>1424000000</v>
      </c>
      <c r="E168" s="22" t="s">
        <v>195</v>
      </c>
      <c r="F168" s="22" t="s">
        <v>133</v>
      </c>
      <c r="G168" s="22" t="s">
        <v>134</v>
      </c>
      <c r="H168" s="22" t="s">
        <v>135</v>
      </c>
      <c r="I168" s="22" t="s">
        <v>190</v>
      </c>
    </row>
    <row r="169" customFormat="false" ht="15.75" hidden="false" customHeight="true" outlineLevel="0" collapsed="false">
      <c r="A169" s="22" t="s">
        <v>130</v>
      </c>
      <c r="B169" s="22" t="n">
        <v>2025</v>
      </c>
      <c r="C169" s="22" t="s">
        <v>196</v>
      </c>
      <c r="D169" s="23" t="n">
        <v>705000000</v>
      </c>
      <c r="E169" s="22" t="s">
        <v>197</v>
      </c>
      <c r="F169" s="22" t="s">
        <v>133</v>
      </c>
      <c r="G169" s="22" t="s">
        <v>134</v>
      </c>
      <c r="H169" s="22" t="s">
        <v>135</v>
      </c>
      <c r="I169" s="22" t="s">
        <v>190</v>
      </c>
    </row>
    <row r="170" customFormat="false" ht="15.75" hidden="false" customHeight="true" outlineLevel="0" collapsed="false">
      <c r="A170" s="22" t="s">
        <v>130</v>
      </c>
      <c r="B170" s="22" t="n">
        <v>2025</v>
      </c>
      <c r="C170" s="22" t="s">
        <v>198</v>
      </c>
      <c r="D170" s="23" t="n">
        <v>1981000000</v>
      </c>
      <c r="E170" s="22" t="s">
        <v>199</v>
      </c>
      <c r="F170" s="22" t="s">
        <v>133</v>
      </c>
      <c r="G170" s="22" t="s">
        <v>134</v>
      </c>
      <c r="H170" s="22" t="s">
        <v>135</v>
      </c>
      <c r="I170" s="22" t="s">
        <v>190</v>
      </c>
    </row>
    <row r="171" customFormat="false" ht="15.75" hidden="false" customHeight="true" outlineLevel="0" collapsed="false">
      <c r="A171" s="22" t="s">
        <v>130</v>
      </c>
      <c r="B171" s="22" t="n">
        <v>2025</v>
      </c>
      <c r="C171" s="22" t="s">
        <v>200</v>
      </c>
      <c r="D171" s="23" t="n">
        <v>1355000000</v>
      </c>
      <c r="E171" s="22" t="s">
        <v>201</v>
      </c>
      <c r="F171" s="22" t="s">
        <v>133</v>
      </c>
      <c r="G171" s="22" t="s">
        <v>134</v>
      </c>
      <c r="H171" s="22" t="s">
        <v>135</v>
      </c>
      <c r="I171" s="22" t="s">
        <v>190</v>
      </c>
    </row>
    <row r="172" customFormat="false" ht="15.75" hidden="false" customHeight="true" outlineLevel="0" collapsed="false">
      <c r="A172" s="22" t="s">
        <v>145</v>
      </c>
      <c r="B172" s="22" t="n">
        <v>2025</v>
      </c>
      <c r="C172" s="22" t="s">
        <v>202</v>
      </c>
      <c r="D172" s="22"/>
      <c r="E172" s="22" t="s">
        <v>203</v>
      </c>
      <c r="F172" s="22"/>
      <c r="G172" s="22"/>
      <c r="H172" s="22"/>
      <c r="I172" s="22" t="s">
        <v>148</v>
      </c>
    </row>
    <row r="173" customFormat="false" ht="15.75" hidden="false" customHeight="true" outlineLevel="0" collapsed="false">
      <c r="A173" s="22" t="s">
        <v>130</v>
      </c>
      <c r="B173" s="22" t="n">
        <v>2025</v>
      </c>
      <c r="C173" s="22" t="s">
        <v>204</v>
      </c>
      <c r="D173" s="23" t="n">
        <v>277000000</v>
      </c>
      <c r="E173" s="22" t="s">
        <v>205</v>
      </c>
      <c r="F173" s="22" t="s">
        <v>133</v>
      </c>
      <c r="G173" s="22" t="s">
        <v>134</v>
      </c>
      <c r="H173" s="22" t="s">
        <v>135</v>
      </c>
      <c r="I173" s="22" t="s">
        <v>190</v>
      </c>
    </row>
    <row r="174" customFormat="false" ht="15.75" hidden="false" customHeight="true" outlineLevel="0" collapsed="false">
      <c r="A174" s="22" t="s">
        <v>138</v>
      </c>
      <c r="B174" s="22" t="n">
        <v>2025</v>
      </c>
      <c r="C174" s="22" t="s">
        <v>206</v>
      </c>
      <c r="D174" s="23" t="n">
        <v>0</v>
      </c>
      <c r="E174" s="22" t="s">
        <v>207</v>
      </c>
      <c r="F174" s="22" t="s">
        <v>133</v>
      </c>
      <c r="G174" s="22" t="s">
        <v>134</v>
      </c>
      <c r="H174" s="22" t="s">
        <v>208</v>
      </c>
      <c r="I174" s="22" t="s">
        <v>209</v>
      </c>
    </row>
    <row r="175" customFormat="false" ht="15.75" hidden="false" customHeight="true" outlineLevel="0" collapsed="false">
      <c r="A175" s="22" t="s">
        <v>138</v>
      </c>
      <c r="B175" s="22" t="n">
        <v>2025</v>
      </c>
      <c r="C175" s="22" t="s">
        <v>206</v>
      </c>
      <c r="D175" s="23" t="n">
        <v>0</v>
      </c>
      <c r="E175" s="22" t="s">
        <v>189</v>
      </c>
      <c r="F175" s="22" t="s">
        <v>133</v>
      </c>
      <c r="G175" s="22" t="s">
        <v>134</v>
      </c>
      <c r="H175" s="22" t="s">
        <v>135</v>
      </c>
      <c r="I175" s="22" t="s">
        <v>190</v>
      </c>
    </row>
    <row r="176" customFormat="false" ht="15.75" hidden="false" customHeight="true" outlineLevel="0" collapsed="false">
      <c r="A176" s="22" t="s">
        <v>138</v>
      </c>
      <c r="B176" s="22" t="n">
        <v>2025</v>
      </c>
      <c r="C176" s="22" t="s">
        <v>206</v>
      </c>
      <c r="D176" s="23" t="n">
        <v>0</v>
      </c>
      <c r="E176" s="22" t="s">
        <v>195</v>
      </c>
      <c r="F176" s="22" t="s">
        <v>133</v>
      </c>
      <c r="G176" s="22" t="s">
        <v>134</v>
      </c>
      <c r="H176" s="22" t="s">
        <v>135</v>
      </c>
      <c r="I176" s="22" t="s">
        <v>190</v>
      </c>
    </row>
    <row r="177" customFormat="false" ht="15.75" hidden="false" customHeight="true" outlineLevel="0" collapsed="false">
      <c r="A177" s="22" t="s">
        <v>138</v>
      </c>
      <c r="B177" s="22" t="n">
        <v>2025</v>
      </c>
      <c r="C177" s="22" t="s">
        <v>206</v>
      </c>
      <c r="D177" s="23" t="n">
        <v>0</v>
      </c>
      <c r="E177" s="22" t="s">
        <v>197</v>
      </c>
      <c r="F177" s="22" t="s">
        <v>133</v>
      </c>
      <c r="G177" s="22" t="s">
        <v>134</v>
      </c>
      <c r="H177" s="22" t="s">
        <v>135</v>
      </c>
      <c r="I177" s="22" t="s">
        <v>190</v>
      </c>
    </row>
    <row r="178" customFormat="false" ht="15.75" hidden="false" customHeight="true" outlineLevel="0" collapsed="false">
      <c r="A178" s="22" t="s">
        <v>138</v>
      </c>
      <c r="B178" s="22" t="n">
        <v>2025</v>
      </c>
      <c r="C178" s="22" t="s">
        <v>206</v>
      </c>
      <c r="D178" s="23" t="n">
        <v>0</v>
      </c>
      <c r="E178" s="22" t="s">
        <v>199</v>
      </c>
      <c r="F178" s="22" t="s">
        <v>133</v>
      </c>
      <c r="G178" s="22" t="s">
        <v>134</v>
      </c>
      <c r="H178" s="22" t="s">
        <v>135</v>
      </c>
      <c r="I178" s="22" t="s">
        <v>190</v>
      </c>
    </row>
    <row r="179" customFormat="false" ht="15.75" hidden="false" customHeight="true" outlineLevel="0" collapsed="false">
      <c r="A179" s="22" t="s">
        <v>138</v>
      </c>
      <c r="B179" s="22" t="n">
        <v>2025</v>
      </c>
      <c r="C179" s="22" t="s">
        <v>206</v>
      </c>
      <c r="D179" s="23" t="n">
        <v>0</v>
      </c>
      <c r="E179" s="22" t="s">
        <v>201</v>
      </c>
      <c r="F179" s="22" t="s">
        <v>133</v>
      </c>
      <c r="G179" s="22" t="s">
        <v>134</v>
      </c>
      <c r="H179" s="22" t="s">
        <v>135</v>
      </c>
      <c r="I179" s="22" t="s">
        <v>190</v>
      </c>
    </row>
    <row r="180" customFormat="false" ht="15.75" hidden="false" customHeight="true" outlineLevel="0" collapsed="false">
      <c r="A180" s="22" t="s">
        <v>138</v>
      </c>
      <c r="B180" s="22" t="n">
        <v>2025</v>
      </c>
      <c r="C180" s="22" t="s">
        <v>206</v>
      </c>
      <c r="D180" s="23" t="n">
        <v>0</v>
      </c>
      <c r="E180" s="22" t="s">
        <v>205</v>
      </c>
      <c r="F180" s="22" t="s">
        <v>133</v>
      </c>
      <c r="G180" s="22" t="s">
        <v>134</v>
      </c>
      <c r="H180" s="22" t="s">
        <v>135</v>
      </c>
      <c r="I180" s="22" t="s">
        <v>190</v>
      </c>
    </row>
    <row r="181" customFormat="false" ht="15.75" hidden="false" customHeight="true" outlineLevel="0" collapsed="false">
      <c r="A181" s="22" t="s">
        <v>130</v>
      </c>
      <c r="B181" s="22" t="n">
        <v>2025</v>
      </c>
      <c r="C181" s="22" t="s">
        <v>210</v>
      </c>
      <c r="D181" s="23" t="n">
        <v>24216000000</v>
      </c>
      <c r="E181" s="22" t="s">
        <v>207</v>
      </c>
      <c r="F181" s="22" t="s">
        <v>133</v>
      </c>
      <c r="G181" s="22" t="s">
        <v>134</v>
      </c>
      <c r="H181" s="22" t="s">
        <v>208</v>
      </c>
      <c r="I181" s="22" t="s">
        <v>209</v>
      </c>
    </row>
    <row r="182" customFormat="false" ht="15.75" hidden="false" customHeight="true" outlineLevel="0" collapsed="false">
      <c r="A182" s="22" t="s">
        <v>130</v>
      </c>
      <c r="B182" s="22" t="n">
        <v>2025</v>
      </c>
      <c r="C182" s="22" t="s">
        <v>77</v>
      </c>
      <c r="D182" s="23" t="n">
        <v>7045000000</v>
      </c>
      <c r="E182" s="22" t="s">
        <v>211</v>
      </c>
      <c r="F182" s="22" t="s">
        <v>133</v>
      </c>
      <c r="G182" s="22" t="s">
        <v>134</v>
      </c>
      <c r="H182" s="22" t="s">
        <v>208</v>
      </c>
      <c r="I182" s="22" t="s">
        <v>209</v>
      </c>
    </row>
    <row r="183" customFormat="false" ht="15.75" hidden="false" customHeight="true" outlineLevel="0" collapsed="false">
      <c r="A183" s="22" t="s">
        <v>130</v>
      </c>
      <c r="B183" s="22" t="n">
        <v>2025</v>
      </c>
      <c r="C183" s="22" t="s">
        <v>212</v>
      </c>
      <c r="D183" s="23" t="n">
        <v>614000000</v>
      </c>
      <c r="E183" s="22" t="s">
        <v>213</v>
      </c>
      <c r="F183" s="22" t="s">
        <v>133</v>
      </c>
      <c r="G183" s="22" t="s">
        <v>134</v>
      </c>
      <c r="H183" s="22" t="s">
        <v>208</v>
      </c>
      <c r="I183" s="22" t="s">
        <v>209</v>
      </c>
    </row>
    <row r="184" customFormat="false" ht="15.75" hidden="false" customHeight="true" outlineLevel="0" collapsed="false">
      <c r="A184" s="22" t="s">
        <v>138</v>
      </c>
      <c r="B184" s="22" t="n">
        <v>2025</v>
      </c>
      <c r="C184" s="22" t="s">
        <v>214</v>
      </c>
      <c r="D184" s="23" t="n">
        <v>0.220107625672661</v>
      </c>
      <c r="E184" s="22" t="s">
        <v>215</v>
      </c>
      <c r="F184" s="22" t="s">
        <v>133</v>
      </c>
      <c r="G184" s="22" t="s">
        <v>134</v>
      </c>
      <c r="H184" s="22" t="s">
        <v>208</v>
      </c>
      <c r="I184" s="22" t="s">
        <v>209</v>
      </c>
    </row>
    <row r="185" customFormat="false" ht="15.75" hidden="false" customHeight="true" outlineLevel="0" collapsed="false">
      <c r="A185" s="22" t="s">
        <v>138</v>
      </c>
      <c r="B185" s="22" t="n">
        <v>2025</v>
      </c>
      <c r="C185" s="22" t="s">
        <v>214</v>
      </c>
      <c r="D185" s="23" t="n">
        <v>0.220107625672661</v>
      </c>
      <c r="E185" s="22" t="s">
        <v>216</v>
      </c>
      <c r="F185" s="22" t="s">
        <v>133</v>
      </c>
      <c r="G185" s="22" t="s">
        <v>134</v>
      </c>
      <c r="H185" s="22" t="s">
        <v>208</v>
      </c>
      <c r="I185" s="22" t="s">
        <v>209</v>
      </c>
    </row>
    <row r="186" customFormat="false" ht="15.75" hidden="false" customHeight="true" outlineLevel="0" collapsed="false">
      <c r="A186" s="22" t="s">
        <v>130</v>
      </c>
      <c r="B186" s="22" t="n">
        <v>2025</v>
      </c>
      <c r="C186" s="22" t="s">
        <v>217</v>
      </c>
      <c r="D186" s="23" t="n">
        <v>375000000</v>
      </c>
      <c r="E186" s="22" t="s">
        <v>218</v>
      </c>
      <c r="F186" s="22" t="s">
        <v>133</v>
      </c>
      <c r="G186" s="22" t="s">
        <v>134</v>
      </c>
      <c r="H186" s="22" t="s">
        <v>208</v>
      </c>
      <c r="I186" s="22" t="s">
        <v>219</v>
      </c>
    </row>
    <row r="187" customFormat="false" ht="15.75" hidden="false" customHeight="true" outlineLevel="0" collapsed="false">
      <c r="A187" s="22" t="s">
        <v>130</v>
      </c>
      <c r="B187" s="22" t="n">
        <v>2025</v>
      </c>
      <c r="C187" s="22" t="s">
        <v>220</v>
      </c>
      <c r="D187" s="23" t="n">
        <v>11468000000</v>
      </c>
      <c r="E187" s="22" t="s">
        <v>221</v>
      </c>
      <c r="F187" s="22" t="s">
        <v>133</v>
      </c>
      <c r="G187" s="22" t="s">
        <v>134</v>
      </c>
      <c r="H187" s="22" t="s">
        <v>208</v>
      </c>
      <c r="I187" s="22" t="s">
        <v>222</v>
      </c>
    </row>
    <row r="188" customFormat="false" ht="15.75" hidden="false" customHeight="true" outlineLevel="0" collapsed="false">
      <c r="A188" s="22" t="s">
        <v>239</v>
      </c>
      <c r="B188" s="22" t="n">
        <v>2025</v>
      </c>
      <c r="C188" s="22" t="s">
        <v>223</v>
      </c>
      <c r="D188" s="22"/>
      <c r="E188" s="22" t="s">
        <v>240</v>
      </c>
      <c r="F188" s="22" t="s">
        <v>133</v>
      </c>
      <c r="G188" s="22" t="s">
        <v>134</v>
      </c>
      <c r="H188" s="22" t="s">
        <v>208</v>
      </c>
      <c r="I188" s="22" t="s">
        <v>238</v>
      </c>
    </row>
    <row r="189" customFormat="false" ht="15.75" hidden="false" customHeight="true" outlineLevel="0" collapsed="false">
      <c r="A189" s="22" t="s">
        <v>239</v>
      </c>
      <c r="B189" s="22" t="n">
        <v>2025</v>
      </c>
      <c r="C189" s="22" t="s">
        <v>223</v>
      </c>
      <c r="D189" s="22"/>
      <c r="E189" s="22" t="s">
        <v>241</v>
      </c>
      <c r="F189" s="22" t="s">
        <v>133</v>
      </c>
      <c r="G189" s="22" t="s">
        <v>134</v>
      </c>
      <c r="H189" s="22" t="s">
        <v>208</v>
      </c>
      <c r="I189" s="22" t="s">
        <v>238</v>
      </c>
    </row>
    <row r="190" customFormat="false" ht="15.75" hidden="false" customHeight="true" outlineLevel="0" collapsed="false">
      <c r="A190" s="22" t="s">
        <v>138</v>
      </c>
      <c r="B190" s="22" t="n">
        <v>2025</v>
      </c>
      <c r="C190" s="22" t="s">
        <v>225</v>
      </c>
      <c r="D190" s="23" t="n">
        <v>12768000000</v>
      </c>
      <c r="E190" s="22" t="s">
        <v>242</v>
      </c>
      <c r="F190" s="22" t="s">
        <v>133</v>
      </c>
      <c r="G190" s="22" t="s">
        <v>134</v>
      </c>
      <c r="H190" s="22" t="s">
        <v>208</v>
      </c>
      <c r="I190" s="22" t="s">
        <v>238</v>
      </c>
    </row>
    <row r="191" customFormat="false" ht="15.75" hidden="false" customHeight="true" outlineLevel="0" collapsed="false">
      <c r="A191" s="22" t="s">
        <v>138</v>
      </c>
      <c r="B191" s="22" t="n">
        <v>2025</v>
      </c>
      <c r="C191" s="22" t="s">
        <v>225</v>
      </c>
      <c r="D191" s="23" t="n">
        <v>12768000000</v>
      </c>
      <c r="E191" s="22" t="s">
        <v>243</v>
      </c>
      <c r="F191" s="22" t="s">
        <v>133</v>
      </c>
      <c r="G191" s="22" t="s">
        <v>134</v>
      </c>
      <c r="H191" s="22" t="s">
        <v>208</v>
      </c>
      <c r="I191" s="22" t="s">
        <v>238</v>
      </c>
    </row>
    <row r="192" customFormat="false" ht="15.75" hidden="false" customHeight="true" outlineLevel="0" collapsed="false">
      <c r="A192" s="22" t="s">
        <v>138</v>
      </c>
      <c r="B192" s="22" t="n">
        <v>2025</v>
      </c>
      <c r="C192" s="22" t="s">
        <v>225</v>
      </c>
      <c r="D192" s="23" t="n">
        <v>12768000000</v>
      </c>
      <c r="E192" s="22" t="s">
        <v>226</v>
      </c>
      <c r="F192" s="22" t="s">
        <v>133</v>
      </c>
      <c r="G192" s="22" t="s">
        <v>134</v>
      </c>
      <c r="H192" s="22" t="s">
        <v>208</v>
      </c>
      <c r="I192" s="22" t="s">
        <v>222</v>
      </c>
    </row>
    <row r="193" customFormat="false" ht="31.5" hidden="false" customHeight="true" outlineLevel="0" collapsed="false">
      <c r="A193" s="22" t="s">
        <v>138</v>
      </c>
      <c r="B193" s="22" t="n">
        <v>2025</v>
      </c>
      <c r="C193" s="22" t="s">
        <v>227</v>
      </c>
      <c r="D193" s="23" t="n">
        <v>189000000</v>
      </c>
      <c r="E193" s="22" t="s">
        <v>174</v>
      </c>
      <c r="F193" s="22" t="s">
        <v>133</v>
      </c>
      <c r="G193" s="22" t="s">
        <v>134</v>
      </c>
      <c r="H193" s="22" t="s">
        <v>135</v>
      </c>
      <c r="I193" s="22" t="s">
        <v>175</v>
      </c>
    </row>
    <row r="194" customFormat="false" ht="15.75" hidden="false" customHeight="true" outlineLevel="0" collapsed="false">
      <c r="A194" s="22" t="s">
        <v>138</v>
      </c>
      <c r="B194" s="22" t="n">
        <v>2025</v>
      </c>
      <c r="C194" s="22" t="s">
        <v>227</v>
      </c>
      <c r="D194" s="23" t="n">
        <v>189000000</v>
      </c>
      <c r="E194" s="22" t="s">
        <v>176</v>
      </c>
      <c r="F194" s="22" t="s">
        <v>133</v>
      </c>
      <c r="G194" s="22" t="s">
        <v>134</v>
      </c>
      <c r="H194" s="22" t="s">
        <v>135</v>
      </c>
      <c r="I194" s="22" t="s">
        <v>177</v>
      </c>
    </row>
    <row r="195" customFormat="false" ht="15.75" hidden="false" customHeight="true" outlineLevel="0" collapsed="false">
      <c r="A195" s="22" t="s">
        <v>138</v>
      </c>
      <c r="B195" s="22" t="n">
        <v>2025</v>
      </c>
      <c r="C195" s="22" t="s">
        <v>227</v>
      </c>
      <c r="D195" s="23" t="n">
        <v>189000000</v>
      </c>
      <c r="E195" s="22" t="s">
        <v>178</v>
      </c>
      <c r="F195" s="22" t="s">
        <v>133</v>
      </c>
      <c r="G195" s="22" t="s">
        <v>134</v>
      </c>
      <c r="H195" s="22" t="s">
        <v>135</v>
      </c>
      <c r="I195" s="22" t="s">
        <v>179</v>
      </c>
    </row>
    <row r="196" customFormat="false" ht="15.75" hidden="false" customHeight="true" outlineLevel="0" collapsed="false">
      <c r="A196" s="22" t="s">
        <v>138</v>
      </c>
      <c r="B196" s="22" t="n">
        <v>2025</v>
      </c>
      <c r="C196" s="22" t="s">
        <v>227</v>
      </c>
      <c r="D196" s="23" t="n">
        <v>189000000</v>
      </c>
      <c r="E196" s="22" t="s">
        <v>180</v>
      </c>
      <c r="F196" s="22" t="s">
        <v>133</v>
      </c>
      <c r="G196" s="22" t="s">
        <v>134</v>
      </c>
      <c r="H196" s="22" t="s">
        <v>135</v>
      </c>
      <c r="I196" s="22" t="s">
        <v>181</v>
      </c>
    </row>
    <row r="197" customFormat="false" ht="15.75" hidden="false" customHeight="true" outlineLevel="0" collapsed="false">
      <c r="A197" s="22" t="s">
        <v>138</v>
      </c>
      <c r="B197" s="22" t="n">
        <v>2025</v>
      </c>
      <c r="C197" s="22" t="s">
        <v>227</v>
      </c>
      <c r="D197" s="23" t="n">
        <v>189000000</v>
      </c>
      <c r="E197" s="22" t="s">
        <v>182</v>
      </c>
      <c r="F197" s="22" t="s">
        <v>133</v>
      </c>
      <c r="G197" s="22" t="s">
        <v>134</v>
      </c>
      <c r="H197" s="22" t="s">
        <v>135</v>
      </c>
      <c r="I197" s="22" t="s">
        <v>183</v>
      </c>
    </row>
    <row r="198" customFormat="false" ht="31.5" hidden="false" customHeight="true" outlineLevel="0" collapsed="false">
      <c r="A198" s="22" t="s">
        <v>138</v>
      </c>
      <c r="B198" s="22" t="n">
        <v>2025</v>
      </c>
      <c r="C198" s="22" t="s">
        <v>227</v>
      </c>
      <c r="D198" s="23" t="n">
        <v>189000000</v>
      </c>
      <c r="E198" s="22" t="s">
        <v>184</v>
      </c>
      <c r="F198" s="22" t="s">
        <v>133</v>
      </c>
      <c r="G198" s="22" t="s">
        <v>134</v>
      </c>
      <c r="H198" s="22" t="s">
        <v>135</v>
      </c>
      <c r="I198" s="22" t="s">
        <v>185</v>
      </c>
    </row>
    <row r="199" customFormat="false" ht="15.75" hidden="false" customHeight="true" outlineLevel="0" collapsed="false">
      <c r="A199" s="22" t="s">
        <v>138</v>
      </c>
      <c r="B199" s="22" t="n">
        <v>2025</v>
      </c>
      <c r="C199" s="22" t="s">
        <v>227</v>
      </c>
      <c r="D199" s="23" t="n">
        <v>189000000</v>
      </c>
      <c r="E199" s="22" t="s">
        <v>186</v>
      </c>
      <c r="F199" s="22" t="s">
        <v>133</v>
      </c>
      <c r="G199" s="22" t="s">
        <v>134</v>
      </c>
      <c r="H199" s="22" t="s">
        <v>135</v>
      </c>
      <c r="I199" s="22" t="s">
        <v>187</v>
      </c>
    </row>
    <row r="200" customFormat="false" ht="15.75" hidden="false" customHeight="true" outlineLevel="0" collapsed="false">
      <c r="A200" s="22" t="s">
        <v>130</v>
      </c>
      <c r="B200" s="22" t="n">
        <v>2025</v>
      </c>
      <c r="C200" s="22" t="s">
        <v>228</v>
      </c>
      <c r="D200" s="23" t="n">
        <v>1126000000</v>
      </c>
      <c r="E200" s="22" t="s">
        <v>169</v>
      </c>
      <c r="F200" s="22" t="s">
        <v>133</v>
      </c>
      <c r="G200" s="22" t="s">
        <v>134</v>
      </c>
      <c r="H200" s="22" t="s">
        <v>135</v>
      </c>
      <c r="I200" s="22" t="s">
        <v>170</v>
      </c>
    </row>
    <row r="201" customFormat="false" ht="15.75" hidden="false" customHeight="true" outlineLevel="0" collapsed="false">
      <c r="A201" s="22" t="s">
        <v>145</v>
      </c>
      <c r="B201" s="22" t="n">
        <v>2025</v>
      </c>
      <c r="C201" s="22" t="s">
        <v>229</v>
      </c>
      <c r="D201" s="22"/>
      <c r="E201" s="22" t="s">
        <v>172</v>
      </c>
      <c r="F201" s="22"/>
      <c r="G201" s="22"/>
      <c r="H201" s="22"/>
      <c r="I201" s="22" t="s">
        <v>148</v>
      </c>
    </row>
    <row r="202" customFormat="false" ht="15.75" hidden="false" customHeight="true" outlineLevel="0" collapsed="false">
      <c r="A202" s="22" t="s">
        <v>130</v>
      </c>
      <c r="B202" s="22" t="n">
        <v>2025</v>
      </c>
      <c r="C202" s="22" t="s">
        <v>230</v>
      </c>
      <c r="D202" s="23" t="n">
        <v>227000000</v>
      </c>
      <c r="E202" s="22" t="s">
        <v>231</v>
      </c>
      <c r="F202" s="22" t="s">
        <v>133</v>
      </c>
      <c r="G202" s="22" t="s">
        <v>134</v>
      </c>
      <c r="H202" s="22" t="s">
        <v>208</v>
      </c>
      <c r="I202" s="22" t="s">
        <v>222</v>
      </c>
    </row>
    <row r="203" customFormat="false" ht="15.75" hidden="false" customHeight="true" outlineLevel="0" collapsed="false">
      <c r="A203" s="22" t="s">
        <v>239</v>
      </c>
      <c r="B203" s="22" t="n">
        <v>2025</v>
      </c>
      <c r="C203" s="22" t="s">
        <v>232</v>
      </c>
      <c r="D203" s="22"/>
      <c r="E203" s="22" t="s">
        <v>244</v>
      </c>
      <c r="F203" s="22" t="s">
        <v>133</v>
      </c>
      <c r="G203" s="22" t="s">
        <v>134</v>
      </c>
      <c r="H203" s="22" t="s">
        <v>208</v>
      </c>
      <c r="I203" s="22" t="s">
        <v>238</v>
      </c>
    </row>
    <row r="204" customFormat="false" ht="15.75" hidden="false" customHeight="true" outlineLevel="0" collapsed="false">
      <c r="A204" s="22" t="s">
        <v>130</v>
      </c>
      <c r="B204" s="22" t="n">
        <v>2025</v>
      </c>
      <c r="C204" s="22" t="s">
        <v>235</v>
      </c>
      <c r="D204" s="23" t="n">
        <v>160866521</v>
      </c>
      <c r="E204" s="22" t="s">
        <v>236</v>
      </c>
      <c r="F204" s="22" t="s">
        <v>133</v>
      </c>
      <c r="G204" s="22" t="s">
        <v>134</v>
      </c>
      <c r="H204" s="22" t="s">
        <v>237</v>
      </c>
      <c r="I204" s="22" t="s">
        <v>238</v>
      </c>
    </row>
    <row r="205" customFormat="false" ht="15" hidden="false" customHeight="false" outlineLevel="0" collapsed="false">
      <c r="A205" s="22"/>
      <c r="B205" s="22"/>
      <c r="C205" s="22"/>
      <c r="D205" s="22"/>
      <c r="E205" s="22"/>
      <c r="F205" s="22"/>
      <c r="G205" s="22"/>
      <c r="H205" s="22"/>
      <c r="I205" s="22"/>
    </row>
    <row r="206" customFormat="false" ht="15" hidden="false" customHeight="true" outlineLevel="0" collapsed="false">
      <c r="A206" s="24" t="s">
        <v>253</v>
      </c>
      <c r="B206" s="24"/>
      <c r="C206" s="24"/>
      <c r="D206" s="24"/>
      <c r="E206" s="24"/>
      <c r="F206" s="24"/>
      <c r="G206" s="24"/>
      <c r="H206" s="24"/>
      <c r="I206" s="24"/>
    </row>
    <row r="207" customFormat="false" ht="36" hidden="false" customHeight="true" outlineLevel="0" collapsed="false">
      <c r="A207" s="22" t="s">
        <v>254</v>
      </c>
      <c r="B207" s="22"/>
      <c r="C207" s="22" t="s">
        <v>255</v>
      </c>
      <c r="D207" s="23" t="n">
        <v>0</v>
      </c>
      <c r="E207" s="22"/>
      <c r="F207" s="22"/>
      <c r="G207" s="22"/>
      <c r="H207" s="22"/>
      <c r="I207" s="22" t="s">
        <v>256</v>
      </c>
    </row>
    <row r="208" customFormat="false" ht="72" hidden="false" customHeight="true" outlineLevel="0" collapsed="false">
      <c r="A208" s="22" t="s">
        <v>254</v>
      </c>
      <c r="B208" s="22"/>
      <c r="C208" s="22" t="s">
        <v>257</v>
      </c>
      <c r="D208" s="23" t="n">
        <v>0.0527057133023256</v>
      </c>
      <c r="E208" s="22"/>
      <c r="F208" s="22"/>
      <c r="G208" s="22"/>
      <c r="H208" s="22"/>
      <c r="I208" s="22" t="s">
        <v>258</v>
      </c>
    </row>
    <row r="209" customFormat="false" ht="54" hidden="false" customHeight="true" outlineLevel="0" collapsed="false">
      <c r="A209" s="22" t="s">
        <v>254</v>
      </c>
      <c r="B209" s="22"/>
      <c r="C209" s="22" t="s">
        <v>259</v>
      </c>
      <c r="D209" s="23" t="n">
        <v>0</v>
      </c>
      <c r="E209" s="22"/>
      <c r="F209" s="22"/>
      <c r="G209" s="22"/>
      <c r="H209" s="22"/>
      <c r="I209" s="22" t="s">
        <v>260</v>
      </c>
    </row>
    <row r="210" customFormat="false" ht="72" hidden="false" customHeight="true" outlineLevel="0" collapsed="false">
      <c r="A210" s="22" t="s">
        <v>254</v>
      </c>
      <c r="B210" s="22"/>
      <c r="C210" s="22" t="s">
        <v>261</v>
      </c>
      <c r="D210" s="23" t="n">
        <v>0.00603774529497898</v>
      </c>
      <c r="E210" s="22"/>
      <c r="F210" s="22"/>
      <c r="G210" s="22"/>
      <c r="H210" s="22"/>
      <c r="I210" s="22" t="s">
        <v>262</v>
      </c>
    </row>
    <row r="211" customFormat="false" ht="72" hidden="false" customHeight="true" outlineLevel="0" collapsed="false">
      <c r="A211" s="22" t="s">
        <v>254</v>
      </c>
      <c r="B211" s="22"/>
      <c r="C211" s="22" t="s">
        <v>263</v>
      </c>
      <c r="D211" s="22" t="n">
        <v>0.00277814443903713</v>
      </c>
      <c r="E211" s="22"/>
      <c r="F211" s="22"/>
      <c r="G211" s="22"/>
      <c r="H211" s="22"/>
      <c r="I211" s="22" t="s">
        <v>264</v>
      </c>
    </row>
    <row r="212" customFormat="false" ht="36" hidden="false" customHeight="true" outlineLevel="0" collapsed="false">
      <c r="A212" s="22" t="s">
        <v>254</v>
      </c>
      <c r="B212" s="22"/>
      <c r="C212" s="22" t="s">
        <v>265</v>
      </c>
      <c r="D212" s="23" t="n">
        <v>0</v>
      </c>
      <c r="E212" s="22"/>
      <c r="F212" s="22"/>
      <c r="G212" s="22"/>
      <c r="H212" s="22"/>
      <c r="I212" s="22" t="s">
        <v>266</v>
      </c>
    </row>
    <row r="213" customFormat="false" ht="72" hidden="false" customHeight="true" outlineLevel="0" collapsed="false">
      <c r="A213" s="22" t="s">
        <v>254</v>
      </c>
      <c r="B213" s="22"/>
      <c r="C213" s="22" t="s">
        <v>267</v>
      </c>
      <c r="D213" s="22" t="n">
        <v>0.0014518506415212</v>
      </c>
      <c r="E213" s="22"/>
      <c r="F213" s="22"/>
      <c r="G213" s="22"/>
      <c r="H213" s="22"/>
      <c r="I213" s="22" t="s">
        <v>268</v>
      </c>
    </row>
    <row r="214" customFormat="false" ht="72" hidden="false" customHeight="true" outlineLevel="0" collapsed="false">
      <c r="A214" s="22" t="s">
        <v>254</v>
      </c>
      <c r="B214" s="22"/>
      <c r="C214" s="22" t="s">
        <v>269</v>
      </c>
      <c r="D214" s="22" t="n">
        <v>9.42685030594481E-005</v>
      </c>
      <c r="E214" s="22"/>
      <c r="F214" s="22"/>
      <c r="G214" s="22"/>
      <c r="H214" s="22"/>
      <c r="I214" s="22" t="s">
        <v>270</v>
      </c>
    </row>
    <row r="215" customFormat="false" ht="36" hidden="false" customHeight="true" outlineLevel="0" collapsed="false">
      <c r="A215" s="22" t="s">
        <v>254</v>
      </c>
      <c r="B215" s="22"/>
      <c r="C215" s="22" t="s">
        <v>271</v>
      </c>
      <c r="D215" s="23" t="n">
        <v>0</v>
      </c>
      <c r="E215" s="22"/>
      <c r="F215" s="22"/>
      <c r="G215" s="22"/>
      <c r="H215" s="22"/>
      <c r="I215" s="22" t="s">
        <v>272</v>
      </c>
    </row>
    <row r="216" customFormat="false" ht="72" hidden="false" customHeight="true" outlineLevel="0" collapsed="false">
      <c r="A216" s="22" t="s">
        <v>254</v>
      </c>
      <c r="B216" s="22"/>
      <c r="C216" s="22" t="s">
        <v>273</v>
      </c>
      <c r="D216" s="22" t="n">
        <v>6.15700655801845E-005</v>
      </c>
      <c r="E216" s="22"/>
      <c r="F216" s="22"/>
      <c r="G216" s="22"/>
      <c r="H216" s="22"/>
      <c r="I216" s="22" t="s">
        <v>274</v>
      </c>
    </row>
    <row r="217" customFormat="false" ht="36" hidden="false" customHeight="true" outlineLevel="0" collapsed="false">
      <c r="A217" s="22" t="s">
        <v>254</v>
      </c>
      <c r="B217" s="22"/>
      <c r="C217" s="22" t="s">
        <v>275</v>
      </c>
      <c r="D217" s="23" t="n">
        <v>1981000000</v>
      </c>
      <c r="E217" s="22"/>
      <c r="F217" s="22"/>
      <c r="G217" s="22"/>
      <c r="H217" s="22"/>
      <c r="I217" s="22" t="s">
        <v>276</v>
      </c>
    </row>
    <row r="218" customFormat="false" ht="72" hidden="false" customHeight="true" outlineLevel="0" collapsed="false">
      <c r="A218" s="22" t="s">
        <v>254</v>
      </c>
      <c r="B218" s="22"/>
      <c r="C218" s="22" t="s">
        <v>277</v>
      </c>
      <c r="D218" s="23" t="n">
        <v>0.157634569861644</v>
      </c>
      <c r="E218" s="22"/>
      <c r="F218" s="22"/>
      <c r="G218" s="22"/>
      <c r="H218" s="22"/>
      <c r="I218" s="22" t="s">
        <v>278</v>
      </c>
    </row>
    <row r="219" customFormat="false" ht="72" hidden="false" customHeight="true" outlineLevel="0" collapsed="false">
      <c r="A219" s="22" t="s">
        <v>254</v>
      </c>
      <c r="B219" s="22"/>
      <c r="C219" s="22" t="s">
        <v>279</v>
      </c>
      <c r="D219" s="22" t="n">
        <v>0.000119883510552133</v>
      </c>
      <c r="E219" s="22"/>
      <c r="F219" s="22"/>
      <c r="G219" s="22"/>
      <c r="H219" s="22"/>
      <c r="I219" s="22" t="s">
        <v>280</v>
      </c>
    </row>
    <row r="220" customFormat="false" ht="36" hidden="false" customHeight="true" outlineLevel="0" collapsed="false">
      <c r="A220" s="22" t="s">
        <v>254</v>
      </c>
      <c r="B220" s="22"/>
      <c r="C220" s="22" t="s">
        <v>281</v>
      </c>
      <c r="D220" s="23" t="n">
        <v>0</v>
      </c>
      <c r="E220" s="22"/>
      <c r="F220" s="22"/>
      <c r="G220" s="22"/>
      <c r="H220" s="22"/>
      <c r="I220" s="22" t="s">
        <v>282</v>
      </c>
    </row>
    <row r="221" customFormat="false" ht="72" hidden="false" customHeight="true" outlineLevel="0" collapsed="false">
      <c r="A221" s="22" t="s">
        <v>254</v>
      </c>
      <c r="B221" s="22"/>
      <c r="C221" s="22" t="s">
        <v>283</v>
      </c>
      <c r="D221" s="23" t="n">
        <v>0.322706087151842</v>
      </c>
      <c r="E221" s="22"/>
      <c r="F221" s="22"/>
      <c r="G221" s="22"/>
      <c r="H221" s="22"/>
      <c r="I221" s="22" t="s">
        <v>284</v>
      </c>
    </row>
    <row r="222" customFormat="false" ht="72" hidden="false" customHeight="true" outlineLevel="0" collapsed="false">
      <c r="A222" s="22" t="s">
        <v>254</v>
      </c>
      <c r="B222" s="22"/>
      <c r="C222" s="22" t="s">
        <v>285</v>
      </c>
      <c r="D222" s="23" t="n">
        <v>0</v>
      </c>
      <c r="E222" s="22"/>
      <c r="F222" s="22"/>
      <c r="G222" s="22"/>
      <c r="H222" s="22"/>
      <c r="I222" s="22" t="s">
        <v>286</v>
      </c>
    </row>
    <row r="223" customFormat="false" ht="72" hidden="false" customHeight="true" outlineLevel="0" collapsed="false">
      <c r="A223" s="22" t="s">
        <v>254</v>
      </c>
      <c r="B223" s="22"/>
      <c r="C223" s="22" t="s">
        <v>287</v>
      </c>
      <c r="D223" s="23" t="n">
        <v>0.351363458200347</v>
      </c>
      <c r="E223" s="22"/>
      <c r="F223" s="22"/>
      <c r="G223" s="22"/>
      <c r="H223" s="22"/>
      <c r="I223" s="22" t="s">
        <v>288</v>
      </c>
    </row>
    <row r="224" customFormat="false" ht="72" hidden="false" customHeight="true" outlineLevel="0" collapsed="false">
      <c r="A224" s="22" t="s">
        <v>254</v>
      </c>
      <c r="B224" s="22"/>
      <c r="C224" s="22" t="s">
        <v>289</v>
      </c>
      <c r="D224" s="23" t="n">
        <v>0.214948764315853</v>
      </c>
      <c r="E224" s="22"/>
      <c r="F224" s="22"/>
      <c r="G224" s="22"/>
      <c r="H224" s="22"/>
      <c r="I224" s="22" t="s">
        <v>290</v>
      </c>
    </row>
    <row r="225" customFormat="false" ht="72" hidden="false" customHeight="true" outlineLevel="0" collapsed="false">
      <c r="A225" s="22" t="s">
        <v>254</v>
      </c>
      <c r="B225" s="22"/>
      <c r="C225" s="22" t="s">
        <v>291</v>
      </c>
      <c r="D225" s="23" t="n">
        <v>0.0259224775812221</v>
      </c>
      <c r="E225" s="22"/>
      <c r="F225" s="22"/>
      <c r="G225" s="22"/>
      <c r="H225" s="22"/>
      <c r="I225" s="22" t="s">
        <v>292</v>
      </c>
    </row>
    <row r="226" customFormat="false" ht="54" hidden="false" customHeight="true" outlineLevel="0" collapsed="false">
      <c r="A226" s="22" t="s">
        <v>254</v>
      </c>
      <c r="B226" s="22"/>
      <c r="C226" s="22" t="s">
        <v>293</v>
      </c>
      <c r="D226" s="23" t="n">
        <v>0</v>
      </c>
      <c r="E226" s="22"/>
      <c r="F226" s="22"/>
      <c r="G226" s="22"/>
      <c r="H226" s="22"/>
      <c r="I226" s="22" t="s">
        <v>294</v>
      </c>
    </row>
    <row r="227" customFormat="false" ht="72" hidden="false" customHeight="true" outlineLevel="0" collapsed="false">
      <c r="A227" s="22" t="s">
        <v>254</v>
      </c>
      <c r="B227" s="22"/>
      <c r="C227" s="22" t="s">
        <v>295</v>
      </c>
      <c r="D227" s="23" t="n">
        <v>0.0154856293359762</v>
      </c>
      <c r="E227" s="22"/>
      <c r="F227" s="22"/>
      <c r="G227" s="22"/>
      <c r="H227" s="22"/>
      <c r="I227" s="22" t="s">
        <v>296</v>
      </c>
    </row>
    <row r="228" customFormat="false" ht="72" hidden="false" customHeight="true" outlineLevel="0" collapsed="false">
      <c r="A228" s="22" t="s">
        <v>254</v>
      </c>
      <c r="B228" s="22"/>
      <c r="C228" s="22" t="s">
        <v>297</v>
      </c>
      <c r="D228" s="23" t="n">
        <v>0.00780475718533201</v>
      </c>
      <c r="E228" s="22"/>
      <c r="F228" s="22"/>
      <c r="G228" s="22"/>
      <c r="H228" s="22"/>
      <c r="I228" s="22" t="s">
        <v>298</v>
      </c>
    </row>
    <row r="229" customFormat="false" ht="72" hidden="false" customHeight="true" outlineLevel="0" collapsed="false">
      <c r="A229" s="22" t="s">
        <v>254</v>
      </c>
      <c r="B229" s="22"/>
      <c r="C229" s="22" t="s">
        <v>299</v>
      </c>
      <c r="D229" s="23" t="n">
        <v>0.0489594131249502</v>
      </c>
      <c r="E229" s="22"/>
      <c r="F229" s="22"/>
      <c r="G229" s="22"/>
      <c r="H229" s="22"/>
      <c r="I229" s="22" t="s">
        <v>300</v>
      </c>
    </row>
    <row r="230" customFormat="false" ht="54" hidden="false" customHeight="true" outlineLevel="0" collapsed="false">
      <c r="A230" s="22" t="s">
        <v>254</v>
      </c>
      <c r="B230" s="22"/>
      <c r="C230" s="22" t="s">
        <v>301</v>
      </c>
      <c r="D230" s="23" t="n">
        <v>0.163312185321282</v>
      </c>
      <c r="E230" s="22"/>
      <c r="F230" s="22"/>
      <c r="G230" s="22"/>
      <c r="H230" s="22"/>
      <c r="I230" s="22" t="s">
        <v>302</v>
      </c>
    </row>
    <row r="231" customFormat="false" ht="18" hidden="false" customHeight="true" outlineLevel="0" collapsed="false">
      <c r="A231" s="22" t="s">
        <v>254</v>
      </c>
      <c r="B231" s="22"/>
      <c r="C231" s="22" t="s">
        <v>303</v>
      </c>
      <c r="D231" s="23" t="n">
        <v>0.025</v>
      </c>
      <c r="E231" s="22"/>
      <c r="F231" s="22"/>
      <c r="G231" s="22"/>
      <c r="H231" s="22"/>
      <c r="I231" s="22" t="s">
        <v>304</v>
      </c>
    </row>
    <row r="232" customFormat="false" ht="15" hidden="false" customHeight="true" outlineLevel="0" collapsed="false">
      <c r="A232" s="24" t="s">
        <v>305</v>
      </c>
      <c r="B232" s="24"/>
      <c r="C232" s="24"/>
      <c r="D232" s="24"/>
      <c r="E232" s="24"/>
      <c r="F232" s="24"/>
      <c r="G232" s="24"/>
      <c r="H232" s="24"/>
      <c r="I232" s="24"/>
    </row>
    <row r="233" customFormat="false" ht="27.75" hidden="false" customHeight="true" outlineLevel="0" collapsed="false">
      <c r="A233" s="22" t="s">
        <v>306</v>
      </c>
      <c r="B233" s="22"/>
      <c r="C233" s="25" t="s">
        <v>307</v>
      </c>
      <c r="D233" s="25"/>
      <c r="E233" s="25"/>
      <c r="F233" s="25"/>
      <c r="G233" s="25"/>
      <c r="H233" s="25"/>
      <c r="I233" s="25"/>
    </row>
    <row r="234" customFormat="false" ht="27.75" hidden="false" customHeight="true" outlineLevel="0" collapsed="false">
      <c r="A234" s="22" t="s">
        <v>306</v>
      </c>
      <c r="B234" s="22"/>
      <c r="C234" s="25" t="s">
        <v>308</v>
      </c>
      <c r="D234" s="25"/>
      <c r="E234" s="25"/>
      <c r="F234" s="25"/>
      <c r="G234" s="25"/>
      <c r="H234" s="25"/>
      <c r="I234" s="25"/>
    </row>
    <row r="235" customFormat="false" ht="27.75" hidden="false" customHeight="true" outlineLevel="0" collapsed="false">
      <c r="A235" s="22" t="s">
        <v>306</v>
      </c>
      <c r="B235" s="22"/>
      <c r="C235" s="25" t="s">
        <v>309</v>
      </c>
      <c r="D235" s="25"/>
      <c r="E235" s="25"/>
      <c r="F235" s="25"/>
      <c r="G235" s="25"/>
      <c r="H235" s="25"/>
      <c r="I235" s="25"/>
    </row>
    <row r="236" customFormat="false" ht="27.75" hidden="false" customHeight="true" outlineLevel="0" collapsed="false">
      <c r="A236" s="22" t="s">
        <v>306</v>
      </c>
      <c r="B236" s="22"/>
      <c r="C236" s="25" t="s">
        <v>310</v>
      </c>
      <c r="D236" s="25"/>
      <c r="E236" s="25"/>
      <c r="F236" s="25"/>
      <c r="G236" s="25"/>
      <c r="H236" s="25"/>
      <c r="I236" s="25"/>
    </row>
    <row r="237" customFormat="false" ht="27.75" hidden="false" customHeight="true" outlineLevel="0" collapsed="false">
      <c r="A237" s="22" t="s">
        <v>306</v>
      </c>
      <c r="B237" s="22"/>
      <c r="C237" s="25" t="s">
        <v>311</v>
      </c>
      <c r="D237" s="25"/>
      <c r="E237" s="25"/>
      <c r="F237" s="25"/>
      <c r="G237" s="25"/>
      <c r="H237" s="25"/>
      <c r="I237" s="25"/>
    </row>
    <row r="238" customFormat="false" ht="27.75" hidden="false" customHeight="true" outlineLevel="0" collapsed="false">
      <c r="A238" s="22" t="s">
        <v>306</v>
      </c>
      <c r="B238" s="22"/>
      <c r="C238" s="25" t="s">
        <v>312</v>
      </c>
      <c r="D238" s="25"/>
      <c r="E238" s="25"/>
      <c r="F238" s="25"/>
      <c r="G238" s="25"/>
      <c r="H238" s="25"/>
      <c r="I238" s="25"/>
    </row>
    <row r="239" customFormat="false" ht="27.75" hidden="false" customHeight="true" outlineLevel="0" collapsed="false">
      <c r="A239" s="22" t="s">
        <v>306</v>
      </c>
      <c r="B239" s="22"/>
      <c r="C239" s="25" t="s">
        <v>313</v>
      </c>
      <c r="D239" s="25"/>
      <c r="E239" s="25"/>
      <c r="F239" s="25"/>
      <c r="G239" s="25"/>
      <c r="H239" s="25"/>
      <c r="I239" s="25"/>
    </row>
    <row r="240" customFormat="false" ht="27.75" hidden="false" customHeight="true" outlineLevel="0" collapsed="false">
      <c r="A240" s="22" t="s">
        <v>306</v>
      </c>
      <c r="B240" s="22"/>
      <c r="C240" s="25" t="s">
        <v>314</v>
      </c>
      <c r="D240" s="25"/>
      <c r="E240" s="25"/>
      <c r="F240" s="25"/>
      <c r="G240" s="25"/>
      <c r="H240" s="25"/>
      <c r="I240" s="25"/>
    </row>
    <row r="241" customFormat="false" ht="27.75" hidden="false" customHeight="true" outlineLevel="0" collapsed="false">
      <c r="A241" s="22" t="s">
        <v>306</v>
      </c>
      <c r="B241" s="22"/>
      <c r="C241" s="25" t="s">
        <v>315</v>
      </c>
      <c r="D241" s="25"/>
      <c r="E241" s="25"/>
      <c r="F241" s="25"/>
      <c r="G241" s="25"/>
      <c r="H241" s="25"/>
      <c r="I241" s="25"/>
    </row>
    <row r="242" customFormat="false" ht="27.75" hidden="false" customHeight="true" outlineLevel="0" collapsed="false">
      <c r="A242" s="22" t="s">
        <v>306</v>
      </c>
      <c r="B242" s="22"/>
      <c r="C242" s="25" t="s">
        <v>316</v>
      </c>
      <c r="D242" s="25"/>
      <c r="E242" s="25"/>
      <c r="F242" s="25"/>
      <c r="G242" s="25"/>
      <c r="H242" s="25"/>
      <c r="I242" s="25"/>
    </row>
    <row r="243" customFormat="false" ht="27.75" hidden="false" customHeight="true" outlineLevel="0" collapsed="false">
      <c r="A243" s="22" t="s">
        <v>306</v>
      </c>
      <c r="B243" s="22"/>
      <c r="C243" s="25" t="s">
        <v>317</v>
      </c>
      <c r="D243" s="25"/>
      <c r="E243" s="25"/>
      <c r="F243" s="25"/>
      <c r="G243" s="25"/>
      <c r="H243" s="25"/>
      <c r="I243" s="25"/>
    </row>
    <row r="244" customFormat="false" ht="27.75" hidden="false" customHeight="true" outlineLevel="0" collapsed="false">
      <c r="A244" s="22" t="s">
        <v>306</v>
      </c>
      <c r="B244" s="22"/>
      <c r="C244" s="25" t="s">
        <v>318</v>
      </c>
      <c r="D244" s="25"/>
      <c r="E244" s="25"/>
      <c r="F244" s="25"/>
      <c r="G244" s="25"/>
      <c r="H244" s="25"/>
      <c r="I244" s="25"/>
    </row>
  </sheetData>
  <autoFilter ref="A5:I244"/>
  <mergeCells count="16">
    <mergeCell ref="A1:I1"/>
    <mergeCell ref="A2:I2"/>
    <mergeCell ref="A206:I206"/>
    <mergeCell ref="A232:I232"/>
    <mergeCell ref="C233:I233"/>
    <mergeCell ref="C234:I234"/>
    <mergeCell ref="C235:I235"/>
    <mergeCell ref="C236:I236"/>
    <mergeCell ref="C237:I237"/>
    <mergeCell ref="C238:I238"/>
    <mergeCell ref="C239:I239"/>
    <mergeCell ref="C240:I240"/>
    <mergeCell ref="C241:I241"/>
    <mergeCell ref="C242:I242"/>
    <mergeCell ref="C243:I243"/>
    <mergeCell ref="C244:I2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2025-07-16T02:30:30Z</dcterms:created>
  <dc:creator>Varcas Kumar Sabharwal</dc:creator>
  <dc:description/>
  <dc:language>en-AE</dc:language>
  <cp:lastModifiedBy>Ryan Rodrigues</cp:lastModifiedBy>
  <dcterms:modified xsi:type="dcterms:W3CDTF">2026-10-03T22:41:21Z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0x01010068406715A740934999FE71FB7A3B349E</vt:lpwstr>
  </property>
</Properties>
</file>