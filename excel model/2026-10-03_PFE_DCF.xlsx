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ature Pharma Model" sheetId="1" state="visible" r:id="rId3"/>
    <sheet name="Data Review" sheetId="2" state="visible" r:id="rId4"/>
  </sheets>
  <definedNames>
    <definedName function="false" hidden="true" localSheetId="1" name="_xlnm._FilterDatabase" vbProcedure="false">'Data Review'!$A$1:$M$284</definedName>
    <definedName function="false" hidden="false" localSheetId="0" name="_xlnm.Print_Area" vbProcedure="false">'Mature Pharma Model'!$A$1:$Q$96</definedName>
    <definedName function="false" hidden="false" localSheetId="0" name="_xlnm.Print_Titles" vbProcedure="false">'Mature Pharma Model'!$1:$31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<sst xmlns="http://schemas.openxmlformats.org/spreadsheetml/2006/main" count="2797" uniqueCount="425">
  <si>
    <t xml:space="preserve">PFIZER INC (PFE) — Product and Patent FCFF DCF</t>
  </si>
  <si>
    <t xml:space="preserve">Filed product revenue and regional patent years are separate from blue analyst assumptions. Modeled global LOE timing uses an editable U.S.-patent starting proxy; forecast formulas remain visible.</t>
  </si>
  <si>
    <t xml:space="preserve">Dated market, WACC, operating, and terminal assumptions</t>
  </si>
  <si>
    <t xml:space="preserve">Current share price</t>
  </si>
  <si>
    <t xml:space="preserve">Current market capitalization (USD mm)</t>
  </si>
  <si>
    <t xml:space="preserve">Common diluted shares (millions)</t>
  </si>
  <si>
    <t xml:space="preserve">Cash and equivalents (USD mm)</t>
  </si>
  <si>
    <t xml:space="preserve">Short-term investments (USD mm)</t>
  </si>
  <si>
    <t xml:space="preserve">Interest-bearing debt (USD mm)</t>
  </si>
  <si>
    <t xml:space="preserve">Noncontrolling interest (USD mm)</t>
  </si>
  <si>
    <t xml:space="preserve">Preferred equity (USD mm)</t>
  </si>
  <si>
    <t xml:space="preserve">Risk-free rate</t>
  </si>
  <si>
    <t xml:space="preserve">Equity risk premium</t>
  </si>
  <si>
    <t xml:space="preserve">Levered beta</t>
  </si>
  <si>
    <t xml:space="preserve">Current cost of debt</t>
  </si>
  <si>
    <t xml:space="preserve">Marginal tax rate</t>
  </si>
  <si>
    <t xml:space="preserve">Debt weight</t>
  </si>
  <si>
    <t xml:space="preserve">Equity weight</t>
  </si>
  <si>
    <t xml:space="preserve">Cost of equity — CAPM</t>
  </si>
  <si>
    <t xml:space="preserve">Weighted average cost of capital</t>
  </si>
  <si>
    <t xml:space="preserve">Other/alliance revenue growth</t>
  </si>
  <si>
    <t xml:space="preserve">EBIT margin</t>
  </si>
  <si>
    <t xml:space="preserve">D&amp;A / revenue</t>
  </si>
  <si>
    <t xml:space="preserve">Cash CapEx / revenue</t>
  </si>
  <si>
    <t xml:space="preserve">Working-capital investment / revenue</t>
  </si>
  <si>
    <t xml:space="preserve">Terminal FCFF growth</t>
  </si>
  <si>
    <t xml:space="preserve">Filed product sales and editable loss-of-exclusivity schedule</t>
  </si>
  <si>
    <t xml:space="preserve">Product / revenue group</t>
  </si>
  <si>
    <t xml:space="preserve">Primary indication</t>
  </si>
  <si>
    <t xml:space="preserve">U.S. basic patent</t>
  </si>
  <si>
    <t xml:space="preserve">Major Europe basic patent</t>
  </si>
  <si>
    <t xml:space="preserve">Japan basic patent</t>
  </si>
  <si>
    <t xml:space="preserve">Modeled global LOE year</t>
  </si>
  <si>
    <t xml:space="preserve">Pre-LOE growth</t>
  </si>
  <si>
    <t xml:space="preserve">First-year LOE erosion</t>
  </si>
  <si>
    <t xml:space="preserve">Post-LOE annual erosion</t>
  </si>
  <si>
    <t xml:space="preserve">Eliquis (a)</t>
  </si>
  <si>
    <t xml:space="preserve">Nonvalvular atrial fibrillation, deep vein thrombosis, pulmonary embolism</t>
  </si>
  <si>
    <t xml:space="preserve">Prevnar family</t>
  </si>
  <si>
    <t xml:space="preserve">Active immunization to prevent pneumonia, invasive disease and otitis media caused by Streptococcus pneumoniae</t>
  </si>
  <si>
    <t xml:space="preserve">Vyndaqel family</t>
  </si>
  <si>
    <t xml:space="preserve">ATTR-CM and polyneuropathy</t>
  </si>
  <si>
    <t xml:space="preserve">Comirnaty</t>
  </si>
  <si>
    <t xml:space="preserve">Active immunization to prevent COVID-19</t>
  </si>
  <si>
    <t xml:space="preserve">Ibrance</t>
  </si>
  <si>
    <t xml:space="preserve">HR-positive/HER2-negative metastatic breast cancer</t>
  </si>
  <si>
    <t xml:space="preserve">All other Hospital</t>
  </si>
  <si>
    <t xml:space="preserve">Various</t>
  </si>
  <si>
    <t xml:space="preserve">All other Primary Care</t>
  </si>
  <si>
    <t xml:space="preserve">Paxlovid (b)</t>
  </si>
  <si>
    <t xml:space="preserve">COVID-19 in certain high-risk patients</t>
  </si>
  <si>
    <t xml:space="preserve">Xtandi (c)</t>
  </si>
  <si>
    <t xml:space="preserve">mCRPC, nmCRPC, mCSPC, nmCSPC</t>
  </si>
  <si>
    <t xml:space="preserve">Padcev</t>
  </si>
  <si>
    <t xml:space="preserve">Locally advanced or metastatic urothelial cancer and cisplatin-ineligible/decline muscle invasive bladder cancer (MIBC)</t>
  </si>
  <si>
    <t xml:space="preserve">All other Specialty Care</t>
  </si>
  <si>
    <t xml:space="preserve">Nurtec ODT/Vydura</t>
  </si>
  <si>
    <t xml:space="preserve">Acute treatment of migraine and prevention of episodic migraine</t>
  </si>
  <si>
    <t xml:space="preserve">Oncology biosimilars (d)</t>
  </si>
  <si>
    <t xml:space="preserve">Xeljanz</t>
  </si>
  <si>
    <t xml:space="preserve">RA, PsA, UC, active polyarticular course juvenile idiopathic arthritis, ankylosing spondylitis</t>
  </si>
  <si>
    <t xml:space="preserve">Abrysvo</t>
  </si>
  <si>
    <t xml:space="preserve">Active immunization to prevent RSV infection</t>
  </si>
  <si>
    <t xml:space="preserve">Lorbrena</t>
  </si>
  <si>
    <t xml:space="preserve">ALK-positive metastatic NSCLC</t>
  </si>
  <si>
    <t xml:space="preserve">Inlyta</t>
  </si>
  <si>
    <t xml:space="preserve">Advanced renal cell carcinoma</t>
  </si>
  <si>
    <t xml:space="preserve">Adcetris (e)</t>
  </si>
  <si>
    <t xml:space="preserve">Certain lymphomas including classical Hodgkin lymphoma, T-cell lymphoma and relapsed/refractory diffuse large B-cell lymphoma</t>
  </si>
  <si>
    <t xml:space="preserve">Braftovi/Mektovi</t>
  </si>
  <si>
    <t xml:space="preserve">Metastatic melanoma in patients with a BRAF V600E/K mutation and for metastatic NSCLC in patients with a BRAF V600E mutation; and, for Braftovi for the treatment of BRAF V600E - mutant mCRC, in combination with Erbitux ® (cetuximab) (f) (after prior therapy) or cetuximab and mFOLFOX6</t>
  </si>
  <si>
    <t xml:space="preserve">Sulperazon (Outside the U.S. and Canada)</t>
  </si>
  <si>
    <t xml:space="preserve">Bacterial infections</t>
  </si>
  <si>
    <t xml:space="preserve">Inflectra</t>
  </si>
  <si>
    <t xml:space="preserve">Crohn’s disease, pediatric Crohn’s disease, UC, pediatric UC, RA in combination with methotrexate, ankylosing spondylitis, PsA and plaque psoriasis</t>
  </si>
  <si>
    <t xml:space="preserve">Zavicefta (Outside the U.S. and Canada)</t>
  </si>
  <si>
    <t xml:space="preserve">Enbrel (Outside the U.S. and Canada)</t>
  </si>
  <si>
    <t xml:space="preserve">RA, juvenile idiopathic arthritis, PsA, plaque psoriasis, pediatric plaque psoriasis, ankylosing spondylitis and nonradiographic axial spondyloarthritis</t>
  </si>
  <si>
    <t xml:space="preserve">Bosulif</t>
  </si>
  <si>
    <t xml:space="preserve">Philadelphia chromosome-positive chronic myelogenous leukemia</t>
  </si>
  <si>
    <t xml:space="preserve">Genotropin</t>
  </si>
  <si>
    <t xml:space="preserve">Replacement of human growth hormone</t>
  </si>
  <si>
    <t xml:space="preserve">Octagam</t>
  </si>
  <si>
    <t xml:space="preserve">Primary humoral immunodeficiency, chronic immune thrombocytopenic purpura in adults, and dermatomyositis in adults</t>
  </si>
  <si>
    <t xml:space="preserve">Zithromax</t>
  </si>
  <si>
    <t xml:space="preserve">Cresemba</t>
  </si>
  <si>
    <t xml:space="preserve">Invasive aspergillosis and mucormycosis</t>
  </si>
  <si>
    <t xml:space="preserve">FSME-IMMUN/TicoVac</t>
  </si>
  <si>
    <t xml:space="preserve">Active immunization to prevent tick-borne encephalitis disease</t>
  </si>
  <si>
    <t xml:space="preserve">Cibinqo</t>
  </si>
  <si>
    <t xml:space="preserve">Atopic dermatitis</t>
  </si>
  <si>
    <t xml:space="preserve">Other products / alliance / royalty revenue</t>
  </si>
  <si>
    <t xml:space="preserve">Derived residual of filed consolidated revenue less individually disclosed product rows</t>
  </si>
  <si>
    <t xml:space="preserve">Total revenue</t>
  </si>
  <si>
    <t xml:space="preserve">Sum of product schedules and other/alliance residual</t>
  </si>
  <si>
    <t xml:space="preserve">Filed total revenue</t>
  </si>
  <si>
    <t xml:space="preserve">SEC 10-K Note 17 total revenue</t>
  </si>
  <si>
    <t xml:space="preserve">Product-table revenue reconciliation check</t>
  </si>
  <si>
    <t xml:space="preserve">Unlevered operating cash flow and valuation</t>
  </si>
  <si>
    <t xml:space="preserve">EBIT = revenue × editable EBIT margin</t>
  </si>
  <si>
    <t xml:space="preserve">Cash taxes = EBIT × editable tax rate</t>
  </si>
  <si>
    <t xml:space="preserve">NOPAT</t>
  </si>
  <si>
    <t xml:space="preserve">D&amp;A</t>
  </si>
  <si>
    <t xml:space="preserve">Cash CapEx</t>
  </si>
  <si>
    <t xml:space="preserve">Working-capital investment</t>
  </si>
  <si>
    <t xml:space="preserve">Unlevered free cash flow</t>
  </si>
  <si>
    <t xml:space="preserve">Discount factor</t>
  </si>
  <si>
    <t xml:space="preserve">Present value of FCFF</t>
  </si>
  <si>
    <t xml:space="preserve">Enterprise-to-common-equity valuation</t>
  </si>
  <si>
    <t xml:space="preserve">PV of five-year FCFF</t>
  </si>
  <si>
    <t xml:space="preserve">Terminal value (Gordon growth)</t>
  </si>
  <si>
    <t xml:space="preserve">PV of terminal value</t>
  </si>
  <si>
    <t xml:space="preserve">Enterprise value</t>
  </si>
  <si>
    <t xml:space="preserve">Common equity value</t>
  </si>
  <si>
    <t xml:space="preserve">Implied value per diluted share</t>
  </si>
  <si>
    <t xml:space="preserve">Upside / (downside)</t>
  </si>
  <si>
    <t xml:space="preserve">Implied value per share sensitivity — WACC vs. terminal growth</t>
  </si>
  <si>
    <t xml:space="preserve">Fiscal year</t>
  </si>
  <si>
    <t xml:space="preserve">Model field</t>
  </si>
  <si>
    <t xml:space="preserve">Canonical value</t>
  </si>
  <si>
    <t xml:space="preserve">Reported value</t>
  </si>
  <si>
    <t xml:space="preserve">Unit</t>
  </si>
  <si>
    <t xml:space="preserve">Scale</t>
  </si>
  <si>
    <t xml:space="preserve">Source type</t>
  </si>
  <si>
    <t xml:space="preserve">Method / analyst note</t>
  </si>
  <si>
    <t xml:space="preserve">SEC concept</t>
  </si>
  <si>
    <t xml:space="preserve">Filed label</t>
  </si>
  <si>
    <t xml:space="preserve">SEC statement/table</t>
  </si>
  <si>
    <t xml:space="preserve">Accession</t>
  </si>
  <si>
    <t xml:space="preserve">Filed date</t>
  </si>
  <si>
    <t xml:space="preserve">Product revenue — Abrysvo</t>
  </si>
  <si>
    <t xml:space="preserve">USD</t>
  </si>
  <si>
    <t xml:space="preserve">millions</t>
  </si>
  <si>
    <t xml:space="preserve">sec_native</t>
  </si>
  <si>
    <t xml:space="preserve">filed_pfe_10k_product_or_patent_table_value_normalized</t>
  </si>
  <si>
    <t xml:space="preserve">product_revenue</t>
  </si>
  <si>
    <t xml:space="preserve">SEC 10-K Note 17, Significant Revenues by Product</t>
  </si>
  <si>
    <t xml:space="preserve">0000078003-26-000026</t>
  </si>
  <si>
    <t xml:space="preserve">2026-02-26</t>
  </si>
  <si>
    <t xml:space="preserve">Product revenue — Adcetris (e)</t>
  </si>
  <si>
    <t xml:space="preserve">Product revenue — All other Hospital</t>
  </si>
  <si>
    <t xml:space="preserve">Product revenue — All other Primary Care</t>
  </si>
  <si>
    <t xml:space="preserve">Product revenue — All other Specialty Care</t>
  </si>
  <si>
    <t xml:space="preserve">Product revenue — Bosulif</t>
  </si>
  <si>
    <t xml:space="preserve">Product revenue — Braftovi/Mektovi</t>
  </si>
  <si>
    <t xml:space="preserve">Product revenue — Cibinqo</t>
  </si>
  <si>
    <t xml:space="preserve">Product revenue — Comirnaty</t>
  </si>
  <si>
    <t xml:space="preserve">Product revenue — Cresemba</t>
  </si>
  <si>
    <t xml:space="preserve">Product revenue — Eliquis (a)</t>
  </si>
  <si>
    <t xml:space="preserve">Product revenue — Enbrel (Outside the U.S. and Canada)</t>
  </si>
  <si>
    <t xml:space="preserve">Product revenue — FSME-IMMUN/TicoVac</t>
  </si>
  <si>
    <t xml:space="preserve">Product revenue — Genotropin</t>
  </si>
  <si>
    <t xml:space="preserve">Product revenue — Ibrance</t>
  </si>
  <si>
    <t xml:space="preserve">Product revenue — Inflectra</t>
  </si>
  <si>
    <t xml:space="preserve">Product revenue — Inlyta</t>
  </si>
  <si>
    <t xml:space="preserve">Product revenue — Lorbrena</t>
  </si>
  <si>
    <t xml:space="preserve">Product revenue — Nurtec ODT/Vydura</t>
  </si>
  <si>
    <t xml:space="preserve">Product revenue — Octagam</t>
  </si>
  <si>
    <t xml:space="preserve">Product revenue — Oncology biosimilars (d)</t>
  </si>
  <si>
    <t xml:space="preserve">Product revenue — Padcev</t>
  </si>
  <si>
    <t xml:space="preserve">Product revenue — Paxlovid (b)</t>
  </si>
  <si>
    <t xml:space="preserve">Product revenue — Prevnar family</t>
  </si>
  <si>
    <t xml:space="preserve">Product revenue — Sulperazon (Outside the U.S. and Canada)</t>
  </si>
  <si>
    <t xml:space="preserve">Product revenue — Vyndaqel family</t>
  </si>
  <si>
    <t xml:space="preserve">Product revenue — Xeljanz</t>
  </si>
  <si>
    <t xml:space="preserve">Product revenue — Xtandi (c)</t>
  </si>
  <si>
    <t xml:space="preserve">Product revenue — Zavicefta (Outside the U.S. and Canada)</t>
  </si>
  <si>
    <t xml:space="preserve">Product revenue — Zithromax</t>
  </si>
  <si>
    <t xml:space="preserve">Note 17 reported total revenue</t>
  </si>
  <si>
    <t xml:space="preserve">reported_total_revenue</t>
  </si>
  <si>
    <t xml:space="preserve">Total revenues</t>
  </si>
  <si>
    <t xml:space="preserve">SEC 10-K Note 17, Significant Revenues by Product; total revenue row</t>
  </si>
  <si>
    <t xml:space="preserve">Consolidated revenue</t>
  </si>
  <si>
    <t xml:space="preserve">EBIT</t>
  </si>
  <si>
    <t xml:space="preserve">actual</t>
  </si>
  <si>
    <t xml:space="preserve">derived</t>
  </si>
  <si>
    <t xml:space="preserve">pretax_plus_interest</t>
  </si>
  <si>
    <t xml:space="preserve">IncomeLossFromContinuingOperationsBeforeIncomeTaxesExtraordinaryItemsNoncontrollingInterest</t>
  </si>
  <si>
    <t xml:space="preserve">Income (Loss) from Continuing Operations before Income Taxes, Noncontrolling Interest</t>
  </si>
  <si>
    <t xml:space="preserve">IncomeStatement</t>
  </si>
  <si>
    <t xml:space="preserve">InterestExpense</t>
  </si>
  <si>
    <t xml:space="preserve">Interest Expense</t>
  </si>
  <si>
    <t xml:space="preserve">Interest expense</t>
  </si>
  <si>
    <t xml:space="preserve">preferred_direct</t>
  </si>
  <si>
    <t xml:space="preserve">Effective tax rate</t>
  </si>
  <si>
    <t xml:space="preserve">income_tax_expense_over_pretax_income</t>
  </si>
  <si>
    <t xml:space="preserve">IncomeTaxExpenseBenefit</t>
  </si>
  <si>
    <t xml:space="preserve">Income Tax Expense (Benefit)</t>
  </si>
  <si>
    <t xml:space="preserve">Depreciation and amortization</t>
  </si>
  <si>
    <t xml:space="preserve">DepreciationDepletionAndAmortization</t>
  </si>
  <si>
    <t xml:space="preserve">Depreciation, Depletion and Amortization</t>
  </si>
  <si>
    <t xml:space="preserve">CashFlowStatement</t>
  </si>
  <si>
    <t xml:space="preserve">Capital expenditures</t>
  </si>
  <si>
    <t xml:space="preserve">PaymentsToAcquirePropertyPlantAndEquipment</t>
  </si>
  <si>
    <t xml:space="preserve">Payments to Acquire Property, Plant, and Equipment</t>
  </si>
  <si>
    <t xml:space="preserve">Working-capital change</t>
  </si>
  <si>
    <t xml:space="preserve">change_in_accounts_receivable_plus_inventory_less_accounts_payable</t>
  </si>
  <si>
    <t xml:space="preserve">AccountsReceivableNetCurrent</t>
  </si>
  <si>
    <t xml:space="preserve">Accounts Receivable, after Allowance for Credit Loss, Current</t>
  </si>
  <si>
    <t xml:space="preserve">BalanceSheet</t>
  </si>
  <si>
    <t xml:space="preserve">0000078003-24-000039</t>
  </si>
  <si>
    <t xml:space="preserve">2024-02-22</t>
  </si>
  <si>
    <t xml:space="preserve">InventoryNet</t>
  </si>
  <si>
    <t xml:space="preserve">Inventory, Net</t>
  </si>
  <si>
    <t xml:space="preserve">0000078003-25-000054</t>
  </si>
  <si>
    <t xml:space="preserve">2025-02-27</t>
  </si>
  <si>
    <t xml:space="preserve">AccountsPayableCurrent</t>
  </si>
  <si>
    <t xml:space="preserve">Accounts Payable, Current</t>
  </si>
  <si>
    <t xml:space="preserve">Cash and equivalents</t>
  </si>
  <si>
    <t xml:space="preserve">CashAndCashEquivalentsAtCarryingValue</t>
  </si>
  <si>
    <t xml:space="preserve">Cash and Cash Equivalents, at Carrying Value</t>
  </si>
  <si>
    <t xml:space="preserve">Short-term investments</t>
  </si>
  <si>
    <t xml:space="preserve">missing</t>
  </si>
  <si>
    <t xml:space="preserve">missing_or_inconsistent_marketable_securities_inputs</t>
  </si>
  <si>
    <t xml:space="preserve">No separate marketable securities current balance was reported in annual XBRL facts or statement rows</t>
  </si>
  <si>
    <t xml:space="preserve">CompanyFacts</t>
  </si>
  <si>
    <t xml:space="preserve">Interest-bearing debt</t>
  </si>
  <si>
    <t xml:space="preserve">current_plus_long_term_debt_with_filed_absence_when_not_reported</t>
  </si>
  <si>
    <t xml:space="preserve">LongTermDebtCurrent</t>
  </si>
  <si>
    <t xml:space="preserve">Long-term Debt, Current Maturities</t>
  </si>
  <si>
    <t xml:space="preserve">us-gaap:CommercialPaper</t>
  </si>
  <si>
    <t xml:space="preserve">Commercial Paper</t>
  </si>
  <si>
    <t xml:space="preserve">LongTermDebtNoncurrent</t>
  </si>
  <si>
    <t xml:space="preserve">Long-term Debt, Excluding Current Maturities</t>
  </si>
  <si>
    <t xml:space="preserve">Noncontrolling interest</t>
  </si>
  <si>
    <t xml:space="preserve">MinorityInterest</t>
  </si>
  <si>
    <t xml:space="preserve">Stockholders' Equity Attributable to Noncontrolling Interest</t>
  </si>
  <si>
    <t xml:space="preserve">Preferred equity</t>
  </si>
  <si>
    <t xml:space="preserve">PreferredStockValue</t>
  </si>
  <si>
    <t xml:space="preserve">Preferred Stock, Value, Issued</t>
  </si>
  <si>
    <t xml:space="preserve">Diluted shares</t>
  </si>
  <si>
    <t xml:space="preserve">shares</t>
  </si>
  <si>
    <t xml:space="preserve">companyfacts_preferred_direct</t>
  </si>
  <si>
    <t xml:space="preserve">us-gaap:WeightedAverageNumberOfDilutedSharesOutstanding</t>
  </si>
  <si>
    <t xml:space="preserve">Weighted Average Number of Shares Outstanding, Diluted</t>
  </si>
  <si>
    <t xml:space="preserve">marketable_securities</t>
  </si>
  <si>
    <t xml:space="preserve">SEC 10-K consolidated balance sheet, short-term investments</t>
  </si>
  <si>
    <t xml:space="preserve">not_applicable</t>
  </si>
  <si>
    <t xml:space="preserve">no_preferred_stock_fact_disclosed_in_filed_10k</t>
  </si>
  <si>
    <t xml:space="preserve">preferred_equity</t>
  </si>
  <si>
    <t xml:space="preserve">Preferred equity not reported as outstanding in annual XBRL facts</t>
  </si>
  <si>
    <t xml:space="preserve">Abrysvo japan basic_patent_expiration_year — 2036 (2039 pending PTE)</t>
  </si>
  <si>
    <t xml:space="preserve">calendar year</t>
  </si>
  <si>
    <t xml:space="preserve">basic_patent_expiration_year</t>
  </si>
  <si>
    <t xml:space="preserve">SEC 10-K Item 1, japan basic product-patent-expiration table</t>
  </si>
  <si>
    <t xml:space="preserve">Abrysvo major_europe basic_patent_expiration_year — 2036</t>
  </si>
  <si>
    <t xml:space="preserve">SEC 10-K Item 1, major_europe basic product-patent-expiration table</t>
  </si>
  <si>
    <t xml:space="preserve">Abrysvo us basic_patent_expiration_year — 2036 (2037 pending PTE)</t>
  </si>
  <si>
    <t xml:space="preserve">SEC 10-K Item 1, us basic product-patent-expiration table</t>
  </si>
  <si>
    <t xml:space="preserve">Adcetris (4) us basic_patent_expiration_year — 2026</t>
  </si>
  <si>
    <t xml:space="preserve">Adcetris (4)</t>
  </si>
  <si>
    <t xml:space="preserve">Braftovi (11) us basic_patent_expiration_year — 2030 (2031 pending PTE)</t>
  </si>
  <si>
    <t xml:space="preserve">Braftovi (11)</t>
  </si>
  <si>
    <t xml:space="preserve">Cibinqo japan basic_patent_expiration_year — 2038</t>
  </si>
  <si>
    <t xml:space="preserve">Cibinqo major_europe basic_patent_expiration_year — 2036</t>
  </si>
  <si>
    <t xml:space="preserve">Cibinqo us basic_patent_expiration_year — 2036</t>
  </si>
  <si>
    <t xml:space="preserve">Comirnaty (18) japan basic_patent_expiration_year — 2041</t>
  </si>
  <si>
    <t xml:space="preserve">Comirnaty (18)</t>
  </si>
  <si>
    <t xml:space="preserve">Comirnaty (18) us basic_patent_expiration_year — 2041</t>
  </si>
  <si>
    <t xml:space="preserve">Eliquis japan basic_patent_expiration_year — 2026</t>
  </si>
  <si>
    <t xml:space="preserve">Eliquis</t>
  </si>
  <si>
    <t xml:space="preserve">Eliquis major_europe basic_patent_expiration_year — 2026 (6)</t>
  </si>
  <si>
    <t xml:space="preserve">Eliquis us basic_patent_expiration_year — 2027 (5)</t>
  </si>
  <si>
    <t xml:space="preserve">Elrexfio japan basic_patent_expiration_year — 2036 (2038 pending PTE)</t>
  </si>
  <si>
    <t xml:space="preserve">Elrexfio</t>
  </si>
  <si>
    <t xml:space="preserve">Elrexfio major_europe basic_patent_expiration_year — 2036 (2038 pending SPC)</t>
  </si>
  <si>
    <t xml:space="preserve">Elrexfio us basic_patent_expiration_year — 2036 (2037 pending PTE)</t>
  </si>
  <si>
    <t xml:space="preserve">Hympavzi japan basic_patent_expiration_year — 2036 (2041 pending PTE)</t>
  </si>
  <si>
    <t xml:space="preserve">Hympavzi</t>
  </si>
  <si>
    <t xml:space="preserve">Hympavzi us basic_patent_expiration_year — 2036 (2038 pending PTE)</t>
  </si>
  <si>
    <t xml:space="preserve">Ibrance japan basic_patent_expiration_year — 2028</t>
  </si>
  <si>
    <t xml:space="preserve">Ibrance major_europe basic_patent_expiration_year — 2028</t>
  </si>
  <si>
    <t xml:space="preserve">Ibrance us basic_patent_expiration_year — 2027</t>
  </si>
  <si>
    <t xml:space="preserve">Litfulo japan basic_patent_expiration_year — 2039</t>
  </si>
  <si>
    <t xml:space="preserve">Litfulo</t>
  </si>
  <si>
    <t xml:space="preserve">Litfulo major_europe basic_patent_expiration_year — 2038</t>
  </si>
  <si>
    <t xml:space="preserve">Litfulo us basic_patent_expiration_year — 2034 (2037 pending PTE)</t>
  </si>
  <si>
    <t xml:space="preserve">Lorbrena japan basic_patent_expiration_year — 2036</t>
  </si>
  <si>
    <t xml:space="preserve">Lorbrena major_europe basic_patent_expiration_year — 2034</t>
  </si>
  <si>
    <t xml:space="preserve">Lorbrena us basic_patent_expiration_year — 2033</t>
  </si>
  <si>
    <t xml:space="preserve">Mektovi (11) us basic_patent_expiration_year — 2026 (2027 pending PTE) (12)</t>
  </si>
  <si>
    <t xml:space="preserve">Mektovi (11)</t>
  </si>
  <si>
    <t xml:space="preserve">Ngenla (15) japan basic_patent_expiration_year — 2030 (2)</t>
  </si>
  <si>
    <t xml:space="preserve">Ngenla (15)</t>
  </si>
  <si>
    <t xml:space="preserve">Ngenla (15) major_europe basic_patent_expiration_year — 2032 (2)</t>
  </si>
  <si>
    <t xml:space="preserve">Ngenla (15) us basic_patent_expiration_year — 2035 (2)</t>
  </si>
  <si>
    <t xml:space="preserve">Nurtec ODT/Vydura japan basic_patent_expiration_year — 2035 (2)</t>
  </si>
  <si>
    <t xml:space="preserve">Nurtec ODT/Vydura major_europe basic_patent_expiration_year — 2035</t>
  </si>
  <si>
    <t xml:space="preserve">Nurtec ODT/Vydura us basic_patent_expiration_year — 2034</t>
  </si>
  <si>
    <t xml:space="preserve">Padcev (13) us basic_patent_expiration_year — 2033</t>
  </si>
  <si>
    <t xml:space="preserve">Padcev (13)</t>
  </si>
  <si>
    <t xml:space="preserve">Paxlovid japan basic_patent_expiration_year — 2041</t>
  </si>
  <si>
    <t xml:space="preserve">Paxlovid</t>
  </si>
  <si>
    <t xml:space="preserve">Paxlovid major_europe basic_patent_expiration_year — 2041</t>
  </si>
  <si>
    <t xml:space="preserve">Paxlovid us basic_patent_expiration_year — 2041</t>
  </si>
  <si>
    <t xml:space="preserve">Prevnar 13/Prevenar 13 japan basic_patent_expiration_year — 2029</t>
  </si>
  <si>
    <t xml:space="preserve">Prevnar 13/Prevenar 13</t>
  </si>
  <si>
    <t xml:space="preserve">Prevnar 13/Prevenar 13 us basic_patent_expiration_year — 2026</t>
  </si>
  <si>
    <t xml:space="preserve">Prevnar 20/Prevenar 20 japan basic_patent_expiration_year — 2038</t>
  </si>
  <si>
    <t xml:space="preserve">Prevnar 20/Prevenar 20</t>
  </si>
  <si>
    <t xml:space="preserve">Prevnar 20/Prevenar 20 major_europe basic_patent_expiration_year — 2037</t>
  </si>
  <si>
    <t xml:space="preserve">Prevnar 20/Prevenar 20 us basic_patent_expiration_year — 2035</t>
  </si>
  <si>
    <t xml:space="preserve">Talzenna japan basic_patent_expiration_year — 2034</t>
  </si>
  <si>
    <t xml:space="preserve">Talzenna</t>
  </si>
  <si>
    <t xml:space="preserve">Talzenna major_europe basic_patent_expiration_year — 2034</t>
  </si>
  <si>
    <t xml:space="preserve">Talzenna us basic_patent_expiration_year — 2029 (2032 pending PTE)</t>
  </si>
  <si>
    <t xml:space="preserve">Tivdak (16) us basic_patent_expiration_year — 2035</t>
  </si>
  <si>
    <t xml:space="preserve">Tivdak (16)</t>
  </si>
  <si>
    <t xml:space="preserve">Tukysa japan basic_patent_expiration_year — 2034 (2)</t>
  </si>
  <si>
    <t xml:space="preserve">Tukysa</t>
  </si>
  <si>
    <t xml:space="preserve">Tukysa major_europe basic_patent_expiration_year — 2031</t>
  </si>
  <si>
    <t xml:space="preserve">Tukysa us basic_patent_expiration_year — 2031 (2034 pending PTE)</t>
  </si>
  <si>
    <t xml:space="preserve">Velsipity japan basic_patent_expiration_year — 2035 (2)</t>
  </si>
  <si>
    <t xml:space="preserve">Velsipity</t>
  </si>
  <si>
    <t xml:space="preserve">Velsipity major_europe basic_patent_expiration_year — 2034</t>
  </si>
  <si>
    <t xml:space="preserve">Velsipity us basic_patent_expiration_year — 2030 (2035 pending PTE)</t>
  </si>
  <si>
    <t xml:space="preserve">Vyndaqel/Vyndamax/Vynmac japan basic_patent_expiration_year — 2026/2029 (9)</t>
  </si>
  <si>
    <t xml:space="preserve">Vyndaqel/Vyndamax/Vynmac</t>
  </si>
  <si>
    <t xml:space="preserve">Vyndaqel/Vyndamax/Vynmac major_europe basic_patent_expiration_year — 2026</t>
  </si>
  <si>
    <t xml:space="preserve">Vyndaqel/Vyndamax/Vynmac us basic_patent_expiration_year — 2026 (2028 pending PTE) (8)</t>
  </si>
  <si>
    <t xml:space="preserve">Xalkori japan basic_patent_expiration_year — 2028</t>
  </si>
  <si>
    <t xml:space="preserve">Xalkori</t>
  </si>
  <si>
    <t xml:space="preserve">Xalkori major_europe basic_patent_expiration_year — 2027 (10)</t>
  </si>
  <si>
    <t xml:space="preserve">Xalkori us basic_patent_expiration_year — 2029</t>
  </si>
  <si>
    <t xml:space="preserve">Xeljanz japan basic_patent_expiration_year — 2025</t>
  </si>
  <si>
    <t xml:space="preserve">Xeljanz major_europe basic_patent_expiration_year — 2028 (2)</t>
  </si>
  <si>
    <t xml:space="preserve">Xeljanz us basic_patent_expiration_year — 2026</t>
  </si>
  <si>
    <t xml:space="preserve">Xtandi (7) us basic_patent_expiration_year — 2027</t>
  </si>
  <si>
    <t xml:space="preserve">Xtandi (7)</t>
  </si>
  <si>
    <t xml:space="preserve">Zavzpret japan basic_patent_expiration_year — 2031 (14)</t>
  </si>
  <si>
    <t xml:space="preserve">Zavzpret</t>
  </si>
  <si>
    <t xml:space="preserve">Zavzpret major_europe basic_patent_expiration_year — 2031 (14)</t>
  </si>
  <si>
    <t xml:space="preserve">Zavzpret us basic_patent_expiration_year — 2031 (2034 pending PTE)</t>
  </si>
  <si>
    <t xml:space="preserve">Abrysvo japan pending_patent_term_extension_year — 2036 (2039 pending PTE)</t>
  </si>
  <si>
    <t xml:space="preserve">pending_patent_term_extension_year</t>
  </si>
  <si>
    <t xml:space="preserve">SEC 10-K Item 1, japan patent-term-extension disclosure</t>
  </si>
  <si>
    <t xml:space="preserve">Abrysvo us pending_patent_term_extension_year — 2036 (2037 pending PTE)</t>
  </si>
  <si>
    <t xml:space="preserve">SEC 10-K Item 1, us patent-term-extension disclosure</t>
  </si>
  <si>
    <t xml:space="preserve">Braftovi (11) us pending_patent_term_extension_year — 2030 (2031 pending PTE)</t>
  </si>
  <si>
    <t xml:space="preserve">Elrexfio japan pending_patent_term_extension_year — 2036 (2038 pending PTE)</t>
  </si>
  <si>
    <t xml:space="preserve">Elrexfio major_europe pending_patent_term_extension_year — 2036 (2038 pending SPC)</t>
  </si>
  <si>
    <t xml:space="preserve">SEC 10-K Item 1, major_europe patent-term-extension disclosure</t>
  </si>
  <si>
    <t xml:space="preserve">Elrexfio us pending_patent_term_extension_year — 2036 (2037 pending PTE)</t>
  </si>
  <si>
    <t xml:space="preserve">Hympavzi japan pending_patent_term_extension_year — 2036 (2041 pending PTE)</t>
  </si>
  <si>
    <t xml:space="preserve">Hympavzi us pending_patent_term_extension_year — 2036 (2038 pending PTE)</t>
  </si>
  <si>
    <t xml:space="preserve">Litfulo us pending_patent_term_extension_year — 2034 (2037 pending PTE)</t>
  </si>
  <si>
    <t xml:space="preserve">Mektovi (11) us pending_patent_term_extension_year — 2026 (2027 pending PTE) (12)</t>
  </si>
  <si>
    <t xml:space="preserve">Talzenna us pending_patent_term_extension_year — 2029 (2032 pending PTE)</t>
  </si>
  <si>
    <t xml:space="preserve">Tukysa us pending_patent_term_extension_year — 2031 (2034 pending PTE)</t>
  </si>
  <si>
    <t xml:space="preserve">Velsipity us pending_patent_term_extension_year — 2030 (2035 pending PTE)</t>
  </si>
  <si>
    <t xml:space="preserve">Vyndaqel/Vyndamax/Vynmac us pending_patent_term_extension_year — 2026 (2028 pending PTE) (8)</t>
  </si>
  <si>
    <t xml:space="preserve">Zavzpret us pending_patent_term_extension_year — 2031 (2034 pending PTE)</t>
  </si>
  <si>
    <t xml:space="preserve">Assumption</t>
  </si>
  <si>
    <t xml:space="preserve">productGrowth</t>
  </si>
  <si>
    <t xml:space="preserve">analyst_or_market</t>
  </si>
  <si>
    <t xml:space="preserve">Each product starts from its FY2023–FY2025 filed CAGR; COVID products, direction-reversal series, or out-of-range CAGRs use the latest filed year-over-year change instead.</t>
  </si>
  <si>
    <t xml:space="preserve">modeledGlobalLoeYear</t>
  </si>
  <si>
    <t xml:space="preserve">Editable analyst proxy initialized from the filed U.S. basic patent expiration; regional sales mix and generic-entry timing are not disclosed per product.</t>
  </si>
  <si>
    <t xml:space="preserve">firstYearErosionRate</t>
  </si>
  <si>
    <t xml:space="preserve">Analyst base-case assumption: 50% sales decline in the modeled global LOE year; editable by product, not Pfizer guidance.</t>
  </si>
  <si>
    <t xml:space="preserve">postLoeAnnualErosionRate</t>
  </si>
  <si>
    <t xml:space="preserve">Analyst base-case assumption: 15% annual decline after the modeled LOE year; editable by product, not Pfizer guidance.</t>
  </si>
  <si>
    <t xml:space="preserve">otherRevenueGrowth</t>
  </si>
  <si>
    <t xml:space="preserve">Filed consolidated total revenue less detailed product rows, including alliance, royalty, and other unallocated revenue; starts from historical residual CAGR.</t>
  </si>
  <si>
    <t xml:space="preserve">ebitMargin</t>
  </si>
  <si>
    <t xml:space="preserve">Median FY2023–FY2025 GAAP EBIT / filed consolidated total revenue; editable and retains historical GAAP charges in actuals.</t>
  </si>
  <si>
    <t xml:space="preserve">taxRate</t>
  </si>
  <si>
    <t xml:space="preserve">Analyst starting point: 21% U.S. federal corporate statutory rate per IRS Publication 542 (https://www.irs.gov/publications/p542); Pfizer global tax mix and tax attributes can differ.</t>
  </si>
  <si>
    <t xml:space="preserve">depreciationPctRevenue</t>
  </si>
  <si>
    <t xml:space="preserve">Median FY2023–FY2025 filed D&amp;A / consolidated total revenue.</t>
  </si>
  <si>
    <t xml:space="preserve">capexPctRevenue</t>
  </si>
  <si>
    <t xml:space="preserve">Median FY2023–FY2025 filed PP&amp;E purchases / consolidated total revenue.</t>
  </si>
  <si>
    <t xml:space="preserve">workingCapitalInvestmentPctRevenue</t>
  </si>
  <si>
    <t xml:space="preserve">Median FY2023–FY2025 filed cash-flow-derived operating working-capital investment / consolidated total revenue.</t>
  </si>
  <si>
    <t xml:space="preserve">wacc</t>
  </si>
  <si>
    <t xml:space="preserve">CAPM uses risk-free rate 0.0528, beta 0.299, ERP 0.0838, current market capitalization, filed debt, and the editable tax assumption as of 2026-10-03.</t>
  </si>
  <si>
    <t xml:space="preserve">terminalGrowthRate</t>
  </si>
  <si>
    <t xml:space="preserve">Analyst input: 2.5% perpetual FCFF growth, editable and required to remain below WACC.</t>
  </si>
  <si>
    <t xml:space="preserve">marketableSecurities</t>
  </si>
  <si>
    <t xml:space="preserve">Uses FY2025 filed short-term investments in the common-equity bridge. Long-term equity-method/private investments are not included in cash-like assets.</t>
  </si>
  <si>
    <t xml:space="preserve">Abrysvo modeled LOE and growth</t>
  </si>
  <si>
    <t xml:space="preserve">analyst_input</t>
  </si>
  <si>
    <t xml:space="preserve">Modeled global LOE year is initialized from the filed U.S. basic patent year 2036; Pfizer does not disclose product-level sales by patent territory or expected generic-entry dates.  A pending U.S. patent-term extension to 2037 is disclosed separately and is not assumed approved. Three-year growth is distorted or reverses direction; pre-LOE growth starts from the latest filed year-over-year change. Growth and erosion assumptions are editable and are not Pfizer guidance.</t>
  </si>
  <si>
    <t xml:space="preserve">Adcetris (e) modeled LOE and growth</t>
  </si>
  <si>
    <t xml:space="preserve">Modeled global LOE year is initialized from the filed U.S. basic patent year 2026; Pfizer does not disclose product-level sales by patent territory or expected generic-entry dates.  Three-year growth is distorted or reverses direction; pre-LOE growth starts from the latest filed year-over-year change. Growth and erosion assumptions are editable and are not Pfizer guidance.</t>
  </si>
  <si>
    <t xml:space="preserve">All other Hospital modeled LOE and growth</t>
  </si>
  <si>
    <t xml:space="preserve">No matching U.S. basic patent row was disclosed for this product-table label; no LOE event is modeled unless the analyst enters one. Pre-LOE growth starts from the FY2023–FY2025 filed revenue CAGR. Growth and erosion assumptions are editable and are not Pfizer guidance.</t>
  </si>
  <si>
    <t xml:space="preserve">All other Primary Care modeled LOE and growth</t>
  </si>
  <si>
    <t xml:space="preserve">All other Specialty Care modeled LOE and growth</t>
  </si>
  <si>
    <t xml:space="preserve">Bosulif modeled LOE and growth</t>
  </si>
  <si>
    <t xml:space="preserve">Braftovi/Mektovi modeled LOE and growth</t>
  </si>
  <si>
    <t xml:space="preserve">Modeled global LOE year is initialized from the filed U.S. basic patent year 2026; Pfizer does not disclose product-level sales by patent territory or expected generic-entry dates. The product table groups this family; the U.S. timing proxy uses the earliest patent year among Braftovi (11) and Mektovi (11). A pending U.S. patent-term extension to 2027 is disclosed separately and is not assumed approved. Pre-LOE growth starts from the FY2023–FY2025 filed revenue CAGR. Growth and erosion assumptions are editable and are not Pfizer guidance.</t>
  </si>
  <si>
    <t xml:space="preserve">Cibinqo modeled LOE and growth</t>
  </si>
  <si>
    <t xml:space="preserve">Modeled global LOE year is initialized from the filed U.S. basic patent year 2036; Pfizer does not disclose product-level sales by patent territory or expected generic-entry dates.  Pre-LOE growth starts from the FY2023–FY2025 filed revenue CAGR. Growth and erosion assumptions are editable and are not Pfizer guidance.</t>
  </si>
  <si>
    <t xml:space="preserve">Comirnaty modeled LOE and growth</t>
  </si>
  <si>
    <t xml:space="preserve">Modeled global LOE year is initialized from the filed U.S. basic patent year 2041; Pfizer does not disclose product-level sales by patent territory or expected generic-entry dates.  Pre-LOE growth starts from latest FY2024–FY2025 filed year-over-year sales because COVID product sales are unusually volatile. Growth and erosion assumptions are editable and are not Pfizer guidance.</t>
  </si>
  <si>
    <t xml:space="preserve">Cresemba modeled LOE and growth</t>
  </si>
  <si>
    <t xml:space="preserve">Eliquis (a) modeled LOE and growth</t>
  </si>
  <si>
    <t xml:space="preserve">Modeled global LOE year is initialized from the filed U.S. basic patent year 2027; Pfizer does not disclose product-level sales by patent territory or expected generic-entry dates.  Pre-LOE growth starts from the FY2023–FY2025 filed revenue CAGR. Growth and erosion assumptions are editable and are not Pfizer guidance.</t>
  </si>
  <si>
    <t xml:space="preserve">Enbrel (Outside the U.S. and Canada) modeled LOE and growth</t>
  </si>
  <si>
    <t xml:space="preserve">FSME-IMMUN/TicoVac modeled LOE and growth</t>
  </si>
  <si>
    <t xml:space="preserve">Genotropin modeled LOE and growth</t>
  </si>
  <si>
    <t xml:space="preserve">Ibrance modeled LOE and growth</t>
  </si>
  <si>
    <t xml:space="preserve">Inflectra modeled LOE and growth</t>
  </si>
  <si>
    <t xml:space="preserve">Inlyta modeled LOE and growth</t>
  </si>
  <si>
    <t xml:space="preserve">Lorbrena modeled LOE and growth</t>
  </si>
  <si>
    <t xml:space="preserve">Modeled global LOE year is initialized from the filed U.S. basic patent year 2033; Pfizer does not disclose product-level sales by patent territory or expected generic-entry dates.  Pre-LOE growth starts from the FY2023–FY2025 filed revenue CAGR. Growth and erosion assumptions are editable and are not Pfizer guidance.</t>
  </si>
  <si>
    <t xml:space="preserve">Nurtec ODT/Vydura modeled LOE and growth</t>
  </si>
  <si>
    <t xml:space="preserve">Modeled global LOE year is initialized from the filed U.S. basic patent year 2034; Pfizer does not disclose product-level sales by patent territory or expected generic-entry dates.  Pre-LOE growth starts from the FY2023–FY2025 filed revenue CAGR. Growth and erosion assumptions are editable and are not Pfizer guidance.</t>
  </si>
  <si>
    <t xml:space="preserve">Octagam modeled LOE and growth</t>
  </si>
  <si>
    <t xml:space="preserve">No matching U.S. basic patent row was disclosed for this product-table label; no LOE event is modeled unless the analyst enters one. Three-year growth is distorted or reverses direction; pre-LOE growth starts from the latest filed year-over-year change. Growth and erosion assumptions are editable and are not Pfizer guidance.</t>
  </si>
  <si>
    <t xml:space="preserve">Oncology biosimilars (d) modeled LOE and growth</t>
  </si>
  <si>
    <t xml:space="preserve">Padcev modeled LOE and growth</t>
  </si>
  <si>
    <t xml:space="preserve">Modeled global LOE year is initialized from the filed U.S. basic patent year 2033; Pfizer does not disclose product-level sales by patent territory or expected generic-entry dates.  Three-year growth is distorted or reverses direction; pre-LOE growth starts from the latest filed year-over-year change. Growth and erosion assumptions are editable and are not Pfizer guidance.</t>
  </si>
  <si>
    <t xml:space="preserve">Paxlovid (b) modeled LOE and growth</t>
  </si>
  <si>
    <t xml:space="preserve">Prevnar family modeled LOE and growth</t>
  </si>
  <si>
    <t xml:space="preserve">Modeled global LOE year is initialized from the filed U.S. basic patent year 2026; Pfizer does not disclose product-level sales by patent territory or expected generic-entry dates. The product table groups this family; the U.S. timing proxy uses the earliest patent year among Prevnar 13/Prevenar 13 and Prevnar 20/Prevenar 20. Pre-LOE growth starts from the FY2023–FY2025 filed revenue CAGR. Growth and erosion assumptions are editable and are not Pfizer guidance.</t>
  </si>
  <si>
    <t xml:space="preserve">Sulperazon (Outside the U.S. and Canada) modeled LOE and growth</t>
  </si>
  <si>
    <t xml:space="preserve">Vyndaqel family modeled LOE and growth</t>
  </si>
  <si>
    <t xml:space="preserve">Modeled global LOE year is initialized from the filed U.S. basic patent year 2026; Pfizer does not disclose product-level sales by patent territory or expected generic-entry dates.  A pending U.S. patent-term extension to 2028 is disclosed separately and is not assumed approved. Pre-LOE growth starts from the FY2023–FY2025 filed revenue CAGR. Growth and erosion assumptions are editable and are not Pfizer guidance.</t>
  </si>
  <si>
    <t xml:space="preserve">Xeljanz modeled LOE and growth</t>
  </si>
  <si>
    <t xml:space="preserve">Modeled global LOE year is initialized from the filed U.S. basic patent year 2026; Pfizer does not disclose product-level sales by patent territory or expected generic-entry dates.  Pre-LOE growth starts from the FY2023–FY2025 filed revenue CAGR. Growth and erosion assumptions are editable and are not Pfizer guidance.</t>
  </si>
  <si>
    <t xml:space="preserve">Xtandi (c) modeled LOE and growth</t>
  </si>
  <si>
    <t xml:space="preserve">Zavicefta (Outside the U.S. and Canada) modeled LOE and growth</t>
  </si>
  <si>
    <t xml:space="preserve">Zithromax modeled LOE and growth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</si>
</sst>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\$#,##0.00;[RED]&quot;($&quot;#,##0.00\);\-"/>
    <numFmt numFmtId="169" formatCode="#,##0.0;[RED]\(#,##0.0\);\-"/>
    <numFmt numFmtId="170" formatCode="0.0%;[RED]\(0.0%\);0.0%"/>
    <numFmt numFmtId="171" formatCode="0"/>
    <numFmt numFmtId="172" formatCode="&quot;FY&quot;0\A"/>
    <numFmt numFmtId="173" formatCode="&quot;FY&quot;0\E"/>
    <numFmt numFmtId="174" formatCode="#,##0.00"/>
  </numFmts>
  <fonts count="22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365F9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0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1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21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3" fontId="21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9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0"/>
    <cellStyle name="Comma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4" xfId="28"/>
    <cellStyle name="HeaderCellStyle" xfId="29"/>
    <cellStyle name="Normal 10" xfId="30"/>
    <cellStyle name="Normal 17" xfId="31"/>
    <cellStyle name="Normal 18" xfId="32"/>
    <cellStyle name="Normal 2" xfId="33"/>
    <cellStyle name="Normal 2 2" xfId="34"/>
    <cellStyle name="Normal 2 2 2" xfId="35"/>
    <cellStyle name="Normal 2 3" xfId="36"/>
    <cellStyle name="Normal 3" xfId="37"/>
    <cellStyle name="Normal 3 2 3" xfId="38"/>
    <cellStyle name="Normal 3 2 3 2" xfId="39"/>
    <cellStyle name="Normal 4" xfId="40"/>
    <cellStyle name="Normal 5" xfId="41"/>
    <cellStyle name="Normal 5 2" xfId="42"/>
    <cellStyle name="Normal 5 3" xfId="43"/>
    <cellStyle name="Normal 5 4" xfId="44"/>
    <cellStyle name="Normal 6" xfId="45"/>
    <cellStyle name="Normal 7" xfId="46"/>
    <cellStyle name="Normal 8" xfId="47"/>
    <cellStyle name="Normal_Ch01 Pics v2.2" xfId="48"/>
    <cellStyle name="Percent 2" xfId="49"/>
    <cellStyle name="Percent 3" xfId="50"/>
  </cellStyles>
  <dxfs count="4">
    <dxf>
      <fill>
        <patternFill patternType="solid">
          <fgColor rgb="FF365F9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96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5" ySplit="31" topLeftCell="F32" activePane="bottomRight" state="frozen"/>
      <selection pane="topLeft" activeCell="A1" activeCellId="0" sqref="A1"/>
      <selection pane="topRight" activeCell="F1" activeCellId="0" sqref="F1"/>
      <selection pane="bottomLeft" activeCell="A32" activeCellId="0" sqref="A32"/>
      <selection pane="bottomRigh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4"/>
    <col collapsed="false" customWidth="true" hidden="false" outlineLevel="0" max="10" min="3" style="0" width="12"/>
    <col collapsed="false" customWidth="true" hidden="false" outlineLevel="0" max="17" min="11" style="0" width="1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4" t="s">
        <v>3</v>
      </c>
      <c r="B5" s="5" t="n">
        <v>27.8</v>
      </c>
    </row>
    <row r="6" customFormat="false" ht="15" hidden="false" customHeight="false" outlineLevel="0" collapsed="false">
      <c r="A6" s="4" t="s">
        <v>4</v>
      </c>
      <c r="B6" s="6" t="n">
        <v>158450.925568</v>
      </c>
    </row>
    <row r="7" customFormat="false" ht="15" hidden="false" customHeight="false" outlineLevel="0" collapsed="false">
      <c r="A7" s="4" t="s">
        <v>5</v>
      </c>
      <c r="B7" s="6" t="n">
        <v>5699.673589</v>
      </c>
    </row>
    <row r="8" customFormat="false" ht="15" hidden="false" customHeight="false" outlineLevel="0" collapsed="false">
      <c r="A8" s="4" t="s">
        <v>6</v>
      </c>
      <c r="B8" s="6" t="n">
        <v>1142</v>
      </c>
    </row>
    <row r="9" customFormat="false" ht="15" hidden="false" customHeight="false" outlineLevel="0" collapsed="false">
      <c r="A9" s="4" t="s">
        <v>7</v>
      </c>
      <c r="B9" s="6" t="n">
        <v>12454</v>
      </c>
    </row>
    <row r="10" customFormat="false" ht="15" hidden="false" customHeight="false" outlineLevel="0" collapsed="false">
      <c r="A10" s="4" t="s">
        <v>8</v>
      </c>
      <c r="B10" s="6" t="n">
        <v>64638</v>
      </c>
    </row>
    <row r="11" customFormat="false" ht="15" hidden="false" customHeight="false" outlineLevel="0" collapsed="false">
      <c r="A11" s="4" t="s">
        <v>9</v>
      </c>
      <c r="B11" s="6" t="n">
        <v>299</v>
      </c>
    </row>
    <row r="12" customFormat="false" ht="15" hidden="false" customHeight="false" outlineLevel="0" collapsed="false">
      <c r="A12" s="4" t="s">
        <v>10</v>
      </c>
      <c r="B12" s="6" t="n">
        <v>0</v>
      </c>
    </row>
    <row r="13" customFormat="false" ht="15" hidden="false" customHeight="false" outlineLevel="0" collapsed="false">
      <c r="A13" s="4" t="s">
        <v>11</v>
      </c>
      <c r="B13" s="7" t="n">
        <v>0.0527699995040894</v>
      </c>
    </row>
    <row r="14" customFormat="false" ht="15" hidden="false" customHeight="false" outlineLevel="0" collapsed="false">
      <c r="A14" s="4" t="s">
        <v>12</v>
      </c>
      <c r="B14" s="7" t="n">
        <v>0.0838371068129586</v>
      </c>
    </row>
    <row r="15" customFormat="false" ht="15" hidden="false" customHeight="false" outlineLevel="0" collapsed="false">
      <c r="A15" s="4" t="s">
        <v>13</v>
      </c>
      <c r="B15" s="8" t="n">
        <v>0.299</v>
      </c>
    </row>
    <row r="16" customFormat="false" ht="15" hidden="false" customHeight="false" outlineLevel="0" collapsed="false">
      <c r="A16" s="4" t="s">
        <v>14</v>
      </c>
      <c r="B16" s="7" t="n">
        <v>0.0436627120066526</v>
      </c>
    </row>
    <row r="17" customFormat="false" ht="15" hidden="false" customHeight="false" outlineLevel="0" collapsed="false">
      <c r="A17" s="4" t="s">
        <v>15</v>
      </c>
      <c r="B17" s="7" t="n">
        <v>0.21</v>
      </c>
    </row>
    <row r="18" customFormat="false" ht="15" hidden="false" customHeight="false" outlineLevel="0" collapsed="false">
      <c r="A18" s="4" t="s">
        <v>16</v>
      </c>
      <c r="B18" s="9" t="n">
        <f aca="false">IFERROR(B10/(B6+B10),0)</f>
        <v>0.289740962423066</v>
      </c>
    </row>
    <row r="19" customFormat="false" ht="15" hidden="false" customHeight="false" outlineLevel="0" collapsed="false">
      <c r="A19" s="4" t="s">
        <v>17</v>
      </c>
      <c r="B19" s="9" t="n">
        <f aca="false">1-B18</f>
        <v>0.710259037576934</v>
      </c>
    </row>
    <row r="20" customFormat="false" ht="15" hidden="false" customHeight="false" outlineLevel="0" collapsed="false">
      <c r="A20" s="4" t="s">
        <v>18</v>
      </c>
      <c r="B20" s="9" t="n">
        <f aca="false">B13+B15*B14</f>
        <v>0.077837294441164</v>
      </c>
    </row>
    <row r="21" customFormat="false" ht="15" hidden="false" customHeight="false" outlineLevel="0" collapsed="false">
      <c r="A21" s="4" t="s">
        <v>19</v>
      </c>
      <c r="B21" s="9" t="n">
        <f aca="false">B19*B20+B18*B16*(1-B17)</f>
        <v>0.0652788340344324</v>
      </c>
    </row>
    <row r="22" customFormat="false" ht="15" hidden="false" customHeight="false" outlineLevel="0" collapsed="false">
      <c r="A22" s="4" t="s">
        <v>20</v>
      </c>
      <c r="B22" s="7" t="n">
        <v>0.194447532369861</v>
      </c>
    </row>
    <row r="23" customFormat="false" ht="15" hidden="false" customHeight="false" outlineLevel="0" collapsed="false">
      <c r="A23" s="4" t="s">
        <v>21</v>
      </c>
      <c r="B23" s="7" t="n">
        <v>0.162850157401045</v>
      </c>
    </row>
    <row r="24" customFormat="false" ht="15" hidden="false" customHeight="false" outlineLevel="0" collapsed="false">
      <c r="A24" s="4" t="s">
        <v>22</v>
      </c>
      <c r="B24" s="7" t="n">
        <v>0.105620203852031</v>
      </c>
    </row>
    <row r="25" customFormat="false" ht="15" hidden="false" customHeight="false" outlineLevel="0" collapsed="false">
      <c r="A25" s="4" t="s">
        <v>23</v>
      </c>
      <c r="B25" s="7" t="n">
        <v>0.045719584453141</v>
      </c>
    </row>
    <row r="26" customFormat="false" ht="15" hidden="false" customHeight="false" outlineLevel="0" collapsed="false">
      <c r="A26" s="4" t="s">
        <v>24</v>
      </c>
      <c r="B26" s="7" t="n">
        <v>0.0257249844676171</v>
      </c>
    </row>
    <row r="27" customFormat="false" ht="15" hidden="false" customHeight="false" outlineLevel="0" collapsed="false">
      <c r="A27" s="4" t="s">
        <v>25</v>
      </c>
      <c r="B27" s="7" t="n">
        <v>0.025</v>
      </c>
    </row>
    <row r="30" customFormat="false" ht="15" hidden="false" customHeight="false" outlineLevel="0" collapsed="false">
      <c r="A30" s="3" t="s">
        <v>26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customFormat="false" ht="33" hidden="false" customHeight="true" outlineLevel="0" collapsed="false">
      <c r="A31" s="10" t="s">
        <v>27</v>
      </c>
      <c r="B31" s="10" t="s">
        <v>28</v>
      </c>
      <c r="C31" s="11" t="n">
        <v>2023</v>
      </c>
      <c r="D31" s="11" t="n">
        <v>2024</v>
      </c>
      <c r="E31" s="11" t="n">
        <v>2025</v>
      </c>
      <c r="F31" s="12" t="n">
        <v>2026</v>
      </c>
      <c r="G31" s="12" t="n">
        <v>2027</v>
      </c>
      <c r="H31" s="12" t="n">
        <v>2028</v>
      </c>
      <c r="I31" s="12" t="n">
        <v>2029</v>
      </c>
      <c r="J31" s="12" t="n">
        <v>2030</v>
      </c>
      <c r="K31" s="10" t="s">
        <v>29</v>
      </c>
      <c r="L31" s="10" t="s">
        <v>30</v>
      </c>
      <c r="M31" s="10" t="s">
        <v>31</v>
      </c>
      <c r="N31" s="10" t="s">
        <v>32</v>
      </c>
      <c r="O31" s="10" t="s">
        <v>33</v>
      </c>
      <c r="P31" s="10" t="s">
        <v>34</v>
      </c>
      <c r="Q31" s="10" t="s">
        <v>35</v>
      </c>
    </row>
    <row r="32" customFormat="false" ht="23.85" hidden="false" customHeight="false" outlineLevel="0" collapsed="false">
      <c r="A32" s="13" t="s">
        <v>36</v>
      </c>
      <c r="B32" s="13" t="s">
        <v>37</v>
      </c>
      <c r="C32" s="14" t="n">
        <v>6747</v>
      </c>
      <c r="D32" s="14" t="n">
        <v>7366</v>
      </c>
      <c r="E32" s="14" t="n">
        <v>7961</v>
      </c>
      <c r="F32" s="15" t="n">
        <f aca="false">IF($N32="",E32*(1+$O32),IF(F$31&lt;$N32,E32*(1+$O32),IF(F$31=$N32,E32*(1+$O32)*(1-$P32),E32*(1-$Q32))))</f>
        <v>8647.60971591998</v>
      </c>
      <c r="G32" s="15" t="n">
        <f aca="false">IF($N32="",F32*(1+$O32),IF(G$31&lt;$N32,F32*(1+$O32),IF(G$31=$N32,F32*(1+$O32)*(1-$P32),F32*(1-$Q32))))</f>
        <v>4696.71861568105</v>
      </c>
      <c r="H32" s="15" t="n">
        <f aca="false">IF($N32="",G32*(1+$O32),IF(H$31&lt;$N32,G32*(1+$O32),IF(H$31=$N32,G32*(1+$O32)*(1-$P32),G32*(1-$Q32))))</f>
        <v>3992.21082332889</v>
      </c>
      <c r="I32" s="15" t="n">
        <f aca="false">IF($N32="",H32*(1+$O32),IF(I$31&lt;$N32,H32*(1+$O32),IF(I$31=$N32,H32*(1+$O32)*(1-$P32),H32*(1-$Q32))))</f>
        <v>3393.37919982956</v>
      </c>
      <c r="J32" s="15" t="n">
        <f aca="false">IF($N32="",I32*(1+$O32),IF(J$31&lt;$N32,I32*(1+$O32),IF(J$31=$N32,I32*(1+$O32)*(1-$P32),I32*(1-$Q32))))</f>
        <v>2884.37231985512</v>
      </c>
      <c r="K32" s="16" t="n">
        <v>2027</v>
      </c>
      <c r="L32" s="16" t="n">
        <v>2026</v>
      </c>
      <c r="M32" s="16" t="n">
        <v>2026</v>
      </c>
      <c r="N32" s="8" t="n">
        <v>2027</v>
      </c>
      <c r="O32" s="7" t="n">
        <v>0.0862466669915811</v>
      </c>
      <c r="P32" s="7" t="n">
        <v>0.5</v>
      </c>
      <c r="Q32" s="7" t="n">
        <v>0.15</v>
      </c>
    </row>
    <row r="33" customFormat="false" ht="46.25" hidden="false" customHeight="false" outlineLevel="0" collapsed="false">
      <c r="A33" s="13" t="s">
        <v>38</v>
      </c>
      <c r="B33" s="13" t="s">
        <v>39</v>
      </c>
      <c r="C33" s="14" t="n">
        <v>6501</v>
      </c>
      <c r="D33" s="14" t="n">
        <v>6411</v>
      </c>
      <c r="E33" s="14" t="n">
        <v>6494</v>
      </c>
      <c r="F33" s="15" t="n">
        <f aca="false">IF($N33="",E33*(1+$O33),IF(F$31&lt;$N33,E33*(1+$O33),IF(F$31=$N33,E33*(1+$O33)*(1-$P33),E33*(1-$Q33))))</f>
        <v>3245.25141349784</v>
      </c>
      <c r="G33" s="15" t="n">
        <f aca="false">IF($N33="",F33*(1+$O33),IF(G$31&lt;$N33,F33*(1+$O33),IF(G$31=$N33,F33*(1+$O33)*(1-$P33),F33*(1-$Q33))))</f>
        <v>2758.46370147316</v>
      </c>
      <c r="H33" s="15" t="n">
        <f aca="false">IF($N33="",G33*(1+$O33),IF(H$31&lt;$N33,G33*(1+$O33),IF(H$31=$N33,G33*(1+$O33)*(1-$P33),G33*(1-$Q33))))</f>
        <v>2344.69414625219</v>
      </c>
      <c r="I33" s="15" t="n">
        <f aca="false">IF($N33="",H33*(1+$O33),IF(I$31&lt;$N33,H33*(1+$O33),IF(I$31=$N33,H33*(1+$O33)*(1-$P33),H33*(1-$Q33))))</f>
        <v>1992.99002431436</v>
      </c>
      <c r="J33" s="15" t="n">
        <f aca="false">IF($N33="",I33*(1+$O33),IF(J$31&lt;$N33,I33*(1+$O33),IF(J$31=$N33,I33*(1+$O33)*(1-$P33),I33*(1-$Q33))))</f>
        <v>1694.04152066721</v>
      </c>
      <c r="K33" s="16" t="n">
        <v>2026</v>
      </c>
      <c r="L33" s="16" t="n">
        <v>2037</v>
      </c>
      <c r="M33" s="16" t="n">
        <v>2029</v>
      </c>
      <c r="N33" s="8" t="n">
        <v>2026</v>
      </c>
      <c r="O33" s="7" t="n">
        <v>-0.000538523714863293</v>
      </c>
      <c r="P33" s="7" t="n">
        <v>0.5</v>
      </c>
      <c r="Q33" s="7" t="n">
        <v>0.15</v>
      </c>
    </row>
    <row r="34" customFormat="false" ht="15" hidden="false" customHeight="false" outlineLevel="0" collapsed="false">
      <c r="A34" s="13" t="s">
        <v>40</v>
      </c>
      <c r="B34" s="13" t="s">
        <v>41</v>
      </c>
      <c r="C34" s="14" t="n">
        <v>3321</v>
      </c>
      <c r="D34" s="14" t="n">
        <v>5451</v>
      </c>
      <c r="E34" s="14" t="n">
        <v>6380</v>
      </c>
      <c r="F34" s="15" t="n">
        <f aca="false">IF($N34="",E34*(1+$O34),IF(F$31&lt;$N34,E34*(1+$O34),IF(F$31=$N34,E34*(1+$O34)*(1-$P34),E34*(1-$Q34))))</f>
        <v>4421.46900205165</v>
      </c>
      <c r="G34" s="15" t="n">
        <f aca="false">IF($N34="",F34*(1+$O34),IF(G$31&lt;$N34,F34*(1+$O34),IF(G$31=$N34,F34*(1+$O34)*(1-$P34),F34*(1-$Q34))))</f>
        <v>3758.2486517439</v>
      </c>
      <c r="H34" s="15" t="n">
        <f aca="false">IF($N34="",G34*(1+$O34),IF(H$31&lt;$N34,G34*(1+$O34),IF(H$31=$N34,G34*(1+$O34)*(1-$P34),G34*(1-$Q34))))</f>
        <v>3194.51135398232</v>
      </c>
      <c r="I34" s="15" t="n">
        <f aca="false">IF($N34="",H34*(1+$O34),IF(I$31&lt;$N34,H34*(1+$O34),IF(I$31=$N34,H34*(1+$O34)*(1-$P34),H34*(1-$Q34))))</f>
        <v>2715.33465088497</v>
      </c>
      <c r="J34" s="15" t="n">
        <f aca="false">IF($N34="",I34*(1+$O34),IF(J$31&lt;$N34,I34*(1+$O34),IF(J$31=$N34,I34*(1+$O34)*(1-$P34),I34*(1-$Q34))))</f>
        <v>2308.03445325222</v>
      </c>
      <c r="K34" s="16" t="n">
        <v>2026</v>
      </c>
      <c r="L34" s="16" t="n">
        <v>2026</v>
      </c>
      <c r="M34" s="16" t="n">
        <v>2026</v>
      </c>
      <c r="N34" s="8" t="n">
        <v>2026</v>
      </c>
      <c r="O34" s="7" t="n">
        <v>0.386040439514623</v>
      </c>
      <c r="P34" s="7" t="n">
        <v>0.5</v>
      </c>
      <c r="Q34" s="7" t="n">
        <v>0.15</v>
      </c>
    </row>
    <row r="35" customFormat="false" ht="23.85" hidden="false" customHeight="false" outlineLevel="0" collapsed="false">
      <c r="A35" s="13" t="s">
        <v>42</v>
      </c>
      <c r="B35" s="13" t="s">
        <v>43</v>
      </c>
      <c r="C35" s="14" t="n">
        <v>11220</v>
      </c>
      <c r="D35" s="14" t="n">
        <v>5353</v>
      </c>
      <c r="E35" s="14" t="n">
        <v>4367</v>
      </c>
      <c r="F35" s="15" t="n">
        <f aca="false">IF($N35="",E35*(1+$O35),IF(F$31&lt;$N35,E35*(1+$O35),IF(F$31=$N35,E35*(1+$O35)*(1-$P35),E35*(1-$Q35))))</f>
        <v>3562.61703717542</v>
      </c>
      <c r="G35" s="15" t="n">
        <f aca="false">IF($N35="",F35*(1+$O35),IF(G$31&lt;$N35,F35*(1+$O35),IF(G$31=$N35,F35*(1+$O35)*(1-$P35),F35*(1-$Q35))))</f>
        <v>2906.39802005325</v>
      </c>
      <c r="H35" s="15" t="n">
        <f aca="false">IF($N35="",G35*(1+$O35),IF(H$31&lt;$N35,G35*(1+$O35),IF(H$31=$N35,G35*(1+$O35)*(1-$P35),G35*(1-$Q35))))</f>
        <v>2371.05177537316</v>
      </c>
      <c r="I35" s="15" t="n">
        <f aca="false">IF($N35="",H35*(1+$O35),IF(I$31&lt;$N35,H35*(1+$O35),IF(I$31=$N35,H35*(1+$O35)*(1-$P35),H35*(1-$Q35))))</f>
        <v>1934.31404876791</v>
      </c>
      <c r="J35" s="15" t="n">
        <f aca="false">IF($N35="",I35*(1+$O35),IF(J$31&lt;$N35,I35*(1+$O35),IF(J$31=$N35,I35*(1+$O35)*(1-$P35),I35*(1-$Q35))))</f>
        <v>1578.02156752652</v>
      </c>
      <c r="K35" s="16" t="n">
        <v>2041</v>
      </c>
      <c r="L35" s="16"/>
      <c r="M35" s="16" t="n">
        <v>2041</v>
      </c>
      <c r="N35" s="8" t="n">
        <v>2041</v>
      </c>
      <c r="O35" s="7" t="n">
        <v>-0.184195778068373</v>
      </c>
      <c r="P35" s="7" t="n">
        <v>0.5</v>
      </c>
      <c r="Q35" s="7" t="n">
        <v>0.15</v>
      </c>
    </row>
    <row r="36" customFormat="false" ht="23.85" hidden="false" customHeight="false" outlineLevel="0" collapsed="false">
      <c r="A36" s="13" t="s">
        <v>44</v>
      </c>
      <c r="B36" s="13" t="s">
        <v>45</v>
      </c>
      <c r="C36" s="14" t="n">
        <v>4753</v>
      </c>
      <c r="D36" s="14" t="n">
        <v>4367</v>
      </c>
      <c r="E36" s="14" t="n">
        <v>4122</v>
      </c>
      <c r="F36" s="15" t="n">
        <f aca="false">IF($N36="",E36*(1+$O36),IF(F$31&lt;$N36,E36*(1+$O36),IF(F$31=$N36,E36*(1+$O36)*(1-$P36),E36*(1-$Q36))))</f>
        <v>3838.64609455722</v>
      </c>
      <c r="G36" s="15" t="n">
        <f aca="false">IF($N36="",F36*(1+$O36),IF(G$31&lt;$N36,F36*(1+$O36),IF(G$31=$N36,F36*(1+$O36)*(1-$P36),F36*(1-$Q36))))</f>
        <v>1787.38523038081</v>
      </c>
      <c r="H36" s="15" t="n">
        <f aca="false">IF($N36="",G36*(1+$O36),IF(H$31&lt;$N36,G36*(1+$O36),IF(H$31=$N36,G36*(1+$O36)*(1-$P36),G36*(1-$Q36))))</f>
        <v>1519.27744582369</v>
      </c>
      <c r="I36" s="15" t="n">
        <f aca="false">IF($N36="",H36*(1+$O36),IF(I$31&lt;$N36,H36*(1+$O36),IF(I$31=$N36,H36*(1+$O36)*(1-$P36),H36*(1-$Q36))))</f>
        <v>1291.38582895014</v>
      </c>
      <c r="J36" s="15" t="n">
        <f aca="false">IF($N36="",I36*(1+$O36),IF(J$31&lt;$N36,I36*(1+$O36),IF(J$31=$N36,I36*(1+$O36)*(1-$P36),I36*(1-$Q36))))</f>
        <v>1097.67795460762</v>
      </c>
      <c r="K36" s="16" t="n">
        <v>2027</v>
      </c>
      <c r="L36" s="16" t="n">
        <v>2028</v>
      </c>
      <c r="M36" s="16" t="n">
        <v>2028</v>
      </c>
      <c r="N36" s="8" t="n">
        <v>2027</v>
      </c>
      <c r="O36" s="7" t="n">
        <v>-0.0687418499375977</v>
      </c>
      <c r="P36" s="7" t="n">
        <v>0.5</v>
      </c>
      <c r="Q36" s="7" t="n">
        <v>0.15</v>
      </c>
    </row>
    <row r="37" customFormat="false" ht="15" hidden="false" customHeight="false" outlineLevel="0" collapsed="false">
      <c r="A37" s="13" t="s">
        <v>46</v>
      </c>
      <c r="B37" s="13" t="s">
        <v>47</v>
      </c>
      <c r="C37" s="14" t="n">
        <v>4514</v>
      </c>
      <c r="D37" s="14" t="n">
        <v>4167</v>
      </c>
      <c r="E37" s="14" t="n">
        <v>4030</v>
      </c>
      <c r="F37" s="15" t="n">
        <f aca="false">IF($N37="",E37*(1+$O37),IF(F$31&lt;$N37,E37*(1+$O37),IF(F$31=$N37,E37*(1+$O37)*(1-$P37),E37*(1-$Q37))))</f>
        <v>3807.82334264245</v>
      </c>
      <c r="G37" s="15" t="n">
        <f aca="false">IF($N37="",F37*(1+$O37),IF(G$31&lt;$N37,F37*(1+$O37),IF(G$31=$N37,F37*(1+$O37)*(1-$P37),F37*(1-$Q37))))</f>
        <v>3597.89543642003</v>
      </c>
      <c r="H37" s="15" t="n">
        <f aca="false">IF($N37="",G37*(1+$O37),IF(H$31&lt;$N37,G37*(1+$O37),IF(H$31=$N37,G37*(1+$O37)*(1-$P37),G37*(1-$Q37))))</f>
        <v>3399.54099930197</v>
      </c>
      <c r="I37" s="15" t="n">
        <f aca="false">IF($N37="",H37*(1+$O37),IF(I$31&lt;$N37,H37*(1+$O37),IF(I$31=$N37,H37*(1+$O37)*(1-$P37),H37*(1-$Q37))))</f>
        <v>3212.12197801788</v>
      </c>
      <c r="J37" s="15" t="n">
        <f aca="false">IF($N37="",I37*(1+$O37),IF(J$31&lt;$N37,I37*(1+$O37),IF(J$31=$N37,I37*(1+$O37)*(1-$P37),I37*(1-$Q37))))</f>
        <v>3035.03549561075</v>
      </c>
      <c r="K37" s="16"/>
      <c r="L37" s="16"/>
      <c r="M37" s="16"/>
      <c r="N37" s="8"/>
      <c r="O37" s="7" t="n">
        <v>-0.0551306842078292</v>
      </c>
      <c r="P37" s="7" t="n">
        <v>0.5</v>
      </c>
      <c r="Q37" s="7" t="n">
        <v>0.15</v>
      </c>
    </row>
    <row r="38" customFormat="false" ht="15" hidden="false" customHeight="false" outlineLevel="0" collapsed="false">
      <c r="A38" s="13" t="s">
        <v>48</v>
      </c>
      <c r="B38" s="13" t="s">
        <v>47</v>
      </c>
      <c r="C38" s="14" t="n">
        <v>2968</v>
      </c>
      <c r="D38" s="14" t="n">
        <v>2991</v>
      </c>
      <c r="E38" s="14" t="n">
        <v>2860</v>
      </c>
      <c r="F38" s="15" t="n">
        <f aca="false">IF($N38="",E38*(1+$O38),IF(F$31&lt;$N38,E38*(1+$O38),IF(F$31=$N38,E38*(1+$O38)*(1-$P38),E38*(1-$Q38))))</f>
        <v>2807.48278155595</v>
      </c>
      <c r="G38" s="15" t="n">
        <f aca="false">IF($N38="",F38*(1+$O38),IF(G$31&lt;$N38,F38*(1+$O38),IF(G$31=$N38,F38*(1+$O38)*(1-$P38),F38*(1-$Q38))))</f>
        <v>2755.92991913747</v>
      </c>
      <c r="H38" s="15" t="n">
        <f aca="false">IF($N38="",G38*(1+$O38),IF(H$31&lt;$N38,G38*(1+$O38),IF(H$31=$N38,G38*(1+$O38)*(1-$P38),G38*(1-$Q38))))</f>
        <v>2705.32370459907</v>
      </c>
      <c r="I38" s="15" t="n">
        <f aca="false">IF($N38="",H38*(1+$O38),IF(I$31&lt;$N38,H38*(1+$O38),IF(I$31=$N38,H38*(1+$O38)*(1-$P38),H38*(1-$Q38))))</f>
        <v>2655.646754964</v>
      </c>
      <c r="J38" s="15" t="n">
        <f aca="false">IF($N38="",I38*(1+$O38),IF(J$31&lt;$N38,I38*(1+$O38),IF(J$31=$N38,I38*(1+$O38)*(1-$P38),I38*(1-$Q38))))</f>
        <v>2606.88200645328</v>
      </c>
      <c r="K38" s="16"/>
      <c r="L38" s="16"/>
      <c r="M38" s="16"/>
      <c r="N38" s="8"/>
      <c r="O38" s="7" t="n">
        <v>-0.0183626637916247</v>
      </c>
      <c r="P38" s="7" t="n">
        <v>0.5</v>
      </c>
      <c r="Q38" s="7" t="n">
        <v>0.15</v>
      </c>
    </row>
    <row r="39" customFormat="false" ht="15" hidden="false" customHeight="false" outlineLevel="0" collapsed="false">
      <c r="A39" s="13" t="s">
        <v>49</v>
      </c>
      <c r="B39" s="13" t="s">
        <v>50</v>
      </c>
      <c r="C39" s="14" t="n">
        <v>1279</v>
      </c>
      <c r="D39" s="14" t="n">
        <v>5716</v>
      </c>
      <c r="E39" s="14" t="n">
        <v>2362</v>
      </c>
      <c r="F39" s="15" t="n">
        <f aca="false">IF($N39="",E39*(1+$O39),IF(F$31&lt;$N39,E39*(1+$O39),IF(F$31=$N39,E39*(1+$O39)*(1-$P39),E39*(1-$Q39))))</f>
        <v>976.03988803359</v>
      </c>
      <c r="G39" s="15" t="n">
        <f aca="false">IF($N39="",F39*(1+$O39),IF(G$31&lt;$N39,F39*(1+$O39),IF(G$31=$N39,F39*(1+$O39)*(1-$P39),F39*(1-$Q39))))</f>
        <v>403.325090191627</v>
      </c>
      <c r="H39" s="15" t="n">
        <f aca="false">IF($N39="",G39*(1+$O39),IF(H$31&lt;$N39,G39*(1+$O39),IF(H$31=$N39,G39*(1+$O39)*(1-$P39),G39*(1-$Q39))))</f>
        <v>166.664426702698</v>
      </c>
      <c r="I39" s="15" t="n">
        <f aca="false">IF($N39="",H39*(1+$O39),IF(I$31&lt;$N39,H39*(1+$O39),IF(I$31=$N39,H39*(1+$O39)*(1-$P39),H39*(1-$Q39))))</f>
        <v>68.8700797536342</v>
      </c>
      <c r="J39" s="15" t="n">
        <f aca="false">IF($N39="",I39*(1+$O39),IF(J$31&lt;$N39,I39*(1+$O39),IF(J$31=$N39,I39*(1+$O39)*(1-$P39),I39*(1-$Q39))))</f>
        <v>28.4589097932267</v>
      </c>
      <c r="K39" s="16" t="n">
        <v>2041</v>
      </c>
      <c r="L39" s="16" t="n">
        <v>2041</v>
      </c>
      <c r="M39" s="16" t="n">
        <v>2041</v>
      </c>
      <c r="N39" s="8" t="n">
        <v>2041</v>
      </c>
      <c r="O39" s="7" t="n">
        <v>-0.586773967809657</v>
      </c>
      <c r="P39" s="7" t="n">
        <v>0.5</v>
      </c>
      <c r="Q39" s="7" t="n">
        <v>0.15</v>
      </c>
    </row>
    <row r="40" customFormat="false" ht="23.85" hidden="false" customHeight="false" outlineLevel="0" collapsed="false">
      <c r="A40" s="13" t="s">
        <v>51</v>
      </c>
      <c r="B40" s="13" t="s">
        <v>52</v>
      </c>
      <c r="C40" s="14" t="n">
        <v>1659</v>
      </c>
      <c r="D40" s="14" t="n">
        <v>2039</v>
      </c>
      <c r="E40" s="14" t="n">
        <v>2194</v>
      </c>
      <c r="F40" s="15" t="n">
        <f aca="false">IF($N40="",E40*(1+$O40),IF(F$31&lt;$N40,E40*(1+$O40),IF(F$31=$N40,E40*(1+$O40)*(1-$P40),E40*(1-$Q40))))</f>
        <v>2523.08418764865</v>
      </c>
      <c r="G40" s="15" t="n">
        <f aca="false">IF($N40="",F40*(1+$O40),IF(G$31&lt;$N40,F40*(1+$O40),IF(G$31=$N40,F40*(1+$O40)*(1-$P40),F40*(1-$Q40))))</f>
        <v>1450.76431585292</v>
      </c>
      <c r="H40" s="15" t="n">
        <f aca="false">IF($N40="",G40*(1+$O40),IF(H$31&lt;$N40,G40*(1+$O40),IF(H$31=$N40,G40*(1+$O40)*(1-$P40),G40*(1-$Q40))))</f>
        <v>1233.14966847498</v>
      </c>
      <c r="I40" s="15" t="n">
        <f aca="false">IF($N40="",H40*(1+$O40),IF(I$31&lt;$N40,H40*(1+$O40),IF(I$31=$N40,H40*(1+$O40)*(1-$P40),H40*(1-$Q40))))</f>
        <v>1048.17721820374</v>
      </c>
      <c r="J40" s="15" t="n">
        <f aca="false">IF($N40="",I40*(1+$O40),IF(J$31&lt;$N40,I40*(1+$O40),IF(J$31=$N40,I40*(1+$O40)*(1-$P40),I40*(1-$Q40))))</f>
        <v>890.950635473176</v>
      </c>
      <c r="K40" s="16" t="n">
        <v>2027</v>
      </c>
      <c r="L40" s="16"/>
      <c r="M40" s="16"/>
      <c r="N40" s="8" t="n">
        <v>2027</v>
      </c>
      <c r="O40" s="7" t="n">
        <v>0.149992792911871</v>
      </c>
      <c r="P40" s="7" t="n">
        <v>0.5</v>
      </c>
      <c r="Q40" s="7" t="n">
        <v>0.15</v>
      </c>
    </row>
    <row r="41" customFormat="false" ht="46.25" hidden="false" customHeight="false" outlineLevel="0" collapsed="false">
      <c r="A41" s="13" t="s">
        <v>53</v>
      </c>
      <c r="B41" s="13" t="s">
        <v>54</v>
      </c>
      <c r="C41" s="14" t="n">
        <v>53</v>
      </c>
      <c r="D41" s="14" t="n">
        <v>1588</v>
      </c>
      <c r="E41" s="14" t="n">
        <v>1940</v>
      </c>
      <c r="F41" s="15" t="n">
        <f aca="false">IF($N41="",E41*(1+$O41),IF(F$31&lt;$N41,E41*(1+$O41),IF(F$31=$N41,E41*(1+$O41)*(1-$P41),E41*(1-$Q41))))</f>
        <v>2370.02518891688</v>
      </c>
      <c r="G41" s="15" t="n">
        <f aca="false">IF($N41="",F41*(1+$O41),IF(G$31&lt;$N41,F41*(1+$O41),IF(G$31=$N41,F41*(1+$O41)*(1-$P41),F41*(1-$Q41))))</f>
        <v>2895.3708227322</v>
      </c>
      <c r="H41" s="15" t="n">
        <f aca="false">IF($N41="",G41*(1+$O41),IF(H$31&lt;$N41,G41*(1+$O41),IF(H$31=$N41,G41*(1+$O41)*(1-$P41),G41*(1-$Q41))))</f>
        <v>3537.16586656201</v>
      </c>
      <c r="I41" s="15" t="n">
        <f aca="false">IF($N41="",H41*(1+$O41),IF(I$31&lt;$N41,H41*(1+$O41),IF(I$31=$N41,H41*(1+$O41)*(1-$P41),H41*(1-$Q41))))</f>
        <v>4321.22278408709</v>
      </c>
      <c r="J41" s="15" t="n">
        <f aca="false">IF($N41="",I41*(1+$O41),IF(J$31&lt;$N41,I41*(1+$O41),IF(J$31=$N41,I41*(1+$O41)*(1-$P41),I41*(1-$Q41))))</f>
        <v>5279.07569340615</v>
      </c>
      <c r="K41" s="16" t="n">
        <v>2033</v>
      </c>
      <c r="L41" s="16"/>
      <c r="M41" s="16"/>
      <c r="N41" s="8" t="n">
        <v>2033</v>
      </c>
      <c r="O41" s="7" t="n">
        <v>0.221662468513854</v>
      </c>
      <c r="P41" s="7" t="n">
        <v>0.5</v>
      </c>
      <c r="Q41" s="7" t="n">
        <v>0.15</v>
      </c>
    </row>
    <row r="42" customFormat="false" ht="15" hidden="false" customHeight="false" outlineLevel="0" collapsed="false">
      <c r="A42" s="13" t="s">
        <v>55</v>
      </c>
      <c r="B42" s="13" t="s">
        <v>47</v>
      </c>
      <c r="C42" s="14" t="n">
        <v>1350</v>
      </c>
      <c r="D42" s="14" t="n">
        <v>1489</v>
      </c>
      <c r="E42" s="14" t="n">
        <v>1588</v>
      </c>
      <c r="F42" s="15" t="n">
        <f aca="false">IF($N42="",E42*(1+$O42),IF(F$31&lt;$N42,E42*(1+$O42),IF(F$31=$N42,E42*(1+$O42)*(1-$P42),E42*(1-$Q42))))</f>
        <v>1722.30024310728</v>
      </c>
      <c r="G42" s="15" t="n">
        <f aca="false">IF($N42="",F42*(1+$O42),IF(G$31&lt;$N42,F42*(1+$O42),IF(G$31=$N42,F42*(1+$O42)*(1-$P42),F42*(1-$Q42))))</f>
        <v>1867.95851851852</v>
      </c>
      <c r="H42" s="15" t="n">
        <f aca="false">IF($N42="",G42*(1+$O42),IF(H$31&lt;$N42,G42*(1+$O42),IF(H$31=$N42,G42*(1+$O42)*(1-$P42),G42*(1-$Q42))))</f>
        <v>2025.93539707731</v>
      </c>
      <c r="I42" s="15" t="n">
        <f aca="false">IF($N42="",H42*(1+$O42),IF(I$31&lt;$N42,H42*(1+$O42),IF(I$31=$N42,H42*(1+$O42)*(1-$P42),H42*(1-$Q42))))</f>
        <v>2197.27268696845</v>
      </c>
      <c r="J42" s="15" t="n">
        <f aca="false">IF($N42="",I42*(1+$O42),IF(J$31&lt;$N42,I42*(1+$O42),IF(J$31=$N42,I42*(1+$O42)*(1-$P42),I42*(1-$Q42))))</f>
        <v>2383.1003041176</v>
      </c>
      <c r="K42" s="16"/>
      <c r="L42" s="16"/>
      <c r="M42" s="16"/>
      <c r="N42" s="8"/>
      <c r="O42" s="7" t="n">
        <v>0.084571941503327</v>
      </c>
      <c r="P42" s="7" t="n">
        <v>0.5</v>
      </c>
      <c r="Q42" s="7" t="n">
        <v>0.15</v>
      </c>
    </row>
    <row r="43" customFormat="false" ht="23.85" hidden="false" customHeight="false" outlineLevel="0" collapsed="false">
      <c r="A43" s="13" t="s">
        <v>56</v>
      </c>
      <c r="B43" s="13" t="s">
        <v>57</v>
      </c>
      <c r="C43" s="14" t="n">
        <v>928</v>
      </c>
      <c r="D43" s="14" t="n">
        <v>1263</v>
      </c>
      <c r="E43" s="14" t="n">
        <v>1424</v>
      </c>
      <c r="F43" s="15" t="n">
        <f aca="false">IF($N43="",E43*(1+$O43),IF(F$31&lt;$N43,E43*(1+$O43),IF(F$31=$N43,E43*(1+$O43)*(1-$P43),E43*(1-$Q43))))</f>
        <v>1763.96919200558</v>
      </c>
      <c r="G43" s="15" t="n">
        <f aca="false">IF($N43="",F43*(1+$O43),IF(G$31&lt;$N43,F43*(1+$O43),IF(G$31=$N43,F43*(1+$O43)*(1-$P43),F43*(1-$Q43))))</f>
        <v>2185.10344827586</v>
      </c>
      <c r="H43" s="15" t="n">
        <f aca="false">IF($N43="",G43*(1+$O43),IF(H$31&lt;$N43,G43*(1+$O43),IF(H$31=$N43,G43*(1+$O43)*(1-$P43),G43*(1-$Q43))))</f>
        <v>2706.78031187064</v>
      </c>
      <c r="I43" s="15" t="n">
        <f aca="false">IF($N43="",H43*(1+$O43),IF(I$31&lt;$N43,H43*(1+$O43),IF(I$31=$N43,H43*(1+$O43)*(1-$P43),H43*(1-$Q43))))</f>
        <v>3353.00356718193</v>
      </c>
      <c r="J43" s="15" t="n">
        <f aca="false">IF($N43="",I43*(1+$O43),IF(J$31&lt;$N43,I43*(1+$O43),IF(J$31=$N43,I43*(1+$O43)*(1-$P43),I43*(1-$Q43))))</f>
        <v>4153.50771993942</v>
      </c>
      <c r="K43" s="16" t="n">
        <v>2034</v>
      </c>
      <c r="L43" s="16" t="n">
        <v>2035</v>
      </c>
      <c r="M43" s="16" t="n">
        <v>2035</v>
      </c>
      <c r="N43" s="8" t="n">
        <v>2034</v>
      </c>
      <c r="O43" s="7" t="n">
        <v>0.23874241011628</v>
      </c>
      <c r="P43" s="7" t="n">
        <v>0.5</v>
      </c>
      <c r="Q43" s="7" t="n">
        <v>0.15</v>
      </c>
    </row>
    <row r="44" customFormat="false" ht="15" hidden="false" customHeight="false" outlineLevel="0" collapsed="false">
      <c r="A44" s="13" t="s">
        <v>58</v>
      </c>
      <c r="B44" s="13" t="s">
        <v>47</v>
      </c>
      <c r="C44" s="14" t="n">
        <v>1407</v>
      </c>
      <c r="D44" s="14" t="n">
        <v>1037</v>
      </c>
      <c r="E44" s="14" t="n">
        <v>1301</v>
      </c>
      <c r="F44" s="15" t="n">
        <f aca="false">IF($N44="",E44*(1+$O44),IF(F$31&lt;$N44,E44*(1+$O44),IF(F$31=$N44,E44*(1+$O44)*(1-$P44),E44*(1-$Q44))))</f>
        <v>1632.20925747348</v>
      </c>
      <c r="G44" s="15" t="n">
        <f aca="false">IF($N44="",F44*(1+$O44),IF(G$31&lt;$N44,F44*(1+$O44),IF(G$31=$N44,F44*(1+$O44)*(1-$P44),F44*(1-$Q44))))</f>
        <v>2047.73794018611</v>
      </c>
      <c r="H44" s="15" t="n">
        <f aca="false">IF($N44="",G44*(1+$O44),IF(H$31&lt;$N44,G44*(1+$O44),IF(H$31=$N44,G44*(1+$O44)*(1-$P44),G44*(1-$Q44))))</f>
        <v>2569.05213132317</v>
      </c>
      <c r="I44" s="15" t="n">
        <f aca="false">IF($N44="",H44*(1+$O44),IF(I$31&lt;$N44,H44*(1+$O44),IF(I$31=$N44,H44*(1+$O44)*(1-$P44),H44*(1-$Q44))))</f>
        <v>3223.08276070535</v>
      </c>
      <c r="J44" s="15" t="n">
        <f aca="false">IF($N44="",I44*(1+$O44),IF(J$31&lt;$N44,I44*(1+$O44),IF(J$31=$N44,I44*(1+$O44)*(1-$P44),I44*(1-$Q44))))</f>
        <v>4043.6168482909</v>
      </c>
      <c r="K44" s="16"/>
      <c r="L44" s="16"/>
      <c r="M44" s="16"/>
      <c r="N44" s="8"/>
      <c r="O44" s="7" t="n">
        <v>0.254580520732883</v>
      </c>
      <c r="P44" s="7" t="n">
        <v>0.5</v>
      </c>
      <c r="Q44" s="7" t="n">
        <v>0.15</v>
      </c>
    </row>
    <row r="45" customFormat="false" ht="35.05" hidden="false" customHeight="false" outlineLevel="0" collapsed="false">
      <c r="A45" s="13" t="s">
        <v>59</v>
      </c>
      <c r="B45" s="13" t="s">
        <v>60</v>
      </c>
      <c r="C45" s="14" t="n">
        <v>1703</v>
      </c>
      <c r="D45" s="14" t="n">
        <v>1168</v>
      </c>
      <c r="E45" s="14" t="n">
        <v>1087</v>
      </c>
      <c r="F45" s="15" t="n">
        <f aca="false">IF($N45="",E45*(1+$O45),IF(F$31&lt;$N45,E45*(1+$O45),IF(F$31=$N45,E45*(1+$O45)*(1-$P45),E45*(1-$Q45))))</f>
        <v>434.217173968411</v>
      </c>
      <c r="G45" s="15" t="n">
        <f aca="false">IF($N45="",F45*(1+$O45),IF(G$31&lt;$N45,F45*(1+$O45),IF(G$31=$N45,F45*(1+$O45)*(1-$P45),F45*(1-$Q45))))</f>
        <v>369.084597873149</v>
      </c>
      <c r="H45" s="15" t="n">
        <f aca="false">IF($N45="",G45*(1+$O45),IF(H$31&lt;$N45,G45*(1+$O45),IF(H$31=$N45,G45*(1+$O45)*(1-$P45),G45*(1-$Q45))))</f>
        <v>313.721908192177</v>
      </c>
      <c r="I45" s="15" t="n">
        <f aca="false">IF($N45="",H45*(1+$O45),IF(I$31&lt;$N45,H45*(1+$O45),IF(I$31=$N45,H45*(1+$O45)*(1-$P45),H45*(1-$Q45))))</f>
        <v>266.66362196335</v>
      </c>
      <c r="J45" s="15" t="n">
        <f aca="false">IF($N45="",I45*(1+$O45),IF(J$31&lt;$N45,I45*(1+$O45),IF(J$31=$N45,I45*(1+$O45)*(1-$P45),I45*(1-$Q45))))</f>
        <v>226.664078668848</v>
      </c>
      <c r="K45" s="16" t="n">
        <v>2026</v>
      </c>
      <c r="L45" s="16" t="n">
        <v>2028</v>
      </c>
      <c r="M45" s="16" t="n">
        <v>2025</v>
      </c>
      <c r="N45" s="8" t="n">
        <v>2026</v>
      </c>
      <c r="O45" s="7" t="n">
        <v>-0.201072357003844</v>
      </c>
      <c r="P45" s="7" t="n">
        <v>0.5</v>
      </c>
      <c r="Q45" s="7" t="n">
        <v>0.15</v>
      </c>
    </row>
    <row r="46" customFormat="false" ht="23.85" hidden="false" customHeight="false" outlineLevel="0" collapsed="false">
      <c r="A46" s="13" t="s">
        <v>61</v>
      </c>
      <c r="B46" s="13" t="s">
        <v>62</v>
      </c>
      <c r="C46" s="14" t="n">
        <v>890</v>
      </c>
      <c r="D46" s="14" t="n">
        <v>755</v>
      </c>
      <c r="E46" s="14" t="n">
        <v>1033</v>
      </c>
      <c r="F46" s="15" t="n">
        <f aca="false">IF($N46="",E46*(1+$O46),IF(F$31&lt;$N46,E46*(1+$O46),IF(F$31=$N46,E46*(1+$O46)*(1-$P46),E46*(1-$Q46))))</f>
        <v>1413.36291390728</v>
      </c>
      <c r="G46" s="15" t="n">
        <f aca="false">IF($N46="",F46*(1+$O46),IF(G$31&lt;$N46,F46*(1+$O46),IF(G$31=$N46,F46*(1+$O46)*(1-$P46),F46*(1-$Q46))))</f>
        <v>1933.77998684268</v>
      </c>
      <c r="H46" s="15" t="n">
        <f aca="false">IF($N46="",G46*(1+$O46),IF(H$31&lt;$N46,G46*(1+$O46),IF(H$31=$N46,G46*(1+$O46)*(1-$P46),G46*(1-$Q46))))</f>
        <v>2645.82082968012</v>
      </c>
      <c r="I46" s="15" t="n">
        <f aca="false">IF($N46="",H46*(1+$O46),IF(I$31&lt;$N46,H46*(1+$O46),IF(I$31=$N46,H46*(1+$O46)*(1-$P46),H46*(1-$Q46))))</f>
        <v>3620.04359875439</v>
      </c>
      <c r="J46" s="15" t="n">
        <f aca="false">IF($N46="",I46*(1+$O46),IF(J$31&lt;$N46,I46*(1+$O46),IF(J$31=$N46,I46*(1+$O46)*(1-$P46),I46*(1-$Q46))))</f>
        <v>4952.98680465336</v>
      </c>
      <c r="K46" s="16" t="n">
        <v>2036</v>
      </c>
      <c r="L46" s="16" t="n">
        <v>2036</v>
      </c>
      <c r="M46" s="16" t="n">
        <v>2036</v>
      </c>
      <c r="N46" s="8" t="n">
        <v>2036</v>
      </c>
      <c r="O46" s="7" t="n">
        <v>0.368211920529801</v>
      </c>
      <c r="P46" s="7" t="n">
        <v>0.5</v>
      </c>
      <c r="Q46" s="7" t="n">
        <v>0.15</v>
      </c>
    </row>
    <row r="47" customFormat="false" ht="15" hidden="false" customHeight="false" outlineLevel="0" collapsed="false">
      <c r="A47" s="13" t="s">
        <v>63</v>
      </c>
      <c r="B47" s="13" t="s">
        <v>64</v>
      </c>
      <c r="C47" s="14" t="n">
        <v>539</v>
      </c>
      <c r="D47" s="14" t="n">
        <v>731</v>
      </c>
      <c r="E47" s="14" t="n">
        <v>1023</v>
      </c>
      <c r="F47" s="15" t="n">
        <f aca="false">IF($N47="",E47*(1+$O47),IF(F$31&lt;$N47,E47*(1+$O47),IF(F$31=$N47,E47*(1+$O47)*(1-$P47),E47*(1-$Q47))))</f>
        <v>1409.3506754994</v>
      </c>
      <c r="G47" s="15" t="n">
        <f aca="false">IF($N47="",F47*(1+$O47),IF(G$31&lt;$N47,F47*(1+$O47),IF(G$31=$N47,F47*(1+$O47)*(1-$P47),F47*(1-$Q47))))</f>
        <v>1941.61224489796</v>
      </c>
      <c r="H47" s="15" t="n">
        <f aca="false">IF($N47="",G47*(1+$O47),IF(H$31&lt;$N47,G47*(1+$O47),IF(H$31=$N47,G47*(1+$O47)*(1-$P47),G47*(1-$Q47))))</f>
        <v>2674.89005758049</v>
      </c>
      <c r="I47" s="15" t="n">
        <f aca="false">IF($N47="",H47*(1+$O47),IF(I$31&lt;$N47,H47*(1+$O47),IF(I$31=$N47,H47*(1+$O47)*(1-$P47),H47*(1-$Q47))))</f>
        <v>3685.10079133694</v>
      </c>
      <c r="J47" s="15" t="n">
        <f aca="false">IF($N47="",I47*(1+$O47),IF(J$31&lt;$N47,I47*(1+$O47),IF(J$31=$N47,I47*(1+$O47)*(1-$P47),I47*(1-$Q47))))</f>
        <v>5076.83215010175</v>
      </c>
      <c r="K47" s="16" t="n">
        <v>2033</v>
      </c>
      <c r="L47" s="16" t="n">
        <v>2034</v>
      </c>
      <c r="M47" s="16" t="n">
        <v>2036</v>
      </c>
      <c r="N47" s="8" t="n">
        <v>2033</v>
      </c>
      <c r="O47" s="7" t="n">
        <v>0.377664394427565</v>
      </c>
      <c r="P47" s="7" t="n">
        <v>0.5</v>
      </c>
      <c r="Q47" s="7" t="n">
        <v>0.15</v>
      </c>
    </row>
    <row r="48" customFormat="false" ht="15" hidden="false" customHeight="false" outlineLevel="0" collapsed="false">
      <c r="A48" s="13" t="s">
        <v>65</v>
      </c>
      <c r="B48" s="13" t="s">
        <v>66</v>
      </c>
      <c r="C48" s="14" t="n">
        <v>1036</v>
      </c>
      <c r="D48" s="14" t="n">
        <v>978</v>
      </c>
      <c r="E48" s="14" t="n">
        <v>923</v>
      </c>
      <c r="F48" s="15" t="n">
        <f aca="false">IF($N48="",E48*(1+$O48),IF(F$31&lt;$N48,E48*(1+$O48),IF(F$31=$N48,E48*(1+$O48)*(1-$P48),E48*(1-$Q48))))</f>
        <v>871.209643127297</v>
      </c>
      <c r="G48" s="15" t="n">
        <f aca="false">IF($N48="",F48*(1+$O48),IF(G$31&lt;$N48,F48*(1+$O48),IF(G$31=$N48,F48*(1+$O48)*(1-$P48),F48*(1-$Q48))))</f>
        <v>822.32528957529</v>
      </c>
      <c r="H48" s="15" t="n">
        <f aca="false">IF($N48="",G48*(1+$O48),IF(H$31&lt;$N48,G48*(1+$O48),IF(H$31=$N48,G48*(1+$O48)*(1-$P48),G48*(1-$Q48))))</f>
        <v>776.1838808943</v>
      </c>
      <c r="I48" s="15" t="n">
        <f aca="false">IF($N48="",H48*(1+$O48),IF(I$31&lt;$N48,H48*(1+$O48),IF(I$31=$N48,H48*(1+$O48)*(1-$P48),H48*(1-$Q48))))</f>
        <v>732.63150799034</v>
      </c>
      <c r="J48" s="15" t="n">
        <f aca="false">IF($N48="",I48*(1+$O48),IF(J$31&lt;$N48,I48*(1+$O48),IF(J$31=$N48,I48*(1+$O48)*(1-$P48),I48*(1-$Q48))))</f>
        <v>691.522897746563</v>
      </c>
      <c r="K48" s="16"/>
      <c r="L48" s="16"/>
      <c r="M48" s="16"/>
      <c r="N48" s="8"/>
      <c r="O48" s="7" t="n">
        <v>-0.056110895853416</v>
      </c>
      <c r="P48" s="7" t="n">
        <v>0.5</v>
      </c>
      <c r="Q48" s="7" t="n">
        <v>0.15</v>
      </c>
    </row>
    <row r="49" customFormat="false" ht="46.25" hidden="false" customHeight="false" outlineLevel="0" collapsed="false">
      <c r="A49" s="13" t="s">
        <v>67</v>
      </c>
      <c r="B49" s="13" t="s">
        <v>68</v>
      </c>
      <c r="C49" s="14" t="n">
        <v>56</v>
      </c>
      <c r="D49" s="14" t="n">
        <v>1089</v>
      </c>
      <c r="E49" s="14" t="n">
        <v>907</v>
      </c>
      <c r="F49" s="15" t="n">
        <f aca="false">IF($N49="",E49*(1+$O49),IF(F$31&lt;$N49,E49*(1+$O49),IF(F$31=$N49,E49*(1+$O49)*(1-$P49),E49*(1-$Q49))))</f>
        <v>377.708448117539</v>
      </c>
      <c r="G49" s="15" t="n">
        <f aca="false">IF($N49="",F49*(1+$O49),IF(G$31&lt;$N49,F49*(1+$O49),IF(G$31=$N49,F49*(1+$O49)*(1-$P49),F49*(1-$Q49))))</f>
        <v>321.052180899908</v>
      </c>
      <c r="H49" s="15" t="n">
        <f aca="false">IF($N49="",G49*(1+$O49),IF(H$31&lt;$N49,G49*(1+$O49),IF(H$31=$N49,G49*(1+$O49)*(1-$P49),G49*(1-$Q49))))</f>
        <v>272.894353764922</v>
      </c>
      <c r="I49" s="15" t="n">
        <f aca="false">IF($N49="",H49*(1+$O49),IF(I$31&lt;$N49,H49*(1+$O49),IF(I$31=$N49,H49*(1+$O49)*(1-$P49),H49*(1-$Q49))))</f>
        <v>231.960200700184</v>
      </c>
      <c r="J49" s="15" t="n">
        <f aca="false">IF($N49="",I49*(1+$O49),IF(J$31&lt;$N49,I49*(1+$O49),IF(J$31=$N49,I49*(1+$O49)*(1-$P49),I49*(1-$Q49))))</f>
        <v>197.166170595156</v>
      </c>
      <c r="K49" s="16" t="n">
        <v>2026</v>
      </c>
      <c r="L49" s="16"/>
      <c r="M49" s="16"/>
      <c r="N49" s="8" t="n">
        <v>2026</v>
      </c>
      <c r="O49" s="7" t="n">
        <v>-0.16712580348944</v>
      </c>
      <c r="P49" s="7" t="n">
        <v>0.5</v>
      </c>
      <c r="Q49" s="7" t="n">
        <v>0.15</v>
      </c>
    </row>
    <row r="50" customFormat="false" ht="102.2" hidden="false" customHeight="false" outlineLevel="0" collapsed="false">
      <c r="A50" s="13" t="s">
        <v>69</v>
      </c>
      <c r="B50" s="13" t="s">
        <v>70</v>
      </c>
      <c r="C50" s="14" t="n">
        <v>477</v>
      </c>
      <c r="D50" s="14" t="n">
        <v>607</v>
      </c>
      <c r="E50" s="14" t="n">
        <v>716</v>
      </c>
      <c r="F50" s="15" t="n">
        <f aca="false">IF($N50="",E50*(1+$O50),IF(F$31&lt;$N50,E50*(1+$O50),IF(F$31=$N50,E50*(1+$O50)*(1-$P50),E50*(1-$Q50))))</f>
        <v>438.611837295249</v>
      </c>
      <c r="G50" s="15" t="n">
        <f aca="false">IF($N50="",F50*(1+$O50),IF(G$31&lt;$N50,F50*(1+$O50),IF(G$31=$N50,F50*(1+$O50)*(1-$P50),F50*(1-$Q50))))</f>
        <v>372.820061700961</v>
      </c>
      <c r="H50" s="15" t="n">
        <f aca="false">IF($N50="",G50*(1+$O50),IF(H$31&lt;$N50,G50*(1+$O50),IF(H$31=$N50,G50*(1+$O50)*(1-$P50),G50*(1-$Q50))))</f>
        <v>316.897052445817</v>
      </c>
      <c r="I50" s="15" t="n">
        <f aca="false">IF($N50="",H50*(1+$O50),IF(I$31&lt;$N50,H50*(1+$O50),IF(I$31=$N50,H50*(1+$O50)*(1-$P50),H50*(1-$Q50))))</f>
        <v>269.362494578945</v>
      </c>
      <c r="J50" s="15" t="n">
        <f aca="false">IF($N50="",I50*(1+$O50),IF(J$31&lt;$N50,I50*(1+$O50),IF(J$31=$N50,I50*(1+$O50)*(1-$P50),I50*(1-$Q50))))</f>
        <v>228.958120392103</v>
      </c>
      <c r="K50" s="16" t="n">
        <v>2026</v>
      </c>
      <c r="L50" s="16"/>
      <c r="M50" s="16"/>
      <c r="N50" s="8" t="n">
        <v>2026</v>
      </c>
      <c r="O50" s="7" t="n">
        <v>0.225172729874996</v>
      </c>
      <c r="P50" s="7" t="n">
        <v>0.5</v>
      </c>
      <c r="Q50" s="7" t="n">
        <v>0.15</v>
      </c>
    </row>
    <row r="51" customFormat="false" ht="23.85" hidden="false" customHeight="false" outlineLevel="0" collapsed="false">
      <c r="A51" s="13" t="s">
        <v>71</v>
      </c>
      <c r="B51" s="13" t="s">
        <v>72</v>
      </c>
      <c r="C51" s="14" t="n">
        <v>757</v>
      </c>
      <c r="D51" s="14" t="n">
        <v>637</v>
      </c>
      <c r="E51" s="14" t="n">
        <v>653</v>
      </c>
      <c r="F51" s="15" t="n">
        <f aca="false">IF($N51="",E51*(1+$O51),IF(F$31&lt;$N51,E51*(1+$O51),IF(F$31=$N51,E51*(1+$O51)*(1-$P51),E51*(1-$Q51))))</f>
        <v>606.487469118819</v>
      </c>
      <c r="G51" s="15" t="n">
        <f aca="false">IF($N51="",F51*(1+$O51),IF(G$31&lt;$N51,F51*(1+$O51),IF(G$31=$N51,F51*(1+$O51)*(1-$P51),F51*(1-$Q51))))</f>
        <v>563.287978863937</v>
      </c>
      <c r="H51" s="15" t="n">
        <f aca="false">IF($N51="",G51*(1+$O51),IF(H$31&lt;$N51,G51*(1+$O51),IF(H$31=$N51,G51*(1+$O51)*(1-$P51),G51*(1-$Q51))))</f>
        <v>523.165544695626</v>
      </c>
      <c r="I51" s="15" t="n">
        <f aca="false">IF($N51="",H51*(1+$O51),IF(I$31&lt;$N51,H51*(1+$O51),IF(I$31=$N51,H51*(1+$O51)*(1-$P51),H51*(1-$Q51))))</f>
        <v>485.90099101473</v>
      </c>
      <c r="J51" s="15" t="n">
        <f aca="false">IF($N51="",I51*(1+$O51),IF(J$31&lt;$N51,I51*(1+$O51),IF(J$31=$N51,I51*(1+$O51)*(1-$P51),I51*(1-$Q51))))</f>
        <v>451.290753878789</v>
      </c>
      <c r="K51" s="16"/>
      <c r="L51" s="16"/>
      <c r="M51" s="16"/>
      <c r="N51" s="8"/>
      <c r="O51" s="7" t="n">
        <v>-0.0712289906296798</v>
      </c>
      <c r="P51" s="7" t="n">
        <v>0.5</v>
      </c>
      <c r="Q51" s="7" t="n">
        <v>0.15</v>
      </c>
    </row>
    <row r="52" customFormat="false" ht="57.45" hidden="false" customHeight="false" outlineLevel="0" collapsed="false">
      <c r="A52" s="13" t="s">
        <v>73</v>
      </c>
      <c r="B52" s="13" t="s">
        <v>74</v>
      </c>
      <c r="C52" s="14" t="n">
        <v>490</v>
      </c>
      <c r="D52" s="14" t="n">
        <v>509</v>
      </c>
      <c r="E52" s="14" t="n">
        <v>646</v>
      </c>
      <c r="F52" s="15" t="n">
        <f aca="false">IF($N52="",E52*(1+$O52),IF(F$31&lt;$N52,E52*(1+$O52),IF(F$31=$N52,E52*(1+$O52)*(1-$P52),E52*(1-$Q52))))</f>
        <v>741.738355321539</v>
      </c>
      <c r="G52" s="15" t="n">
        <f aca="false">IF($N52="",F52*(1+$O52),IF(G$31&lt;$N52,F52*(1+$O52),IF(G$31=$N52,F52*(1+$O52)*(1-$P52),F52*(1-$Q52))))</f>
        <v>851.665306122449</v>
      </c>
      <c r="H52" s="15" t="n">
        <f aca="false">IF($N52="",G52*(1+$O52),IF(H$31&lt;$N52,G52*(1+$O52),IF(H$31=$N52,G52*(1+$O52)*(1-$P52),G52*(1-$Q52))))</f>
        <v>977.883627627989</v>
      </c>
      <c r="I52" s="15" t="n">
        <f aca="false">IF($N52="",H52*(1+$O52),IF(I$31&lt;$N52,H52*(1+$O52),IF(I$31=$N52,H52*(1+$O52)*(1-$P52),H52*(1-$Q52))))</f>
        <v>1122.80773011245</v>
      </c>
      <c r="J52" s="15" t="n">
        <f aca="false">IF($N52="",I52*(1+$O52),IF(J$31&lt;$N52,I52*(1+$O52),IF(J$31=$N52,I52*(1+$O52)*(1-$P52),I52*(1-$Q52))))</f>
        <v>1289.20984377078</v>
      </c>
      <c r="K52" s="16"/>
      <c r="L52" s="16"/>
      <c r="M52" s="16"/>
      <c r="N52" s="8"/>
      <c r="O52" s="7" t="n">
        <v>0.148201788423436</v>
      </c>
      <c r="P52" s="7" t="n">
        <v>0.5</v>
      </c>
      <c r="Q52" s="7" t="n">
        <v>0.15</v>
      </c>
    </row>
    <row r="53" customFormat="false" ht="23.85" hidden="false" customHeight="false" outlineLevel="0" collapsed="false">
      <c r="A53" s="13" t="s">
        <v>75</v>
      </c>
      <c r="B53" s="13" t="s">
        <v>72</v>
      </c>
      <c r="C53" s="14" t="n">
        <v>511</v>
      </c>
      <c r="D53" s="14" t="n">
        <v>586</v>
      </c>
      <c r="E53" s="14" t="n">
        <v>638</v>
      </c>
      <c r="F53" s="15" t="n">
        <f aca="false">IF($N53="",E53*(1+$O53),IF(F$31&lt;$N53,E53*(1+$O53),IF(F$31=$N53,E53*(1+$O53)*(1-$P53),E53*(1-$Q53))))</f>
        <v>712.886791362705</v>
      </c>
      <c r="G53" s="15" t="n">
        <f aca="false">IF($N53="",F53*(1+$O53),IF(G$31&lt;$N53,F53*(1+$O53),IF(G$31=$N53,F53*(1+$O53)*(1-$P53),F53*(1-$Q53))))</f>
        <v>796.563600782779</v>
      </c>
      <c r="H53" s="15" t="n">
        <f aca="false">IF($N53="",G53*(1+$O53),IF(H$31&lt;$N53,G53*(1+$O53),IF(H$31=$N53,G53*(1+$O53)*(1-$P53),G53*(1-$Q53))))</f>
        <v>890.062177865765</v>
      </c>
      <c r="I53" s="15" t="n">
        <f aca="false">IF($N53="",H53*(1+$O53),IF(I$31&lt;$N53,H53*(1+$O53),IF(I$31=$N53,H53*(1+$O53)*(1-$P53),H53*(1-$Q53))))</f>
        <v>994.535376319791</v>
      </c>
      <c r="J53" s="15" t="n">
        <f aca="false">IF($N53="",I53*(1+$O53),IF(J$31&lt;$N53,I53*(1+$O53),IF(J$31=$N53,I53*(1+$O53)*(1-$P53),I53*(1-$Q53))))</f>
        <v>1111.27136884219</v>
      </c>
      <c r="K53" s="16"/>
      <c r="L53" s="16"/>
      <c r="M53" s="16"/>
      <c r="N53" s="8"/>
      <c r="O53" s="7" t="n">
        <v>0.117377415929005</v>
      </c>
      <c r="P53" s="7" t="n">
        <v>0.5</v>
      </c>
      <c r="Q53" s="7" t="n">
        <v>0.15</v>
      </c>
    </row>
    <row r="54" customFormat="false" ht="57.45" hidden="false" customHeight="false" outlineLevel="0" collapsed="false">
      <c r="A54" s="13" t="s">
        <v>76</v>
      </c>
      <c r="B54" s="13" t="s">
        <v>77</v>
      </c>
      <c r="C54" s="14" t="n">
        <v>830</v>
      </c>
      <c r="D54" s="14" t="n">
        <v>690</v>
      </c>
      <c r="E54" s="14" t="n">
        <v>627</v>
      </c>
      <c r="F54" s="15" t="n">
        <f aca="false">IF($N54="",E54*(1+$O54),IF(F$31&lt;$N54,E54*(1+$O54),IF(F$31=$N54,E54*(1+$O54)*(1-$P54),E54*(1-$Q54))))</f>
        <v>544.957037103987</v>
      </c>
      <c r="G54" s="15" t="n">
        <f aca="false">IF($N54="",F54*(1+$O54),IF(G$31&lt;$N54,F54*(1+$O54),IF(G$31=$N54,F54*(1+$O54)*(1-$P54),F54*(1-$Q54))))</f>
        <v>473.649397590361</v>
      </c>
      <c r="H54" s="15" t="n">
        <f aca="false">IF($N54="",G54*(1+$O54),IF(H$31&lt;$N54,G54*(1+$O54),IF(H$31=$N54,G54*(1+$O54)*(1-$P54),G54*(1-$Q54))))</f>
        <v>411.672364173735</v>
      </c>
      <c r="I54" s="15" t="n">
        <f aca="false">IF($N54="",H54*(1+$O54),IF(I$31&lt;$N54,H54*(1+$O54),IF(I$31=$N54,H54*(1+$O54)*(1-$P54),H54*(1-$Q54))))</f>
        <v>357.805026854406</v>
      </c>
      <c r="J54" s="15" t="n">
        <f aca="false">IF($N54="",I54*(1+$O54),IF(J$31&lt;$N54,I54*(1+$O54),IF(J$31=$N54,I54*(1+$O54)*(1-$P54),I54*(1-$Q54))))</f>
        <v>310.986231731243</v>
      </c>
      <c r="K54" s="16"/>
      <c r="L54" s="16"/>
      <c r="M54" s="16"/>
      <c r="N54" s="8"/>
      <c r="O54" s="7" t="n">
        <v>-0.130850020567803</v>
      </c>
      <c r="P54" s="7" t="n">
        <v>0.5</v>
      </c>
      <c r="Q54" s="7" t="n">
        <v>0.15</v>
      </c>
    </row>
    <row r="55" customFormat="false" ht="35.05" hidden="false" customHeight="false" outlineLevel="0" collapsed="false">
      <c r="A55" s="13" t="s">
        <v>78</v>
      </c>
      <c r="B55" s="13" t="s">
        <v>79</v>
      </c>
      <c r="C55" s="14" t="n">
        <v>645</v>
      </c>
      <c r="D55" s="14" t="n">
        <v>645</v>
      </c>
      <c r="E55" s="14" t="n">
        <v>611</v>
      </c>
      <c r="F55" s="15" t="n">
        <f aca="false">IF($N55="",E55*(1+$O55),IF(F$31&lt;$N55,E55*(1+$O55),IF(F$31=$N55,E55*(1+$O55)*(1-$P55),E55*(1-$Q55))))</f>
        <v>594.678117611445</v>
      </c>
      <c r="G55" s="15" t="n">
        <f aca="false">IF($N55="",F55*(1+$O55),IF(G$31&lt;$N55,F55*(1+$O55),IF(G$31=$N55,F55*(1+$O55)*(1-$P55),F55*(1-$Q55))))</f>
        <v>578.792248062015</v>
      </c>
      <c r="H55" s="15" t="n">
        <f aca="false">IF($N55="",G55*(1+$O55),IF(H$31&lt;$N55,G55*(1+$O55),IF(H$31=$N55,G55*(1+$O55)*(1-$P55),G55*(1-$Q55))))</f>
        <v>563.330743969911</v>
      </c>
      <c r="I55" s="15" t="n">
        <f aca="false">IF($N55="",H55*(1+$O55),IF(I$31&lt;$N55,H55*(1+$O55),IF(I$31=$N55,H55*(1+$O55)*(1-$P55),H55*(1-$Q55))))</f>
        <v>548.282269094405</v>
      </c>
      <c r="J55" s="15" t="n">
        <f aca="false">IF($N55="",I55*(1+$O55),IF(J$31&lt;$N55,I55*(1+$O55),IF(J$31=$N55,I55*(1+$O55)*(1-$P55),I55*(1-$Q55))))</f>
        <v>533.63579002421</v>
      </c>
      <c r="K55" s="16"/>
      <c r="L55" s="16"/>
      <c r="M55" s="16"/>
      <c r="N55" s="8"/>
      <c r="O55" s="7" t="n">
        <v>-0.0267133917979626</v>
      </c>
      <c r="P55" s="7" t="n">
        <v>0.5</v>
      </c>
      <c r="Q55" s="7" t="n">
        <v>0.15</v>
      </c>
    </row>
    <row r="56" customFormat="false" ht="23.85" hidden="false" customHeight="false" outlineLevel="0" collapsed="false">
      <c r="A56" s="13" t="s">
        <v>80</v>
      </c>
      <c r="B56" s="13" t="s">
        <v>81</v>
      </c>
      <c r="C56" s="14" t="n">
        <v>539</v>
      </c>
      <c r="D56" s="14" t="n">
        <v>470</v>
      </c>
      <c r="E56" s="14" t="n">
        <v>446</v>
      </c>
      <c r="F56" s="15" t="n">
        <f aca="false">IF($N56="",E56*(1+$O56),IF(F$31&lt;$N56,E56*(1+$O56),IF(F$31=$N56,E56*(1+$O56)*(1-$P56),E56*(1-$Q56))))</f>
        <v>405.70270698678</v>
      </c>
      <c r="G56" s="15" t="n">
        <f aca="false">IF($N56="",F56*(1+$O56),IF(G$31&lt;$N56,F56*(1+$O56),IF(G$31=$N56,F56*(1+$O56)*(1-$P56),F56*(1-$Q56))))</f>
        <v>369.046382189239</v>
      </c>
      <c r="H56" s="15" t="n">
        <f aca="false">IF($N56="",G56*(1+$O56),IF(H$31&lt;$N56,G56*(1+$O56),IF(H$31=$N56,G56*(1+$O56)*(1-$P56),G56*(1-$Q56))))</f>
        <v>335.702054389803</v>
      </c>
      <c r="I56" s="15" t="n">
        <f aca="false">IF($N56="",H56*(1+$O56),IF(I$31&lt;$N56,H56*(1+$O56),IF(I$31=$N56,H56*(1+$O56)*(1-$P56),H56*(1-$Q56))))</f>
        <v>305.370475800372</v>
      </c>
      <c r="J56" s="15" t="n">
        <f aca="false">IF($N56="",I56*(1+$O56),IF(J$31&lt;$N56,I56*(1+$O56),IF(J$31=$N56,I56*(1+$O56)*(1-$P56),I56*(1-$Q56))))</f>
        <v>277.779436470969</v>
      </c>
      <c r="K56" s="16"/>
      <c r="L56" s="16"/>
      <c r="M56" s="16"/>
      <c r="N56" s="8"/>
      <c r="O56" s="7" t="n">
        <v>-0.0903526749175345</v>
      </c>
      <c r="P56" s="7" t="n">
        <v>0.5</v>
      </c>
      <c r="Q56" s="7" t="n">
        <v>0.15</v>
      </c>
    </row>
    <row r="57" customFormat="false" ht="46.25" hidden="false" customHeight="false" outlineLevel="0" collapsed="false">
      <c r="A57" s="13" t="s">
        <v>82</v>
      </c>
      <c r="B57" s="13" t="s">
        <v>83</v>
      </c>
      <c r="C57" s="14" t="n">
        <v>245</v>
      </c>
      <c r="D57" s="14" t="n">
        <v>509</v>
      </c>
      <c r="E57" s="14" t="n">
        <v>418</v>
      </c>
      <c r="F57" s="15" t="n">
        <f aca="false">IF($N57="",E57*(1+$O57),IF(F$31&lt;$N57,E57*(1+$O57),IF(F$31=$N57,E57*(1+$O57)*(1-$P57),E57*(1-$Q57))))</f>
        <v>343.269155206287</v>
      </c>
      <c r="G57" s="15" t="n">
        <f aca="false">IF($N57="",F57*(1+$O57),IF(G$31&lt;$N57,F57*(1+$O57),IF(G$31=$N57,F57*(1+$O57)*(1-$P57),F57*(1-$Q57))))</f>
        <v>281.898834727363</v>
      </c>
      <c r="H57" s="15" t="n">
        <f aca="false">IF($N57="",G57*(1+$O57),IF(H$31&lt;$N57,G57*(1+$O57),IF(H$31=$N57,G57*(1+$O57)*(1-$P57),G57*(1-$Q57))))</f>
        <v>231.500418302628</v>
      </c>
      <c r="I57" s="15" t="n">
        <f aca="false">IF($N57="",H57*(1+$O57),IF(I$31&lt;$N57,H57*(1+$O57),IF(I$31=$N57,H57*(1+$O57)*(1-$P57),H57*(1-$Q57))))</f>
        <v>190.112327800587</v>
      </c>
      <c r="J57" s="15" t="n">
        <f aca="false">IF($N57="",I57*(1+$O57),IF(J$31&lt;$N57,I57*(1+$O57),IF(J$31=$N57,I57*(1+$O57)*(1-$P57),I57*(1-$Q57))))</f>
        <v>156.123679804804</v>
      </c>
      <c r="K57" s="16"/>
      <c r="L57" s="16"/>
      <c r="M57" s="16"/>
      <c r="N57" s="8"/>
      <c r="O57" s="7" t="n">
        <v>-0.178781925343811</v>
      </c>
      <c r="P57" s="7" t="n">
        <v>0.5</v>
      </c>
      <c r="Q57" s="7" t="n">
        <v>0.15</v>
      </c>
    </row>
    <row r="58" customFormat="false" ht="15" hidden="false" customHeight="false" outlineLevel="0" collapsed="false">
      <c r="A58" s="13" t="s">
        <v>84</v>
      </c>
      <c r="B58" s="13" t="s">
        <v>72</v>
      </c>
      <c r="C58" s="14" t="n">
        <v>406</v>
      </c>
      <c r="D58" s="14" t="n">
        <v>480</v>
      </c>
      <c r="E58" s="14" t="n">
        <v>399</v>
      </c>
      <c r="F58" s="15" t="n">
        <f aca="false">IF($N58="",E58*(1+$O58),IF(F$31&lt;$N58,E58*(1+$O58),IF(F$31=$N58,E58*(1+$O58)*(1-$P58),E58*(1-$Q58))))</f>
        <v>395.545389522383</v>
      </c>
      <c r="G58" s="15" t="n">
        <f aca="false">IF($N58="",F58*(1+$O58),IF(G$31&lt;$N58,F58*(1+$O58),IF(G$31=$N58,F58*(1+$O58)*(1-$P58),F58*(1-$Q58))))</f>
        <v>392.120689655172</v>
      </c>
      <c r="H58" s="15" t="n">
        <f aca="false">IF($N58="",G58*(1+$O58),IF(H$31&lt;$N58,G58*(1+$O58),IF(H$31=$N58,G58*(1+$O58)*(1-$P58),G58*(1-$Q58))))</f>
        <v>388.72564142717</v>
      </c>
      <c r="I58" s="15" t="n">
        <f aca="false">IF($N58="",H58*(1+$O58),IF(I$31&lt;$N58,H58*(1+$O58),IF(I$31=$N58,H58*(1+$O58)*(1-$P58),H58*(1-$Q58))))</f>
        <v>385.359988109394</v>
      </c>
      <c r="J58" s="15" t="n">
        <f aca="false">IF($N58="",I58*(1+$O58),IF(J$31&lt;$N58,I58*(1+$O58),IF(J$31=$N58,I58*(1+$O58)*(1-$P58),I58*(1-$Q58))))</f>
        <v>382.023475195667</v>
      </c>
      <c r="K58" s="16"/>
      <c r="L58" s="16"/>
      <c r="M58" s="16"/>
      <c r="N58" s="8"/>
      <c r="O58" s="7" t="n">
        <v>-0.00865817162310001</v>
      </c>
      <c r="P58" s="7" t="n">
        <v>0.5</v>
      </c>
      <c r="Q58" s="7" t="n">
        <v>0.15</v>
      </c>
    </row>
    <row r="59" customFormat="false" ht="23.85" hidden="false" customHeight="false" outlineLevel="0" collapsed="false">
      <c r="A59" s="13" t="s">
        <v>85</v>
      </c>
      <c r="B59" s="13" t="s">
        <v>86</v>
      </c>
      <c r="C59" s="14" t="n">
        <v>195</v>
      </c>
      <c r="D59" s="14" t="n">
        <v>281</v>
      </c>
      <c r="E59" s="14" t="n">
        <v>349</v>
      </c>
      <c r="F59" s="15" t="n">
        <f aca="false">IF($N59="",E59*(1+$O59),IF(F$31&lt;$N59,E59*(1+$O59),IF(F$31=$N59,E59*(1+$O59)*(1-$P59),E59*(1-$Q59))))</f>
        <v>466.896732666185</v>
      </c>
      <c r="G59" s="15" t="n">
        <f aca="false">IF($N59="",F59*(1+$O59),IF(G$31&lt;$N59,F59*(1+$O59),IF(G$31=$N59,F59*(1+$O59)*(1-$P59),F59*(1-$Q59))))</f>
        <v>624.620512820513</v>
      </c>
      <c r="H59" s="15" t="n">
        <f aca="false">IF($N59="",G59*(1+$O59),IF(H$31&lt;$N59,G59*(1+$O59),IF(H$31=$N59,G59*(1+$O59)*(1-$P59),G59*(1-$Q59))))</f>
        <v>835.625434361531</v>
      </c>
      <c r="I59" s="15" t="n">
        <f aca="false">IF($N59="",H59*(1+$O59),IF(I$31&lt;$N59,H59*(1+$O59),IF(I$31=$N59,H59*(1+$O59)*(1-$P59),H59*(1-$Q59))))</f>
        <v>1117.91055884287</v>
      </c>
      <c r="J59" s="15" t="n">
        <f aca="false">IF($N59="",I59*(1+$O59),IF(J$31&lt;$N59,I59*(1+$O59),IF(J$31=$N59,I59*(1+$O59)*(1-$P59),I59*(1-$Q59))))</f>
        <v>1495.55526457525</v>
      </c>
      <c r="K59" s="16"/>
      <c r="L59" s="16"/>
      <c r="M59" s="16"/>
      <c r="N59" s="8"/>
      <c r="O59" s="7" t="n">
        <v>0.337812987582192</v>
      </c>
      <c r="P59" s="7" t="n">
        <v>0.5</v>
      </c>
      <c r="Q59" s="7" t="n">
        <v>0.15</v>
      </c>
    </row>
    <row r="60" customFormat="false" ht="23.85" hidden="false" customHeight="false" outlineLevel="0" collapsed="false">
      <c r="A60" s="13" t="s">
        <v>87</v>
      </c>
      <c r="B60" s="13" t="s">
        <v>88</v>
      </c>
      <c r="C60" s="14" t="n">
        <v>268</v>
      </c>
      <c r="D60" s="14" t="n">
        <v>280</v>
      </c>
      <c r="E60" s="14" t="n">
        <v>319</v>
      </c>
      <c r="F60" s="15" t="n">
        <f aca="false">IF($N60="",E60*(1+$O60),IF(F$31&lt;$N60,E60*(1+$O60),IF(F$31=$N60,E60*(1+$O60)*(1-$P60),E60*(1-$Q60))))</f>
        <v>348.031559514235</v>
      </c>
      <c r="G60" s="15" t="n">
        <f aca="false">IF($N60="",F60*(1+$O60),IF(G$31&lt;$N60,F60*(1+$O60),IF(G$31=$N60,F60*(1+$O60)*(1-$P60),F60*(1-$Q60))))</f>
        <v>379.705223880597</v>
      </c>
      <c r="H60" s="15" t="n">
        <f aca="false">IF($N60="",G60*(1+$O60),IF(H$31&lt;$N60,G60*(1+$O60),IF(H$31=$N60,G60*(1+$O60)*(1-$P60),G60*(1-$Q60))))</f>
        <v>414.261445839705</v>
      </c>
      <c r="I60" s="15" t="n">
        <f aca="false">IF($N60="",H60*(1+$O60),IF(I$31&lt;$N60,H60*(1+$O60),IF(I$31=$N60,H60*(1+$O60)*(1-$P60),H60*(1-$Q60))))</f>
        <v>451.96256126086</v>
      </c>
      <c r="J60" s="15" t="n">
        <f aca="false">IF($N60="",I60*(1+$O60),IF(J$31&lt;$N60,I60*(1+$O60),IF(J$31=$N60,I60*(1+$O60)*(1-$P60),I60*(1-$Q60))))</f>
        <v>493.094780682336</v>
      </c>
      <c r="K60" s="16"/>
      <c r="L60" s="16"/>
      <c r="M60" s="16"/>
      <c r="N60" s="8"/>
      <c r="O60" s="7" t="n">
        <v>0.0910080235555955</v>
      </c>
      <c r="P60" s="7" t="n">
        <v>0.5</v>
      </c>
      <c r="Q60" s="7" t="n">
        <v>0.15</v>
      </c>
    </row>
    <row r="61" customFormat="false" ht="15" hidden="false" customHeight="false" outlineLevel="0" collapsed="false">
      <c r="A61" s="13" t="s">
        <v>89</v>
      </c>
      <c r="B61" s="13" t="s">
        <v>90</v>
      </c>
      <c r="C61" s="14" t="n">
        <v>128</v>
      </c>
      <c r="D61" s="14" t="n">
        <v>215</v>
      </c>
      <c r="E61" s="14" t="n">
        <v>284</v>
      </c>
      <c r="F61" s="15" t="n">
        <f aca="false">IF($N61="",E61*(1+$O61),IF(F$31&lt;$N61,E61*(1+$O61),IF(F$31=$N61,E61*(1+$O61)*(1-$P61),E61*(1-$Q61))))</f>
        <v>423.031322717361</v>
      </c>
      <c r="G61" s="15" t="n">
        <f aca="false">IF($N61="",F61*(1+$O61),IF(G$31&lt;$N61,F61*(1+$O61),IF(G$31=$N61,F61*(1+$O61)*(1-$P61),F61*(1-$Q61))))</f>
        <v>630.125</v>
      </c>
      <c r="H61" s="15" t="n">
        <f aca="false">IF($N61="",G61*(1+$O61),IF(H$31&lt;$N61,G61*(1+$O61),IF(H$31=$N61,G61*(1+$O61)*(1-$P61),G61*(1-$Q61))))</f>
        <v>938.600747279145</v>
      </c>
      <c r="I61" s="15" t="n">
        <f aca="false">IF($N61="",H61*(1+$O61),IF(I$31&lt;$N61,H61*(1+$O61),IF(I$31=$N61,H61*(1+$O61)*(1-$P61),H61*(1-$Q61))))</f>
        <v>1398.08984375</v>
      </c>
      <c r="J61" s="15" t="n">
        <f aca="false">IF($N61="",I61*(1+$O61),IF(J$31&lt;$N61,I61*(1+$O61),IF(J$31=$N61,I61*(1+$O61)*(1-$P61),I61*(1-$Q61))))</f>
        <v>2082.5204080256</v>
      </c>
      <c r="K61" s="16" t="n">
        <v>2036</v>
      </c>
      <c r="L61" s="16" t="n">
        <v>2036</v>
      </c>
      <c r="M61" s="16" t="n">
        <v>2038</v>
      </c>
      <c r="N61" s="8" t="n">
        <v>2036</v>
      </c>
      <c r="O61" s="7" t="n">
        <v>0.489546910976623</v>
      </c>
      <c r="P61" s="7" t="n">
        <v>0.5</v>
      </c>
      <c r="Q61" s="7" t="n">
        <v>0.15</v>
      </c>
    </row>
    <row r="62" customFormat="false" ht="35.05" hidden="false" customHeight="false" outlineLevel="0" collapsed="false">
      <c r="A62" s="13" t="s">
        <v>91</v>
      </c>
      <c r="B62" s="13" t="s">
        <v>92</v>
      </c>
      <c r="C62" s="15" t="n">
        <f aca="false">C64-SUM(C32:C61)</f>
        <v>3138</v>
      </c>
      <c r="D62" s="15" t="n">
        <f aca="false">D64-SUM(D32:D61)</f>
        <v>3759</v>
      </c>
      <c r="E62" s="15" t="n">
        <f aca="false">E64-SUM(E32:E61)</f>
        <v>4477</v>
      </c>
      <c r="F62" s="15" t="n">
        <f aca="false">E62*(1+$B$22)</f>
        <v>5347.54160241987</v>
      </c>
      <c r="G62" s="15" t="n">
        <f aca="false">F62*(1+$B$22)</f>
        <v>6387.35787125558</v>
      </c>
      <c r="H62" s="15" t="n">
        <f aca="false">G62*(1+$B$22)</f>
        <v>7629.36384768443</v>
      </c>
      <c r="I62" s="15" t="n">
        <f aca="false">H62*(1+$B$22)</f>
        <v>9112.87482141849</v>
      </c>
      <c r="J62" s="15" t="n">
        <f aca="false">I62*(1+$B$22)</f>
        <v>10884.8508432388</v>
      </c>
    </row>
    <row r="63" customFormat="false" ht="15" hidden="false" customHeight="false" outlineLevel="0" collapsed="false">
      <c r="A63" s="4" t="s">
        <v>93</v>
      </c>
      <c r="B63" s="4" t="s">
        <v>94</v>
      </c>
      <c r="C63" s="15" t="n">
        <f aca="false">SUM(C32:C61)+C62</f>
        <v>59553</v>
      </c>
      <c r="D63" s="15" t="n">
        <f aca="false">SUM(D32:D61)+D62</f>
        <v>63627</v>
      </c>
      <c r="E63" s="15" t="n">
        <f aca="false">SUM(E32:E61)+E62</f>
        <v>62579</v>
      </c>
      <c r="F63" s="15" t="n">
        <f aca="false">SUM(F32:F61)+F62</f>
        <v>57193.7542760527</v>
      </c>
      <c r="G63" s="15" t="n">
        <f aca="false">SUM(G32:G61)+G62</f>
        <v>51200.8071183869</v>
      </c>
      <c r="H63" s="15" t="n">
        <f aca="false">SUM(H32:H61)+H62</f>
        <v>52905.6601808474</v>
      </c>
      <c r="I63" s="15" t="n">
        <f aca="false">SUM(I32:I61)+I62</f>
        <v>56683.5757683315</v>
      </c>
      <c r="J63" s="15" t="n">
        <f aca="false">SUM(J32:J61)+J62</f>
        <v>62825.2475273916</v>
      </c>
    </row>
    <row r="64" customFormat="false" ht="15" hidden="false" customHeight="false" outlineLevel="0" collapsed="false">
      <c r="A64" s="13" t="s">
        <v>95</v>
      </c>
      <c r="B64" s="4" t="s">
        <v>96</v>
      </c>
      <c r="C64" s="14" t="n">
        <v>59553</v>
      </c>
      <c r="D64" s="14" t="n">
        <v>63627</v>
      </c>
      <c r="E64" s="14" t="n">
        <v>62579</v>
      </c>
      <c r="F64" s="4"/>
      <c r="G64" s="4"/>
      <c r="H64" s="4"/>
      <c r="I64" s="4"/>
      <c r="J64" s="4"/>
    </row>
    <row r="65" customFormat="false" ht="15" hidden="false" customHeight="false" outlineLevel="0" collapsed="false">
      <c r="A65" s="4" t="s">
        <v>97</v>
      </c>
      <c r="C65" s="15" t="n">
        <f aca="false">C63-C64</f>
        <v>0</v>
      </c>
      <c r="D65" s="15" t="n">
        <f aca="false">D63-D64</f>
        <v>0</v>
      </c>
      <c r="E65" s="15" t="n">
        <f aca="false">E63-E64</f>
        <v>0</v>
      </c>
      <c r="F65" s="4"/>
      <c r="G65" s="4"/>
      <c r="H65" s="4"/>
      <c r="I65" s="4"/>
      <c r="J65" s="4"/>
    </row>
    <row r="67" customFormat="false" ht="15" hidden="false" customHeight="false" outlineLevel="0" collapsed="false">
      <c r="A67" s="3" t="s">
        <v>98</v>
      </c>
      <c r="B67" s="3"/>
      <c r="C67" s="3"/>
      <c r="D67" s="3"/>
      <c r="E67" s="3"/>
      <c r="F67" s="3"/>
      <c r="G67" s="3"/>
      <c r="H67" s="3"/>
      <c r="I67" s="3"/>
      <c r="J67" s="3"/>
    </row>
    <row r="68" customFormat="false" ht="15" hidden="false" customHeight="false" outlineLevel="0" collapsed="false">
      <c r="A68" s="4" t="s">
        <v>99</v>
      </c>
      <c r="C68" s="14" t="n">
        <v>3267</v>
      </c>
      <c r="D68" s="14" t="n">
        <v>11114</v>
      </c>
      <c r="E68" s="14" t="n">
        <v>10191</v>
      </c>
      <c r="F68" s="15" t="n">
        <f aca="false">F63*$B$23</f>
        <v>9314.01188621189</v>
      </c>
      <c r="G68" s="15" t="n">
        <f aca="false">G63*$B$23</f>
        <v>8338.05949828985</v>
      </c>
      <c r="H68" s="15" t="n">
        <f aca="false">H63*$B$23</f>
        <v>8615.6950878572</v>
      </c>
      <c r="I68" s="15" t="n">
        <f aca="false">I63*$B$23</f>
        <v>9230.92923592685</v>
      </c>
      <c r="J68" s="15" t="n">
        <f aca="false">J63*$B$23</f>
        <v>10231.1014485953</v>
      </c>
    </row>
    <row r="69" customFormat="false" ht="15" hidden="false" customHeight="false" outlineLevel="0" collapsed="false">
      <c r="A69" s="4" t="s">
        <v>100</v>
      </c>
      <c r="C69" s="15" t="n">
        <f aca="false">C68*$B$17</f>
        <v>686.07</v>
      </c>
      <c r="D69" s="15" t="n">
        <f aca="false">D68*$B$17</f>
        <v>2333.94</v>
      </c>
      <c r="E69" s="15" t="n">
        <f aca="false">E68*$B$17</f>
        <v>2140.11</v>
      </c>
      <c r="F69" s="15" t="n">
        <f aca="false">F68*$B$17</f>
        <v>1955.9424961045</v>
      </c>
      <c r="G69" s="15" t="n">
        <f aca="false">G68*$B$17</f>
        <v>1750.99249464087</v>
      </c>
      <c r="H69" s="15" t="n">
        <f aca="false">H68*$B$17</f>
        <v>1809.29596845001</v>
      </c>
      <c r="I69" s="15" t="n">
        <f aca="false">I68*$B$17</f>
        <v>1938.49513954464</v>
      </c>
      <c r="J69" s="15" t="n">
        <f aca="false">J68*$B$17</f>
        <v>2148.53130420502</v>
      </c>
    </row>
    <row r="70" customFormat="false" ht="15" hidden="false" customHeight="false" outlineLevel="0" collapsed="false">
      <c r="A70" s="4" t="s">
        <v>101</v>
      </c>
      <c r="C70" s="15" t="n">
        <f aca="false">C68-C69</f>
        <v>2580.93</v>
      </c>
      <c r="D70" s="15" t="n">
        <f aca="false">D68-D69</f>
        <v>8780.06</v>
      </c>
      <c r="E70" s="15" t="n">
        <f aca="false">E68-E69</f>
        <v>8050.89</v>
      </c>
      <c r="F70" s="15" t="n">
        <f aca="false">F68-F69</f>
        <v>7358.06939010739</v>
      </c>
      <c r="G70" s="15" t="n">
        <f aca="false">G68-G69</f>
        <v>6587.06700364898</v>
      </c>
      <c r="H70" s="15" t="n">
        <f aca="false">H68-H69</f>
        <v>6806.39911940718</v>
      </c>
      <c r="I70" s="15" t="n">
        <f aca="false">I68-I69</f>
        <v>7292.43409638221</v>
      </c>
      <c r="J70" s="15" t="n">
        <f aca="false">J68-J69</f>
        <v>8082.57014439031</v>
      </c>
    </row>
    <row r="71" customFormat="false" ht="15" hidden="false" customHeight="false" outlineLevel="0" collapsed="false">
      <c r="A71" s="4" t="s">
        <v>102</v>
      </c>
      <c r="C71" s="14" t="n">
        <v>6290</v>
      </c>
      <c r="D71" s="14" t="n">
        <v>7013</v>
      </c>
      <c r="E71" s="14" t="n">
        <v>6592</v>
      </c>
      <c r="F71" s="15" t="n">
        <f aca="false">F63*$B$24</f>
        <v>6040.81598569966</v>
      </c>
      <c r="G71" s="15" t="n">
        <f aca="false">G63*$B$24</f>
        <v>5407.83968523254</v>
      </c>
      <c r="H71" s="15" t="n">
        <f aca="false">H63*$B$24</f>
        <v>5587.90661322738</v>
      </c>
      <c r="I71" s="15" t="n">
        <f aca="false">I63*$B$24</f>
        <v>5986.93082771322</v>
      </c>
      <c r="J71" s="15" t="n">
        <f aca="false">J63*$B$24</f>
        <v>6635.6154508974</v>
      </c>
    </row>
    <row r="72" customFormat="false" ht="15" hidden="false" customHeight="false" outlineLevel="0" collapsed="false">
      <c r="A72" s="4" t="s">
        <v>103</v>
      </c>
      <c r="C72" s="14" t="n">
        <v>3907</v>
      </c>
      <c r="D72" s="14" t="n">
        <v>2909</v>
      </c>
      <c r="E72" s="14" t="n">
        <v>2629</v>
      </c>
      <c r="F72" s="15" t="n">
        <f aca="false">F63*$B$25</f>
        <v>2614.87467881619</v>
      </c>
      <c r="G72" s="15" t="n">
        <f aca="false">G63*$B$25</f>
        <v>2340.87962511807</v>
      </c>
      <c r="H72" s="15" t="n">
        <f aca="false">H63*$B$25</f>
        <v>2418.82479868743</v>
      </c>
      <c r="I72" s="15" t="n">
        <f aca="false">I63*$B$25</f>
        <v>2591.54952944625</v>
      </c>
      <c r="J72" s="15" t="n">
        <f aca="false">J63*$B$25</f>
        <v>2872.34421011806</v>
      </c>
    </row>
    <row r="73" customFormat="false" ht="15" hidden="false" customHeight="false" outlineLevel="0" collapsed="false">
      <c r="A73" s="4" t="s">
        <v>104</v>
      </c>
      <c r="C73" s="14" t="n">
        <v>1532</v>
      </c>
      <c r="D73" s="14" t="n">
        <v>2025</v>
      </c>
      <c r="E73" s="14" t="n">
        <v>607</v>
      </c>
      <c r="F73" s="15" t="n">
        <f aca="false">F63*$B$26</f>
        <v>1471.30844039616</v>
      </c>
      <c r="G73" s="15" t="n">
        <f aca="false">G63*$B$26</f>
        <v>1317.13996784996</v>
      </c>
      <c r="H73" s="15" t="n">
        <f aca="false">H63*$B$26</f>
        <v>1360.99728640133</v>
      </c>
      <c r="I73" s="15" t="n">
        <f aca="false">I63*$B$26</f>
        <v>1458.18410620932</v>
      </c>
      <c r="J73" s="15" t="n">
        <f aca="false">J63*$B$26</f>
        <v>1616.17851681635</v>
      </c>
    </row>
    <row r="74" customFormat="false" ht="15" hidden="false" customHeight="false" outlineLevel="0" collapsed="false">
      <c r="A74" s="4" t="s">
        <v>105</v>
      </c>
      <c r="C74" s="15" t="n">
        <f aca="false">C70+C71-C72-C73</f>
        <v>3431.93</v>
      </c>
      <c r="D74" s="15" t="n">
        <f aca="false">D70+D71-D72-D73</f>
        <v>10859.06</v>
      </c>
      <c r="E74" s="15" t="n">
        <f aca="false">E70+E71-E72-E73</f>
        <v>11406.89</v>
      </c>
      <c r="F74" s="15" t="n">
        <f aca="false">F70+F71-F72-F73</f>
        <v>9312.7022565947</v>
      </c>
      <c r="G74" s="15" t="n">
        <f aca="false">G70+G71-G72-G73</f>
        <v>8336.88709591349</v>
      </c>
      <c r="H74" s="15" t="n">
        <f aca="false">H70+H71-H72-H73</f>
        <v>8614.48364754581</v>
      </c>
      <c r="I74" s="15" t="n">
        <f aca="false">I70+I71-I72-I73</f>
        <v>9229.63128843986</v>
      </c>
      <c r="J74" s="15" t="n">
        <f aca="false">J70+J71-J72-J73</f>
        <v>10229.6628683533</v>
      </c>
    </row>
    <row r="75" customFormat="false" ht="15" hidden="false" customHeight="false" outlineLevel="0" collapsed="false">
      <c r="A75" s="4" t="s">
        <v>106</v>
      </c>
      <c r="C75" s="4"/>
      <c r="D75" s="4"/>
      <c r="E75" s="4"/>
      <c r="F75" s="9" t="n">
        <f aca="false">1/(1+$B$21)^1</f>
        <v>0.938721363882536</v>
      </c>
      <c r="G75" s="9" t="n">
        <f aca="false">1/(1+$B$21)^2</f>
        <v>0.881197799009489</v>
      </c>
      <c r="H75" s="9" t="n">
        <f aca="false">1/(1+$B$21)^3</f>
        <v>0.827199199736476</v>
      </c>
      <c r="I75" s="9" t="n">
        <f aca="false">1/(1+$B$21)^4</f>
        <v>0.776509560979167</v>
      </c>
      <c r="J75" s="9" t="n">
        <f aca="false">1/(1+$B$21)^5</f>
        <v>0.728926114150193</v>
      </c>
    </row>
    <row r="76" customFormat="false" ht="15" hidden="false" customHeight="false" outlineLevel="0" collapsed="false">
      <c r="A76" s="4" t="s">
        <v>107</v>
      </c>
      <c r="C76" s="4"/>
      <c r="D76" s="4"/>
      <c r="E76" s="4"/>
      <c r="F76" s="15" t="n">
        <f aca="false">F74*F75</f>
        <v>8742.03256374255</v>
      </c>
      <c r="G76" s="15" t="n">
        <f aca="false">G74*G75</f>
        <v>7346.44655950958</v>
      </c>
      <c r="H76" s="15" t="n">
        <f aca="false">H74*H75</f>
        <v>7125.89397939285</v>
      </c>
      <c r="I76" s="15" t="n">
        <f aca="false">I74*I75</f>
        <v>7166.89693978602</v>
      </c>
      <c r="J76" s="15" t="n">
        <f aca="false">J74*J75</f>
        <v>7456.66840369529</v>
      </c>
    </row>
    <row r="79" customFormat="false" ht="15" hidden="false" customHeight="false" outlineLevel="0" collapsed="false">
      <c r="A79" s="3" t="s">
        <v>108</v>
      </c>
      <c r="B79" s="3"/>
      <c r="C79" s="3"/>
      <c r="D79" s="3"/>
      <c r="E79" s="3"/>
      <c r="F79" s="3"/>
      <c r="G79" s="3"/>
      <c r="H79" s="3"/>
    </row>
    <row r="80" customFormat="false" ht="15" hidden="false" customHeight="false" outlineLevel="0" collapsed="false">
      <c r="A80" s="4" t="s">
        <v>109</v>
      </c>
      <c r="B80" s="15" t="n">
        <f aca="false">SUM(F76:J76)</f>
        <v>37837.9384461263</v>
      </c>
    </row>
    <row r="81" customFormat="false" ht="15" hidden="false" customHeight="false" outlineLevel="0" collapsed="false">
      <c r="A81" s="4" t="s">
        <v>110</v>
      </c>
      <c r="B81" s="15" t="n">
        <f aca="false">J74*(1+$B$27)/($B$21-$B$27)</f>
        <v>260320.455927266</v>
      </c>
    </row>
    <row r="82" customFormat="false" ht="15" hidden="false" customHeight="false" outlineLevel="0" collapsed="false">
      <c r="A82" s="4" t="s">
        <v>111</v>
      </c>
      <c r="B82" s="15" t="n">
        <f aca="false">B81*J75</f>
        <v>189754.378372869</v>
      </c>
    </row>
    <row r="83" customFormat="false" ht="15" hidden="false" customHeight="false" outlineLevel="0" collapsed="false">
      <c r="A83" s="4" t="s">
        <v>112</v>
      </c>
      <c r="B83" s="15" t="n">
        <f aca="false">B80+B82</f>
        <v>227592.316818995</v>
      </c>
    </row>
    <row r="84" customFormat="false" ht="15" hidden="false" customHeight="false" outlineLevel="0" collapsed="false">
      <c r="A84" s="4" t="s">
        <v>113</v>
      </c>
      <c r="B84" s="15" t="n">
        <f aca="false">B83+B8+B9-B10-B11-B12</f>
        <v>176251.316818995</v>
      </c>
    </row>
    <row r="85" customFormat="false" ht="15" hidden="false" customHeight="false" outlineLevel="0" collapsed="false">
      <c r="A85" s="4" t="s">
        <v>3</v>
      </c>
      <c r="B85" s="17" t="n">
        <f aca="false">B5</f>
        <v>27.8</v>
      </c>
    </row>
    <row r="86" customFormat="false" ht="15" hidden="false" customHeight="false" outlineLevel="0" collapsed="false">
      <c r="A86" s="4" t="s">
        <v>114</v>
      </c>
      <c r="B86" s="17" t="n">
        <f aca="false">B84/B7</f>
        <v>30.9230544638817</v>
      </c>
    </row>
    <row r="87" customFormat="false" ht="15" hidden="false" customHeight="false" outlineLevel="0" collapsed="false">
      <c r="A87" s="4" t="s">
        <v>115</v>
      </c>
      <c r="B87" s="9" t="n">
        <f aca="false">B86/B5-1</f>
        <v>0.112340088628837</v>
      </c>
    </row>
    <row r="90" customFormat="false" ht="15" hidden="false" customHeight="false" outlineLevel="0" collapsed="false">
      <c r="A90" s="3" t="s">
        <v>116</v>
      </c>
      <c r="B90" s="3"/>
      <c r="C90" s="3"/>
      <c r="D90" s="3"/>
      <c r="E90" s="3"/>
      <c r="F90" s="3"/>
      <c r="G90" s="3"/>
    </row>
    <row r="91" customFormat="false" ht="15" hidden="false" customHeight="false" outlineLevel="0" collapsed="false">
      <c r="C91" s="9" t="n">
        <f aca="false">$B$27+(-2)*0.005</f>
        <v>0.015</v>
      </c>
      <c r="D91" s="9" t="n">
        <f aca="false">$B$27+(-1)*0.005</f>
        <v>0.02</v>
      </c>
      <c r="E91" s="9" t="n">
        <f aca="false">$B$27+(0)*0.005</f>
        <v>0.025</v>
      </c>
      <c r="F91" s="9" t="n">
        <f aca="false">$B$27+(1)*0.005</f>
        <v>0.03</v>
      </c>
      <c r="G91" s="9" t="n">
        <f aca="false">$B$27+(2)*0.005</f>
        <v>0.035</v>
      </c>
    </row>
    <row r="92" customFormat="false" ht="15" hidden="false" customHeight="false" outlineLevel="0" collapsed="false">
      <c r="B92" s="9" t="n">
        <f aca="false">$B$21+(-0.01)</f>
        <v>0.0552788340344324</v>
      </c>
      <c r="C92" s="17" t="n">
        <f aca="false">($F$74/(1+$B92)^1+$G$74/(1+$B92)^2+$H$74/(1+$B92)^3+$I$74/(1+$B92)^4+$J$74/(1+$B92)^5+$J$74*(1+C$91)/($B92-C$91)/(1+$B92)^5+$B$8+$B$9-$B$10-$B$11-$B$12)/$B$7</f>
        <v>32.376634183836</v>
      </c>
      <c r="D92" s="17" t="n">
        <f aca="false">($F$74/(1+$B92)^1+$G$74/(1+$B92)^2+$H$74/(1+$B92)^3+$I$74/(1+$B92)^4+$J$74/(1+$B92)^5+$J$74*(1+D$91)/($B92-D$91)/(1+$B92)^5+$B$8+$B$9-$B$10-$B$11-$B$12)/$B$7</f>
        <v>37.4690202003356</v>
      </c>
      <c r="E92" s="17" t="n">
        <f aca="false">($F$74/(1+$B92)^1+$G$74/(1+$B92)^2+$H$74/(1+$B92)^3+$I$74/(1+$B92)^4+$J$74/(1+$B92)^5+$J$74*(1+E$91)/($B92-E$91)/(1+$B92)^5+$B$8+$B$9-$B$10-$B$11-$B$12)/$B$7</f>
        <v>44.2432365048538</v>
      </c>
      <c r="F92" s="17" t="n">
        <f aca="false">($F$74/(1+$B92)^1+$G$74/(1+$B92)^2+$H$74/(1+$B92)^3+$I$74/(1+$B92)^4+$J$74/(1+$B92)^5+$J$74*(1+F$91)/($B92-F$91)/(1+$B92)^5+$B$8+$B$9-$B$10-$B$11-$B$12)/$B$7</f>
        <v>53.6972505782451</v>
      </c>
      <c r="G92" s="17" t="n">
        <f aca="false">($F$74/(1+$B92)^1+$G$74/(1+$B92)^2+$H$74/(1+$B92)^3+$I$74/(1+$B92)^4+$J$74/(1+$B92)^5+$J$74*(1+G$91)/($B92-G$91)/(1+$B92)^5+$B$8+$B$9-$B$10-$B$11-$B$12)/$B$7</f>
        <v>67.8132753260856</v>
      </c>
    </row>
    <row r="93" customFormat="false" ht="15" hidden="false" customHeight="false" outlineLevel="0" collapsed="false">
      <c r="B93" s="9" t="n">
        <f aca="false">$B$21+(-0.005)</f>
        <v>0.0602788340344324</v>
      </c>
      <c r="C93" s="17" t="n">
        <f aca="false">($F$74/(1+$B93)^1+$G$74/(1+$B93)^2+$H$74/(1+$B93)^3+$I$74/(1+$B93)^4+$J$74/(1+$B93)^5+$J$74*(1+C$91)/($B93-C$91)/(1+$B93)^5+$B$8+$B$9-$B$10-$B$11-$B$12)/$B$7</f>
        <v>27.7480293776294</v>
      </c>
      <c r="D93" s="17" t="n">
        <f aca="false">($F$74/(1+$B93)^1+$G$74/(1+$B93)^2+$H$74/(1+$B93)^3+$I$74/(1+$B93)^4+$J$74/(1+$B93)^5+$J$74*(1+D$91)/($B93-D$91)/(1+$B93)^5+$B$8+$B$9-$B$10-$B$11-$B$12)/$B$7</f>
        <v>31.6414277940483</v>
      </c>
      <c r="E93" s="17" t="n">
        <f aca="false">($F$74/(1+$B93)^1+$G$74/(1+$B93)^2+$H$74/(1+$B93)^3+$I$74/(1+$B93)^4+$J$74/(1+$B93)^5+$J$74*(1+E$91)/($B93-E$91)/(1+$B93)^5+$B$8+$B$9-$B$10-$B$11-$B$12)/$B$7</f>
        <v>36.6384336632018</v>
      </c>
      <c r="F93" s="17" t="n">
        <f aca="false">($F$74/(1+$B93)^1+$G$74/(1+$B93)^2+$H$74/(1+$B93)^3+$I$74/(1+$B93)^4+$J$74/(1+$B93)^5+$J$74*(1+F$91)/($B93-F$91)/(1+$B93)^5+$B$8+$B$9-$B$10-$B$11-$B$12)/$B$7</f>
        <v>43.2857692192484</v>
      </c>
      <c r="G93" s="17" t="n">
        <f aca="false">($F$74/(1+$B93)^1+$G$74/(1+$B93)^2+$H$74/(1+$B93)^3+$I$74/(1+$B93)^4+$J$74/(1+$B93)^5+$J$74*(1+G$91)/($B93-G$91)/(1+$B93)^5+$B$8+$B$9-$B$10-$B$11-$B$12)/$B$7</f>
        <v>52.5627100596971</v>
      </c>
    </row>
    <row r="94" customFormat="false" ht="15" hidden="false" customHeight="false" outlineLevel="0" collapsed="false">
      <c r="B94" s="9" t="n">
        <f aca="false">$B$21+(0)</f>
        <v>0.0652788340344324</v>
      </c>
      <c r="C94" s="17" t="n">
        <f aca="false">($F$74/(1+$B94)^1+$G$74/(1+$B94)^2+$H$74/(1+$B94)^3+$I$74/(1+$B94)^4+$J$74/(1+$B94)^5+$J$74*(1+C$91)/($B94-C$91)/(1+$B94)^5+$B$8+$B$9-$B$10-$B$11-$B$12)/$B$7</f>
        <v>24.0413494046708</v>
      </c>
      <c r="D94" s="17" t="n">
        <f aca="false">($F$74/(1+$B94)^1+$G$74/(1+$B94)^2+$H$74/(1+$B94)^3+$I$74/(1+$B94)^4+$J$74/(1+$B94)^5+$J$74*(1+D$91)/($B94-D$91)/(1+$B94)^5+$B$8+$B$9-$B$10-$B$11-$B$12)/$B$7</f>
        <v>27.102239353196</v>
      </c>
      <c r="E94" s="17" t="n">
        <f aca="false">($F$74/(1+$B94)^1+$G$74/(1+$B94)^2+$H$74/(1+$B94)^3+$I$74/(1+$B94)^4+$J$74/(1+$B94)^5+$J$74*(1+E$91)/($B94-E$91)/(1+$B94)^5+$B$8+$B$9-$B$10-$B$11-$B$12)/$B$7</f>
        <v>30.9230544638817</v>
      </c>
      <c r="F94" s="17" t="n">
        <f aca="false">($F$74/(1+$B94)^1+$G$74/(1+$B94)^2+$H$74/(1+$B94)^3+$I$74/(1+$B94)^4+$J$74/(1+$B94)^5+$J$74*(1+F$91)/($B94-F$91)/(1+$B94)^5+$B$8+$B$9-$B$10-$B$11-$B$12)/$B$7</f>
        <v>35.8269028479903</v>
      </c>
      <c r="G94" s="17" t="n">
        <f aca="false">($F$74/(1+$B94)^1+$G$74/(1+$B94)^2+$H$74/(1+$B94)^3+$I$74/(1+$B94)^4+$J$74/(1+$B94)^5+$J$74*(1+G$91)/($B94-G$91)/(1+$B94)^5+$B$8+$B$9-$B$10-$B$11-$B$12)/$B$7</f>
        <v>42.3503143825598</v>
      </c>
    </row>
    <row r="95" customFormat="false" ht="15" hidden="false" customHeight="false" outlineLevel="0" collapsed="false">
      <c r="B95" s="9" t="n">
        <f aca="false">$B$21+(0.005)</f>
        <v>0.0702788340344324</v>
      </c>
      <c r="C95" s="17" t="n">
        <f aca="false">($F$74/(1+$B95)^1+$G$74/(1+$B95)^2+$H$74/(1+$B95)^3+$I$74/(1+$B95)^4+$J$74/(1+$B95)^5+$J$74*(1+C$91)/($B95-C$91)/(1+$B95)^5+$B$8+$B$9-$B$10-$B$11-$B$12)/$B$7</f>
        <v>21.006394680826</v>
      </c>
      <c r="D95" s="17" t="n">
        <f aca="false">($F$74/(1+$B95)^1+$G$74/(1+$B95)^2+$H$74/(1+$B95)^3+$I$74/(1+$B95)^4+$J$74/(1+$B95)^5+$J$74*(1+D$91)/($B95-D$91)/(1+$B95)^5+$B$8+$B$9-$B$10-$B$11-$B$12)/$B$7</f>
        <v>23.4670428483231</v>
      </c>
      <c r="E95" s="17" t="n">
        <f aca="false">($F$74/(1+$B95)^1+$G$74/(1+$B95)^2+$H$74/(1+$B95)^3+$I$74/(1+$B95)^4+$J$74/(1+$B95)^5+$J$74*(1+E$91)/($B95-E$91)/(1+$B95)^5+$B$8+$B$9-$B$10-$B$11-$B$12)/$B$7</f>
        <v>26.4711343751669</v>
      </c>
      <c r="F95" s="17" t="n">
        <f aca="false">($F$74/(1+$B95)^1+$G$74/(1+$B95)^2+$H$74/(1+$B95)^3+$I$74/(1+$B95)^4+$J$74/(1+$B95)^5+$J$74*(1+F$91)/($B95-F$91)/(1+$B95)^5+$B$8+$B$9-$B$10-$B$11-$B$12)/$B$7</f>
        <v>30.2210497568611</v>
      </c>
      <c r="G95" s="17" t="n">
        <f aca="false">($F$74/(1+$B95)^1+$G$74/(1+$B95)^2+$H$74/(1+$B95)^3+$I$74/(1+$B95)^4+$J$74/(1+$B95)^5+$J$74*(1+G$91)/($B95-G$91)/(1+$B95)^5+$B$8+$B$9-$B$10-$B$11-$B$12)/$B$7</f>
        <v>35.03390145273</v>
      </c>
    </row>
    <row r="96" customFormat="false" ht="15" hidden="false" customHeight="false" outlineLevel="0" collapsed="false">
      <c r="B96" s="9" t="n">
        <f aca="false">$B$21+(0.01)</f>
        <v>0.0752788340344324</v>
      </c>
      <c r="C96" s="17" t="n">
        <f aca="false">($F$74/(1+$B96)^1+$G$74/(1+$B96)^2+$H$74/(1+$B96)^3+$I$74/(1+$B96)^4+$J$74/(1+$B96)^5+$J$74*(1+C$91)/($B96-C$91)/(1+$B96)^5+$B$8+$B$9-$B$10-$B$11-$B$12)/$B$7</f>
        <v>18.4759806833052</v>
      </c>
      <c r="D96" s="17" t="n">
        <f aca="false">($F$74/(1+$B96)^1+$G$74/(1+$B96)^2+$H$74/(1+$B96)^3+$I$74/(1+$B96)^4+$J$74/(1+$B96)^5+$J$74*(1+D$91)/($B96-D$91)/(1+$B96)^5+$B$8+$B$9-$B$10-$B$11-$B$12)/$B$7</f>
        <v>20.4905083421533</v>
      </c>
      <c r="E96" s="17" t="n">
        <f aca="false">($F$74/(1+$B96)^1+$G$74/(1+$B96)^2+$H$74/(1+$B96)^3+$I$74/(1+$B96)^4+$J$74/(1+$B96)^5+$J$74*(1+E$91)/($B96-E$91)/(1+$B96)^5+$B$8+$B$9-$B$10-$B$11-$B$12)/$B$7</f>
        <v>22.9057071178909</v>
      </c>
      <c r="F96" s="17" t="n">
        <f aca="false">($F$74/(1+$B96)^1+$G$74/(1+$B96)^2+$H$74/(1+$B96)^3+$I$74/(1+$B96)^4+$J$74/(1+$B96)^5+$J$74*(1+F$91)/($B96-F$91)/(1+$B96)^5+$B$8+$B$9-$B$10-$B$11-$B$12)/$B$7</f>
        <v>25.8543115846632</v>
      </c>
      <c r="G96" s="17" t="n">
        <f aca="false">($F$74/(1+$B96)^1+$G$74/(1+$B96)^2+$H$74/(1+$B96)^3+$I$74/(1+$B96)^4+$J$74/(1+$B96)^5+$J$74*(1+G$91)/($B96-G$91)/(1+$B96)^5+$B$8+$B$9-$B$10-$B$11-$B$12)/$B$7</f>
        <v>29.5349641698719</v>
      </c>
    </row>
  </sheetData>
  <mergeCells count="2">
    <mergeCell ref="A1:Q1"/>
    <mergeCell ref="A2:Q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2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4"/>
    <col collapsed="false" customWidth="true" hidden="false" outlineLevel="0" max="3" min="3" style="0" width="20"/>
    <col collapsed="false" customWidth="true" hidden="false" outlineLevel="0" max="6" min="4" style="0" width="18"/>
    <col collapsed="false" customWidth="true" hidden="false" outlineLevel="0" max="7" min="7" style="0" width="20"/>
    <col collapsed="false" customWidth="true" hidden="false" outlineLevel="0" max="8" min="8" style="0" width="72"/>
    <col collapsed="false" customWidth="true" hidden="false" outlineLevel="0" max="9" min="9" style="0" width="42"/>
    <col collapsed="false" customWidth="true" hidden="false" outlineLevel="0" max="10" min="10" style="0" width="48"/>
    <col collapsed="false" customWidth="true" hidden="false" outlineLevel="0" max="11" min="11" style="0" width="54"/>
    <col collapsed="false" customWidth="true" hidden="false" outlineLevel="0" max="12" min="12" style="0" width="25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10" t="s">
        <v>117</v>
      </c>
      <c r="B1" s="10" t="s">
        <v>118</v>
      </c>
      <c r="C1" s="10" t="s">
        <v>119</v>
      </c>
      <c r="D1" s="10" t="s">
        <v>120</v>
      </c>
      <c r="E1" s="10" t="s">
        <v>121</v>
      </c>
      <c r="F1" s="10" t="s">
        <v>122</v>
      </c>
      <c r="G1" s="10" t="s">
        <v>123</v>
      </c>
      <c r="H1" s="10" t="s">
        <v>124</v>
      </c>
      <c r="I1" s="10" t="s">
        <v>125</v>
      </c>
      <c r="J1" s="10" t="s">
        <v>126</v>
      </c>
      <c r="K1" s="10" t="s">
        <v>127</v>
      </c>
      <c r="L1" s="10" t="s">
        <v>128</v>
      </c>
      <c r="M1" s="10" t="s">
        <v>129</v>
      </c>
    </row>
    <row r="2" customFormat="false" ht="15" hidden="false" customHeight="true" outlineLevel="0" collapsed="false">
      <c r="A2" s="18" t="n">
        <v>2023</v>
      </c>
      <c r="B2" s="18" t="s">
        <v>130</v>
      </c>
      <c r="C2" s="19" t="n">
        <v>890000000</v>
      </c>
      <c r="D2" s="19" t="n">
        <v>890</v>
      </c>
      <c r="E2" s="18" t="s">
        <v>131</v>
      </c>
      <c r="F2" s="18" t="s">
        <v>132</v>
      </c>
      <c r="G2" s="18" t="s">
        <v>133</v>
      </c>
      <c r="H2" s="20" t="s">
        <v>134</v>
      </c>
      <c r="I2" s="20" t="s">
        <v>135</v>
      </c>
      <c r="J2" s="20" t="s">
        <v>61</v>
      </c>
      <c r="K2" s="20" t="s">
        <v>136</v>
      </c>
      <c r="L2" s="20" t="s">
        <v>137</v>
      </c>
      <c r="M2" s="20" t="s">
        <v>138</v>
      </c>
    </row>
    <row r="3" customFormat="false" ht="15" hidden="false" customHeight="true" outlineLevel="0" collapsed="false">
      <c r="A3" s="18" t="n">
        <v>2023</v>
      </c>
      <c r="B3" s="18" t="s">
        <v>139</v>
      </c>
      <c r="C3" s="19" t="n">
        <v>56000000</v>
      </c>
      <c r="D3" s="19" t="n">
        <v>56</v>
      </c>
      <c r="E3" s="18" t="s">
        <v>131</v>
      </c>
      <c r="F3" s="18" t="s">
        <v>132</v>
      </c>
      <c r="G3" s="18" t="s">
        <v>133</v>
      </c>
      <c r="H3" s="20" t="s">
        <v>134</v>
      </c>
      <c r="I3" s="20" t="s">
        <v>135</v>
      </c>
      <c r="J3" s="20" t="s">
        <v>67</v>
      </c>
      <c r="K3" s="20" t="s">
        <v>136</v>
      </c>
      <c r="L3" s="20" t="s">
        <v>137</v>
      </c>
      <c r="M3" s="20" t="s">
        <v>138</v>
      </c>
    </row>
    <row r="4" customFormat="false" ht="15" hidden="false" customHeight="true" outlineLevel="0" collapsed="false">
      <c r="A4" s="18" t="n">
        <v>2023</v>
      </c>
      <c r="B4" s="18" t="s">
        <v>140</v>
      </c>
      <c r="C4" s="19" t="n">
        <v>4514000000</v>
      </c>
      <c r="D4" s="19" t="n">
        <v>4514</v>
      </c>
      <c r="E4" s="18" t="s">
        <v>131</v>
      </c>
      <c r="F4" s="18" t="s">
        <v>132</v>
      </c>
      <c r="G4" s="18" t="s">
        <v>133</v>
      </c>
      <c r="H4" s="20" t="s">
        <v>134</v>
      </c>
      <c r="I4" s="20" t="s">
        <v>135</v>
      </c>
      <c r="J4" s="20" t="s">
        <v>46</v>
      </c>
      <c r="K4" s="20" t="s">
        <v>136</v>
      </c>
      <c r="L4" s="20" t="s">
        <v>137</v>
      </c>
      <c r="M4" s="20" t="s">
        <v>138</v>
      </c>
    </row>
    <row r="5" customFormat="false" ht="15" hidden="false" customHeight="true" outlineLevel="0" collapsed="false">
      <c r="A5" s="18" t="n">
        <v>2023</v>
      </c>
      <c r="B5" s="18" t="s">
        <v>141</v>
      </c>
      <c r="C5" s="19" t="n">
        <v>2968000000</v>
      </c>
      <c r="D5" s="19" t="n">
        <v>2968</v>
      </c>
      <c r="E5" s="18" t="s">
        <v>131</v>
      </c>
      <c r="F5" s="18" t="s">
        <v>132</v>
      </c>
      <c r="G5" s="18" t="s">
        <v>133</v>
      </c>
      <c r="H5" s="20" t="s">
        <v>134</v>
      </c>
      <c r="I5" s="20" t="s">
        <v>135</v>
      </c>
      <c r="J5" s="20" t="s">
        <v>48</v>
      </c>
      <c r="K5" s="20" t="s">
        <v>136</v>
      </c>
      <c r="L5" s="20" t="s">
        <v>137</v>
      </c>
      <c r="M5" s="20" t="s">
        <v>138</v>
      </c>
    </row>
    <row r="6" customFormat="false" ht="15" hidden="false" customHeight="true" outlineLevel="0" collapsed="false">
      <c r="A6" s="18" t="n">
        <v>2023</v>
      </c>
      <c r="B6" s="18" t="s">
        <v>142</v>
      </c>
      <c r="C6" s="19" t="n">
        <v>1350000000</v>
      </c>
      <c r="D6" s="19" t="n">
        <v>1350</v>
      </c>
      <c r="E6" s="18" t="s">
        <v>131</v>
      </c>
      <c r="F6" s="18" t="s">
        <v>132</v>
      </c>
      <c r="G6" s="18" t="s">
        <v>133</v>
      </c>
      <c r="H6" s="20" t="s">
        <v>134</v>
      </c>
      <c r="I6" s="20" t="s">
        <v>135</v>
      </c>
      <c r="J6" s="20" t="s">
        <v>55</v>
      </c>
      <c r="K6" s="20" t="s">
        <v>136</v>
      </c>
      <c r="L6" s="20" t="s">
        <v>137</v>
      </c>
      <c r="M6" s="20" t="s">
        <v>138</v>
      </c>
    </row>
    <row r="7" customFormat="false" ht="15" hidden="false" customHeight="true" outlineLevel="0" collapsed="false">
      <c r="A7" s="18" t="n">
        <v>2023</v>
      </c>
      <c r="B7" s="18" t="s">
        <v>143</v>
      </c>
      <c r="C7" s="19" t="n">
        <v>645000000</v>
      </c>
      <c r="D7" s="19" t="n">
        <v>645</v>
      </c>
      <c r="E7" s="18" t="s">
        <v>131</v>
      </c>
      <c r="F7" s="18" t="s">
        <v>132</v>
      </c>
      <c r="G7" s="18" t="s">
        <v>133</v>
      </c>
      <c r="H7" s="20" t="s">
        <v>134</v>
      </c>
      <c r="I7" s="20" t="s">
        <v>135</v>
      </c>
      <c r="J7" s="20" t="s">
        <v>78</v>
      </c>
      <c r="K7" s="20" t="s">
        <v>136</v>
      </c>
      <c r="L7" s="20" t="s">
        <v>137</v>
      </c>
      <c r="M7" s="20" t="s">
        <v>138</v>
      </c>
    </row>
    <row r="8" customFormat="false" ht="15" hidden="false" customHeight="true" outlineLevel="0" collapsed="false">
      <c r="A8" s="18" t="n">
        <v>2023</v>
      </c>
      <c r="B8" s="18" t="s">
        <v>144</v>
      </c>
      <c r="C8" s="19" t="n">
        <v>477000000</v>
      </c>
      <c r="D8" s="19" t="n">
        <v>477</v>
      </c>
      <c r="E8" s="18" t="s">
        <v>131</v>
      </c>
      <c r="F8" s="18" t="s">
        <v>132</v>
      </c>
      <c r="G8" s="18" t="s">
        <v>133</v>
      </c>
      <c r="H8" s="20" t="s">
        <v>134</v>
      </c>
      <c r="I8" s="20" t="s">
        <v>135</v>
      </c>
      <c r="J8" s="20" t="s">
        <v>69</v>
      </c>
      <c r="K8" s="20" t="s">
        <v>136</v>
      </c>
      <c r="L8" s="20" t="s">
        <v>137</v>
      </c>
      <c r="M8" s="20" t="s">
        <v>138</v>
      </c>
    </row>
    <row r="9" customFormat="false" ht="15" hidden="false" customHeight="true" outlineLevel="0" collapsed="false">
      <c r="A9" s="18" t="n">
        <v>2023</v>
      </c>
      <c r="B9" s="18" t="s">
        <v>145</v>
      </c>
      <c r="C9" s="19" t="n">
        <v>128000000</v>
      </c>
      <c r="D9" s="19" t="n">
        <v>128</v>
      </c>
      <c r="E9" s="18" t="s">
        <v>131</v>
      </c>
      <c r="F9" s="18" t="s">
        <v>132</v>
      </c>
      <c r="G9" s="18" t="s">
        <v>133</v>
      </c>
      <c r="H9" s="20" t="s">
        <v>134</v>
      </c>
      <c r="I9" s="20" t="s">
        <v>135</v>
      </c>
      <c r="J9" s="20" t="s">
        <v>89</v>
      </c>
      <c r="K9" s="20" t="s">
        <v>136</v>
      </c>
      <c r="L9" s="20" t="s">
        <v>137</v>
      </c>
      <c r="M9" s="20" t="s">
        <v>138</v>
      </c>
    </row>
    <row r="10" customFormat="false" ht="15" hidden="false" customHeight="true" outlineLevel="0" collapsed="false">
      <c r="A10" s="18" t="n">
        <v>2023</v>
      </c>
      <c r="B10" s="18" t="s">
        <v>146</v>
      </c>
      <c r="C10" s="19" t="n">
        <v>11220000000</v>
      </c>
      <c r="D10" s="19" t="n">
        <v>11220</v>
      </c>
      <c r="E10" s="18" t="s">
        <v>131</v>
      </c>
      <c r="F10" s="18" t="s">
        <v>132</v>
      </c>
      <c r="G10" s="18" t="s">
        <v>133</v>
      </c>
      <c r="H10" s="20" t="s">
        <v>134</v>
      </c>
      <c r="I10" s="20" t="s">
        <v>135</v>
      </c>
      <c r="J10" s="20" t="s">
        <v>42</v>
      </c>
      <c r="K10" s="20" t="s">
        <v>136</v>
      </c>
      <c r="L10" s="20" t="s">
        <v>137</v>
      </c>
      <c r="M10" s="20" t="s">
        <v>138</v>
      </c>
    </row>
    <row r="11" customFormat="false" ht="15" hidden="false" customHeight="true" outlineLevel="0" collapsed="false">
      <c r="A11" s="18" t="n">
        <v>2023</v>
      </c>
      <c r="B11" s="18" t="s">
        <v>147</v>
      </c>
      <c r="C11" s="19" t="n">
        <v>195000000</v>
      </c>
      <c r="D11" s="19" t="n">
        <v>195</v>
      </c>
      <c r="E11" s="18" t="s">
        <v>131</v>
      </c>
      <c r="F11" s="18" t="s">
        <v>132</v>
      </c>
      <c r="G11" s="18" t="s">
        <v>133</v>
      </c>
      <c r="H11" s="20" t="s">
        <v>134</v>
      </c>
      <c r="I11" s="20" t="s">
        <v>135</v>
      </c>
      <c r="J11" s="20" t="s">
        <v>85</v>
      </c>
      <c r="K11" s="20" t="s">
        <v>136</v>
      </c>
      <c r="L11" s="20" t="s">
        <v>137</v>
      </c>
      <c r="M11" s="20" t="s">
        <v>138</v>
      </c>
    </row>
    <row r="12" customFormat="false" ht="15" hidden="false" customHeight="true" outlineLevel="0" collapsed="false">
      <c r="A12" s="18" t="n">
        <v>2023</v>
      </c>
      <c r="B12" s="18" t="s">
        <v>148</v>
      </c>
      <c r="C12" s="19" t="n">
        <v>6747000000</v>
      </c>
      <c r="D12" s="19" t="n">
        <v>6747</v>
      </c>
      <c r="E12" s="18" t="s">
        <v>131</v>
      </c>
      <c r="F12" s="18" t="s">
        <v>132</v>
      </c>
      <c r="G12" s="18" t="s">
        <v>133</v>
      </c>
      <c r="H12" s="20" t="s">
        <v>134</v>
      </c>
      <c r="I12" s="20" t="s">
        <v>135</v>
      </c>
      <c r="J12" s="20" t="s">
        <v>36</v>
      </c>
      <c r="K12" s="20" t="s">
        <v>136</v>
      </c>
      <c r="L12" s="20" t="s">
        <v>137</v>
      </c>
      <c r="M12" s="20" t="s">
        <v>138</v>
      </c>
    </row>
    <row r="13" customFormat="false" ht="15" hidden="false" customHeight="true" outlineLevel="0" collapsed="false">
      <c r="A13" s="18" t="n">
        <v>2023</v>
      </c>
      <c r="B13" s="18" t="s">
        <v>149</v>
      </c>
      <c r="C13" s="19" t="n">
        <v>830000000</v>
      </c>
      <c r="D13" s="19" t="n">
        <v>830</v>
      </c>
      <c r="E13" s="18" t="s">
        <v>131</v>
      </c>
      <c r="F13" s="18" t="s">
        <v>132</v>
      </c>
      <c r="G13" s="18" t="s">
        <v>133</v>
      </c>
      <c r="H13" s="20" t="s">
        <v>134</v>
      </c>
      <c r="I13" s="20" t="s">
        <v>135</v>
      </c>
      <c r="J13" s="20" t="s">
        <v>76</v>
      </c>
      <c r="K13" s="20" t="s">
        <v>136</v>
      </c>
      <c r="L13" s="20" t="s">
        <v>137</v>
      </c>
      <c r="M13" s="20" t="s">
        <v>138</v>
      </c>
    </row>
    <row r="14" customFormat="false" ht="15" hidden="false" customHeight="true" outlineLevel="0" collapsed="false">
      <c r="A14" s="18" t="n">
        <v>2023</v>
      </c>
      <c r="B14" s="18" t="s">
        <v>150</v>
      </c>
      <c r="C14" s="19" t="n">
        <v>268000000</v>
      </c>
      <c r="D14" s="19" t="n">
        <v>268</v>
      </c>
      <c r="E14" s="18" t="s">
        <v>131</v>
      </c>
      <c r="F14" s="18" t="s">
        <v>132</v>
      </c>
      <c r="G14" s="18" t="s">
        <v>133</v>
      </c>
      <c r="H14" s="20" t="s">
        <v>134</v>
      </c>
      <c r="I14" s="20" t="s">
        <v>135</v>
      </c>
      <c r="J14" s="20" t="s">
        <v>87</v>
      </c>
      <c r="K14" s="20" t="s">
        <v>136</v>
      </c>
      <c r="L14" s="20" t="s">
        <v>137</v>
      </c>
      <c r="M14" s="20" t="s">
        <v>138</v>
      </c>
    </row>
    <row r="15" customFormat="false" ht="15" hidden="false" customHeight="true" outlineLevel="0" collapsed="false">
      <c r="A15" s="18" t="n">
        <v>2023</v>
      </c>
      <c r="B15" s="18" t="s">
        <v>151</v>
      </c>
      <c r="C15" s="19" t="n">
        <v>539000000</v>
      </c>
      <c r="D15" s="19" t="n">
        <v>539</v>
      </c>
      <c r="E15" s="18" t="s">
        <v>131</v>
      </c>
      <c r="F15" s="18" t="s">
        <v>132</v>
      </c>
      <c r="G15" s="18" t="s">
        <v>133</v>
      </c>
      <c r="H15" s="20" t="s">
        <v>134</v>
      </c>
      <c r="I15" s="20" t="s">
        <v>135</v>
      </c>
      <c r="J15" s="20" t="s">
        <v>80</v>
      </c>
      <c r="K15" s="20" t="s">
        <v>136</v>
      </c>
      <c r="L15" s="20" t="s">
        <v>137</v>
      </c>
      <c r="M15" s="20" t="s">
        <v>138</v>
      </c>
    </row>
    <row r="16" customFormat="false" ht="15" hidden="false" customHeight="true" outlineLevel="0" collapsed="false">
      <c r="A16" s="18" t="n">
        <v>2023</v>
      </c>
      <c r="B16" s="18" t="s">
        <v>152</v>
      </c>
      <c r="C16" s="19" t="n">
        <v>4753000000</v>
      </c>
      <c r="D16" s="19" t="n">
        <v>4753</v>
      </c>
      <c r="E16" s="18" t="s">
        <v>131</v>
      </c>
      <c r="F16" s="18" t="s">
        <v>132</v>
      </c>
      <c r="G16" s="18" t="s">
        <v>133</v>
      </c>
      <c r="H16" s="20" t="s">
        <v>134</v>
      </c>
      <c r="I16" s="20" t="s">
        <v>135</v>
      </c>
      <c r="J16" s="20" t="s">
        <v>44</v>
      </c>
      <c r="K16" s="20" t="s">
        <v>136</v>
      </c>
      <c r="L16" s="20" t="s">
        <v>137</v>
      </c>
      <c r="M16" s="20" t="s">
        <v>138</v>
      </c>
    </row>
    <row r="17" customFormat="false" ht="15" hidden="false" customHeight="true" outlineLevel="0" collapsed="false">
      <c r="A17" s="18" t="n">
        <v>2023</v>
      </c>
      <c r="B17" s="18" t="s">
        <v>153</v>
      </c>
      <c r="C17" s="19" t="n">
        <v>490000000</v>
      </c>
      <c r="D17" s="19" t="n">
        <v>490</v>
      </c>
      <c r="E17" s="18" t="s">
        <v>131</v>
      </c>
      <c r="F17" s="18" t="s">
        <v>132</v>
      </c>
      <c r="G17" s="18" t="s">
        <v>133</v>
      </c>
      <c r="H17" s="20" t="s">
        <v>134</v>
      </c>
      <c r="I17" s="20" t="s">
        <v>135</v>
      </c>
      <c r="J17" s="20" t="s">
        <v>73</v>
      </c>
      <c r="K17" s="20" t="s">
        <v>136</v>
      </c>
      <c r="L17" s="20" t="s">
        <v>137</v>
      </c>
      <c r="M17" s="20" t="s">
        <v>138</v>
      </c>
    </row>
    <row r="18" customFormat="false" ht="15" hidden="false" customHeight="true" outlineLevel="0" collapsed="false">
      <c r="A18" s="18" t="n">
        <v>2023</v>
      </c>
      <c r="B18" s="18" t="s">
        <v>154</v>
      </c>
      <c r="C18" s="19" t="n">
        <v>1036000000</v>
      </c>
      <c r="D18" s="19" t="n">
        <v>1036</v>
      </c>
      <c r="E18" s="18" t="s">
        <v>131</v>
      </c>
      <c r="F18" s="18" t="s">
        <v>132</v>
      </c>
      <c r="G18" s="18" t="s">
        <v>133</v>
      </c>
      <c r="H18" s="20" t="s">
        <v>134</v>
      </c>
      <c r="I18" s="20" t="s">
        <v>135</v>
      </c>
      <c r="J18" s="20" t="s">
        <v>65</v>
      </c>
      <c r="K18" s="20" t="s">
        <v>136</v>
      </c>
      <c r="L18" s="20" t="s">
        <v>137</v>
      </c>
      <c r="M18" s="20" t="s">
        <v>138</v>
      </c>
    </row>
    <row r="19" customFormat="false" ht="15" hidden="false" customHeight="true" outlineLevel="0" collapsed="false">
      <c r="A19" s="18" t="n">
        <v>2023</v>
      </c>
      <c r="B19" s="18" t="s">
        <v>155</v>
      </c>
      <c r="C19" s="19" t="n">
        <v>539000000</v>
      </c>
      <c r="D19" s="19" t="n">
        <v>539</v>
      </c>
      <c r="E19" s="18" t="s">
        <v>131</v>
      </c>
      <c r="F19" s="18" t="s">
        <v>132</v>
      </c>
      <c r="G19" s="18" t="s">
        <v>133</v>
      </c>
      <c r="H19" s="20" t="s">
        <v>134</v>
      </c>
      <c r="I19" s="20" t="s">
        <v>135</v>
      </c>
      <c r="J19" s="20" t="s">
        <v>63</v>
      </c>
      <c r="K19" s="20" t="s">
        <v>136</v>
      </c>
      <c r="L19" s="20" t="s">
        <v>137</v>
      </c>
      <c r="M19" s="20" t="s">
        <v>138</v>
      </c>
    </row>
    <row r="20" customFormat="false" ht="15" hidden="false" customHeight="true" outlineLevel="0" collapsed="false">
      <c r="A20" s="18" t="n">
        <v>2023</v>
      </c>
      <c r="B20" s="18" t="s">
        <v>156</v>
      </c>
      <c r="C20" s="19" t="n">
        <v>928000000</v>
      </c>
      <c r="D20" s="19" t="n">
        <v>928</v>
      </c>
      <c r="E20" s="18" t="s">
        <v>131</v>
      </c>
      <c r="F20" s="18" t="s">
        <v>132</v>
      </c>
      <c r="G20" s="18" t="s">
        <v>133</v>
      </c>
      <c r="H20" s="20" t="s">
        <v>134</v>
      </c>
      <c r="I20" s="20" t="s">
        <v>135</v>
      </c>
      <c r="J20" s="20" t="s">
        <v>56</v>
      </c>
      <c r="K20" s="20" t="s">
        <v>136</v>
      </c>
      <c r="L20" s="20" t="s">
        <v>137</v>
      </c>
      <c r="M20" s="20" t="s">
        <v>138</v>
      </c>
    </row>
    <row r="21" customFormat="false" ht="15" hidden="false" customHeight="true" outlineLevel="0" collapsed="false">
      <c r="A21" s="18" t="n">
        <v>2023</v>
      </c>
      <c r="B21" s="18" t="s">
        <v>157</v>
      </c>
      <c r="C21" s="19" t="n">
        <v>245000000</v>
      </c>
      <c r="D21" s="19" t="n">
        <v>245</v>
      </c>
      <c r="E21" s="18" t="s">
        <v>131</v>
      </c>
      <c r="F21" s="18" t="s">
        <v>132</v>
      </c>
      <c r="G21" s="18" t="s">
        <v>133</v>
      </c>
      <c r="H21" s="20" t="s">
        <v>134</v>
      </c>
      <c r="I21" s="20" t="s">
        <v>135</v>
      </c>
      <c r="J21" s="20" t="s">
        <v>82</v>
      </c>
      <c r="K21" s="20" t="s">
        <v>136</v>
      </c>
      <c r="L21" s="20" t="s">
        <v>137</v>
      </c>
      <c r="M21" s="20" t="s">
        <v>138</v>
      </c>
    </row>
    <row r="22" customFormat="false" ht="15" hidden="false" customHeight="true" outlineLevel="0" collapsed="false">
      <c r="A22" s="18" t="n">
        <v>2023</v>
      </c>
      <c r="B22" s="18" t="s">
        <v>158</v>
      </c>
      <c r="C22" s="19" t="n">
        <v>1407000000</v>
      </c>
      <c r="D22" s="19" t="n">
        <v>1407</v>
      </c>
      <c r="E22" s="18" t="s">
        <v>131</v>
      </c>
      <c r="F22" s="18" t="s">
        <v>132</v>
      </c>
      <c r="G22" s="18" t="s">
        <v>133</v>
      </c>
      <c r="H22" s="20" t="s">
        <v>134</v>
      </c>
      <c r="I22" s="20" t="s">
        <v>135</v>
      </c>
      <c r="J22" s="20" t="s">
        <v>58</v>
      </c>
      <c r="K22" s="20" t="s">
        <v>136</v>
      </c>
      <c r="L22" s="20" t="s">
        <v>137</v>
      </c>
      <c r="M22" s="20" t="s">
        <v>138</v>
      </c>
    </row>
    <row r="23" customFormat="false" ht="15" hidden="false" customHeight="true" outlineLevel="0" collapsed="false">
      <c r="A23" s="18" t="n">
        <v>2023</v>
      </c>
      <c r="B23" s="18" t="s">
        <v>159</v>
      </c>
      <c r="C23" s="19" t="n">
        <v>53000000</v>
      </c>
      <c r="D23" s="19" t="n">
        <v>53</v>
      </c>
      <c r="E23" s="18" t="s">
        <v>131</v>
      </c>
      <c r="F23" s="18" t="s">
        <v>132</v>
      </c>
      <c r="G23" s="18" t="s">
        <v>133</v>
      </c>
      <c r="H23" s="20" t="s">
        <v>134</v>
      </c>
      <c r="I23" s="20" t="s">
        <v>135</v>
      </c>
      <c r="J23" s="20" t="s">
        <v>53</v>
      </c>
      <c r="K23" s="20" t="s">
        <v>136</v>
      </c>
      <c r="L23" s="20" t="s">
        <v>137</v>
      </c>
      <c r="M23" s="20" t="s">
        <v>138</v>
      </c>
    </row>
    <row r="24" customFormat="false" ht="15" hidden="false" customHeight="true" outlineLevel="0" collapsed="false">
      <c r="A24" s="18" t="n">
        <v>2023</v>
      </c>
      <c r="B24" s="18" t="s">
        <v>160</v>
      </c>
      <c r="C24" s="19" t="n">
        <v>1279000000</v>
      </c>
      <c r="D24" s="19" t="n">
        <v>1279</v>
      </c>
      <c r="E24" s="18" t="s">
        <v>131</v>
      </c>
      <c r="F24" s="18" t="s">
        <v>132</v>
      </c>
      <c r="G24" s="18" t="s">
        <v>133</v>
      </c>
      <c r="H24" s="20" t="s">
        <v>134</v>
      </c>
      <c r="I24" s="20" t="s">
        <v>135</v>
      </c>
      <c r="J24" s="20" t="s">
        <v>49</v>
      </c>
      <c r="K24" s="20" t="s">
        <v>136</v>
      </c>
      <c r="L24" s="20" t="s">
        <v>137</v>
      </c>
      <c r="M24" s="20" t="s">
        <v>138</v>
      </c>
    </row>
    <row r="25" customFormat="false" ht="15" hidden="false" customHeight="true" outlineLevel="0" collapsed="false">
      <c r="A25" s="18" t="n">
        <v>2023</v>
      </c>
      <c r="B25" s="18" t="s">
        <v>161</v>
      </c>
      <c r="C25" s="19" t="n">
        <v>6501000000</v>
      </c>
      <c r="D25" s="19" t="n">
        <v>6501</v>
      </c>
      <c r="E25" s="18" t="s">
        <v>131</v>
      </c>
      <c r="F25" s="18" t="s">
        <v>132</v>
      </c>
      <c r="G25" s="18" t="s">
        <v>133</v>
      </c>
      <c r="H25" s="20" t="s">
        <v>134</v>
      </c>
      <c r="I25" s="20" t="s">
        <v>135</v>
      </c>
      <c r="J25" s="20" t="s">
        <v>38</v>
      </c>
      <c r="K25" s="20" t="s">
        <v>136</v>
      </c>
      <c r="L25" s="20" t="s">
        <v>137</v>
      </c>
      <c r="M25" s="20" t="s">
        <v>138</v>
      </c>
    </row>
    <row r="26" customFormat="false" ht="15" hidden="false" customHeight="true" outlineLevel="0" collapsed="false">
      <c r="A26" s="18" t="n">
        <v>2023</v>
      </c>
      <c r="B26" s="18" t="s">
        <v>162</v>
      </c>
      <c r="C26" s="19" t="n">
        <v>757000000</v>
      </c>
      <c r="D26" s="19" t="n">
        <v>757</v>
      </c>
      <c r="E26" s="18" t="s">
        <v>131</v>
      </c>
      <c r="F26" s="18" t="s">
        <v>132</v>
      </c>
      <c r="G26" s="18" t="s">
        <v>133</v>
      </c>
      <c r="H26" s="20" t="s">
        <v>134</v>
      </c>
      <c r="I26" s="20" t="s">
        <v>135</v>
      </c>
      <c r="J26" s="20" t="s">
        <v>71</v>
      </c>
      <c r="K26" s="20" t="s">
        <v>136</v>
      </c>
      <c r="L26" s="20" t="s">
        <v>137</v>
      </c>
      <c r="M26" s="20" t="s">
        <v>138</v>
      </c>
    </row>
    <row r="27" customFormat="false" ht="15" hidden="false" customHeight="true" outlineLevel="0" collapsed="false">
      <c r="A27" s="18" t="n">
        <v>2023</v>
      </c>
      <c r="B27" s="18" t="s">
        <v>163</v>
      </c>
      <c r="C27" s="19" t="n">
        <v>3321000000</v>
      </c>
      <c r="D27" s="19" t="n">
        <v>3321</v>
      </c>
      <c r="E27" s="18" t="s">
        <v>131</v>
      </c>
      <c r="F27" s="18" t="s">
        <v>132</v>
      </c>
      <c r="G27" s="18" t="s">
        <v>133</v>
      </c>
      <c r="H27" s="20" t="s">
        <v>134</v>
      </c>
      <c r="I27" s="20" t="s">
        <v>135</v>
      </c>
      <c r="J27" s="20" t="s">
        <v>40</v>
      </c>
      <c r="K27" s="20" t="s">
        <v>136</v>
      </c>
      <c r="L27" s="20" t="s">
        <v>137</v>
      </c>
      <c r="M27" s="20" t="s">
        <v>138</v>
      </c>
    </row>
    <row r="28" customFormat="false" ht="15" hidden="false" customHeight="true" outlineLevel="0" collapsed="false">
      <c r="A28" s="18" t="n">
        <v>2023</v>
      </c>
      <c r="B28" s="18" t="s">
        <v>164</v>
      </c>
      <c r="C28" s="19" t="n">
        <v>1703000000</v>
      </c>
      <c r="D28" s="19" t="n">
        <v>1703</v>
      </c>
      <c r="E28" s="18" t="s">
        <v>131</v>
      </c>
      <c r="F28" s="18" t="s">
        <v>132</v>
      </c>
      <c r="G28" s="18" t="s">
        <v>133</v>
      </c>
      <c r="H28" s="20" t="s">
        <v>134</v>
      </c>
      <c r="I28" s="20" t="s">
        <v>135</v>
      </c>
      <c r="J28" s="20" t="s">
        <v>59</v>
      </c>
      <c r="K28" s="20" t="s">
        <v>136</v>
      </c>
      <c r="L28" s="20" t="s">
        <v>137</v>
      </c>
      <c r="M28" s="20" t="s">
        <v>138</v>
      </c>
    </row>
    <row r="29" customFormat="false" ht="15" hidden="false" customHeight="true" outlineLevel="0" collapsed="false">
      <c r="A29" s="18" t="n">
        <v>2023</v>
      </c>
      <c r="B29" s="18" t="s">
        <v>165</v>
      </c>
      <c r="C29" s="19" t="n">
        <v>1659000000</v>
      </c>
      <c r="D29" s="19" t="n">
        <v>1659</v>
      </c>
      <c r="E29" s="18" t="s">
        <v>131</v>
      </c>
      <c r="F29" s="18" t="s">
        <v>132</v>
      </c>
      <c r="G29" s="18" t="s">
        <v>133</v>
      </c>
      <c r="H29" s="20" t="s">
        <v>134</v>
      </c>
      <c r="I29" s="20" t="s">
        <v>135</v>
      </c>
      <c r="J29" s="20" t="s">
        <v>51</v>
      </c>
      <c r="K29" s="20" t="s">
        <v>136</v>
      </c>
      <c r="L29" s="20" t="s">
        <v>137</v>
      </c>
      <c r="M29" s="20" t="s">
        <v>138</v>
      </c>
    </row>
    <row r="30" customFormat="false" ht="15" hidden="false" customHeight="true" outlineLevel="0" collapsed="false">
      <c r="A30" s="18" t="n">
        <v>2023</v>
      </c>
      <c r="B30" s="18" t="s">
        <v>166</v>
      </c>
      <c r="C30" s="19" t="n">
        <v>511000000</v>
      </c>
      <c r="D30" s="19" t="n">
        <v>511</v>
      </c>
      <c r="E30" s="18" t="s">
        <v>131</v>
      </c>
      <c r="F30" s="18" t="s">
        <v>132</v>
      </c>
      <c r="G30" s="18" t="s">
        <v>133</v>
      </c>
      <c r="H30" s="20" t="s">
        <v>134</v>
      </c>
      <c r="I30" s="20" t="s">
        <v>135</v>
      </c>
      <c r="J30" s="20" t="s">
        <v>75</v>
      </c>
      <c r="K30" s="20" t="s">
        <v>136</v>
      </c>
      <c r="L30" s="20" t="s">
        <v>137</v>
      </c>
      <c r="M30" s="20" t="s">
        <v>138</v>
      </c>
    </row>
    <row r="31" customFormat="false" ht="15" hidden="false" customHeight="true" outlineLevel="0" collapsed="false">
      <c r="A31" s="18" t="n">
        <v>2023</v>
      </c>
      <c r="B31" s="18" t="s">
        <v>167</v>
      </c>
      <c r="C31" s="19" t="n">
        <v>406000000</v>
      </c>
      <c r="D31" s="19" t="n">
        <v>406</v>
      </c>
      <c r="E31" s="18" t="s">
        <v>131</v>
      </c>
      <c r="F31" s="18" t="s">
        <v>132</v>
      </c>
      <c r="G31" s="18" t="s">
        <v>133</v>
      </c>
      <c r="H31" s="20" t="s">
        <v>134</v>
      </c>
      <c r="I31" s="20" t="s">
        <v>135</v>
      </c>
      <c r="J31" s="20" t="s">
        <v>84</v>
      </c>
      <c r="K31" s="20" t="s">
        <v>136</v>
      </c>
      <c r="L31" s="20" t="s">
        <v>137</v>
      </c>
      <c r="M31" s="20" t="s">
        <v>138</v>
      </c>
    </row>
    <row r="32" customFormat="false" ht="24" hidden="false" customHeight="true" outlineLevel="0" collapsed="false">
      <c r="A32" s="18" t="n">
        <v>2023</v>
      </c>
      <c r="B32" s="18" t="s">
        <v>168</v>
      </c>
      <c r="C32" s="19" t="n">
        <v>59553000000</v>
      </c>
      <c r="D32" s="19" t="n">
        <v>59553</v>
      </c>
      <c r="E32" s="18" t="s">
        <v>131</v>
      </c>
      <c r="F32" s="18" t="s">
        <v>132</v>
      </c>
      <c r="G32" s="18" t="s">
        <v>133</v>
      </c>
      <c r="H32" s="20" t="s">
        <v>134</v>
      </c>
      <c r="I32" s="20" t="s">
        <v>169</v>
      </c>
      <c r="J32" s="20" t="s">
        <v>170</v>
      </c>
      <c r="K32" s="20" t="s">
        <v>171</v>
      </c>
      <c r="L32" s="20" t="s">
        <v>137</v>
      </c>
      <c r="M32" s="20" t="s">
        <v>138</v>
      </c>
    </row>
    <row r="33" customFormat="false" ht="24" hidden="false" customHeight="true" outlineLevel="0" collapsed="false">
      <c r="A33" s="18" t="n">
        <v>2023</v>
      </c>
      <c r="B33" s="18" t="s">
        <v>172</v>
      </c>
      <c r="C33" s="19" t="n">
        <v>59553000000</v>
      </c>
      <c r="D33" s="19" t="n">
        <v>59553</v>
      </c>
      <c r="E33" s="18" t="s">
        <v>131</v>
      </c>
      <c r="F33" s="18" t="s">
        <v>132</v>
      </c>
      <c r="G33" s="18" t="s">
        <v>133</v>
      </c>
      <c r="H33" s="20" t="s">
        <v>134</v>
      </c>
      <c r="I33" s="20" t="s">
        <v>169</v>
      </c>
      <c r="J33" s="20" t="s">
        <v>170</v>
      </c>
      <c r="K33" s="20" t="s">
        <v>171</v>
      </c>
      <c r="L33" s="20" t="s">
        <v>137</v>
      </c>
      <c r="M33" s="20" t="s">
        <v>138</v>
      </c>
    </row>
    <row r="34" customFormat="false" ht="36" hidden="false" customHeight="true" outlineLevel="0" collapsed="false">
      <c r="A34" s="18" t="n">
        <v>2023</v>
      </c>
      <c r="B34" s="18" t="s">
        <v>173</v>
      </c>
      <c r="C34" s="19" t="n">
        <v>3267000000</v>
      </c>
      <c r="D34" s="19" t="n">
        <v>1058000000</v>
      </c>
      <c r="E34" s="18" t="s">
        <v>131</v>
      </c>
      <c r="F34" s="18" t="s">
        <v>174</v>
      </c>
      <c r="G34" s="18" t="s">
        <v>175</v>
      </c>
      <c r="H34" s="20" t="s">
        <v>176</v>
      </c>
      <c r="I34" s="20" t="s">
        <v>177</v>
      </c>
      <c r="J34" s="20" t="s">
        <v>178</v>
      </c>
      <c r="K34" s="20" t="s">
        <v>179</v>
      </c>
      <c r="L34" s="20" t="s">
        <v>137</v>
      </c>
      <c r="M34" s="20" t="s">
        <v>138</v>
      </c>
    </row>
    <row r="35" customFormat="false" ht="15" hidden="false" customHeight="true" outlineLevel="0" collapsed="false">
      <c r="A35" s="18" t="n">
        <v>2023</v>
      </c>
      <c r="B35" s="18" t="s">
        <v>173</v>
      </c>
      <c r="C35" s="19" t="n">
        <v>3267000000</v>
      </c>
      <c r="D35" s="19" t="n">
        <v>2209000000</v>
      </c>
      <c r="E35" s="18" t="s">
        <v>131</v>
      </c>
      <c r="F35" s="18" t="s">
        <v>174</v>
      </c>
      <c r="G35" s="18" t="s">
        <v>175</v>
      </c>
      <c r="H35" s="20" t="s">
        <v>176</v>
      </c>
      <c r="I35" s="20" t="s">
        <v>180</v>
      </c>
      <c r="J35" s="20" t="s">
        <v>181</v>
      </c>
      <c r="K35" s="20" t="s">
        <v>179</v>
      </c>
      <c r="L35" s="20" t="s">
        <v>137</v>
      </c>
      <c r="M35" s="20" t="s">
        <v>138</v>
      </c>
    </row>
    <row r="36" customFormat="false" ht="15" hidden="false" customHeight="true" outlineLevel="0" collapsed="false">
      <c r="A36" s="18" t="n">
        <v>2023</v>
      </c>
      <c r="B36" s="18" t="s">
        <v>182</v>
      </c>
      <c r="C36" s="19" t="n">
        <v>2209000000</v>
      </c>
      <c r="D36" s="19" t="n">
        <v>2209000000</v>
      </c>
      <c r="E36" s="18" t="s">
        <v>131</v>
      </c>
      <c r="F36" s="18" t="s">
        <v>174</v>
      </c>
      <c r="G36" s="18" t="s">
        <v>133</v>
      </c>
      <c r="H36" s="20" t="s">
        <v>183</v>
      </c>
      <c r="I36" s="20" t="s">
        <v>180</v>
      </c>
      <c r="J36" s="20" t="s">
        <v>181</v>
      </c>
      <c r="K36" s="20" t="s">
        <v>179</v>
      </c>
      <c r="L36" s="20" t="s">
        <v>137</v>
      </c>
      <c r="M36" s="20" t="s">
        <v>138</v>
      </c>
    </row>
    <row r="37" customFormat="false" ht="15" hidden="false" customHeight="true" outlineLevel="0" collapsed="false">
      <c r="A37" s="18" t="n">
        <v>2023</v>
      </c>
      <c r="B37" s="18" t="s">
        <v>184</v>
      </c>
      <c r="C37" s="19" t="n">
        <v>1.0538752362949</v>
      </c>
      <c r="D37" s="19" t="n">
        <v>-1115000000</v>
      </c>
      <c r="E37" s="18" t="s">
        <v>131</v>
      </c>
      <c r="F37" s="18" t="s">
        <v>174</v>
      </c>
      <c r="G37" s="18" t="s">
        <v>175</v>
      </c>
      <c r="H37" s="20" t="s">
        <v>185</v>
      </c>
      <c r="I37" s="20" t="s">
        <v>186</v>
      </c>
      <c r="J37" s="20" t="s">
        <v>187</v>
      </c>
      <c r="K37" s="20" t="s">
        <v>179</v>
      </c>
      <c r="L37" s="20" t="s">
        <v>137</v>
      </c>
      <c r="M37" s="20" t="s">
        <v>138</v>
      </c>
    </row>
    <row r="38" customFormat="false" ht="36" hidden="false" customHeight="true" outlineLevel="0" collapsed="false">
      <c r="A38" s="18" t="n">
        <v>2023</v>
      </c>
      <c r="B38" s="18" t="s">
        <v>184</v>
      </c>
      <c r="C38" s="19" t="n">
        <v>1.0538752362949</v>
      </c>
      <c r="D38" s="19" t="n">
        <v>1058000000</v>
      </c>
      <c r="E38" s="18" t="s">
        <v>131</v>
      </c>
      <c r="F38" s="18" t="s">
        <v>174</v>
      </c>
      <c r="G38" s="18" t="s">
        <v>175</v>
      </c>
      <c r="H38" s="20" t="s">
        <v>185</v>
      </c>
      <c r="I38" s="20" t="s">
        <v>177</v>
      </c>
      <c r="J38" s="20" t="s">
        <v>178</v>
      </c>
      <c r="K38" s="20" t="s">
        <v>179</v>
      </c>
      <c r="L38" s="20" t="s">
        <v>137</v>
      </c>
      <c r="M38" s="20" t="s">
        <v>138</v>
      </c>
    </row>
    <row r="39" customFormat="false" ht="15" hidden="false" customHeight="true" outlineLevel="0" collapsed="false">
      <c r="A39" s="18" t="n">
        <v>2023</v>
      </c>
      <c r="B39" s="18" t="s">
        <v>188</v>
      </c>
      <c r="C39" s="19" t="n">
        <v>6290000000</v>
      </c>
      <c r="D39" s="19" t="n">
        <v>6290000000</v>
      </c>
      <c r="E39" s="18" t="s">
        <v>131</v>
      </c>
      <c r="F39" s="18" t="s">
        <v>174</v>
      </c>
      <c r="G39" s="18" t="s">
        <v>133</v>
      </c>
      <c r="H39" s="20" t="s">
        <v>183</v>
      </c>
      <c r="I39" s="20" t="s">
        <v>189</v>
      </c>
      <c r="J39" s="20" t="s">
        <v>190</v>
      </c>
      <c r="K39" s="20" t="s">
        <v>191</v>
      </c>
      <c r="L39" s="20" t="s">
        <v>137</v>
      </c>
      <c r="M39" s="20" t="s">
        <v>138</v>
      </c>
    </row>
    <row r="40" customFormat="false" ht="24" hidden="false" customHeight="true" outlineLevel="0" collapsed="false">
      <c r="A40" s="18" t="n">
        <v>2023</v>
      </c>
      <c r="B40" s="18" t="s">
        <v>192</v>
      </c>
      <c r="C40" s="19" t="n">
        <v>3907000000</v>
      </c>
      <c r="D40" s="19" t="n">
        <v>3907000000</v>
      </c>
      <c r="E40" s="18" t="s">
        <v>131</v>
      </c>
      <c r="F40" s="18" t="s">
        <v>174</v>
      </c>
      <c r="G40" s="18" t="s">
        <v>133</v>
      </c>
      <c r="H40" s="20" t="s">
        <v>183</v>
      </c>
      <c r="I40" s="20" t="s">
        <v>193</v>
      </c>
      <c r="J40" s="20" t="s">
        <v>194</v>
      </c>
      <c r="K40" s="20" t="s">
        <v>191</v>
      </c>
      <c r="L40" s="20" t="s">
        <v>137</v>
      </c>
      <c r="M40" s="20" t="s">
        <v>138</v>
      </c>
    </row>
    <row r="41" customFormat="false" ht="24" hidden="false" customHeight="true" outlineLevel="0" collapsed="false">
      <c r="A41" s="18" t="n">
        <v>2023</v>
      </c>
      <c r="B41" s="18" t="s">
        <v>195</v>
      </c>
      <c r="C41" s="19" t="n">
        <v>1532000000</v>
      </c>
      <c r="D41" s="19" t="n">
        <v>11177000000</v>
      </c>
      <c r="E41" s="18" t="s">
        <v>131</v>
      </c>
      <c r="F41" s="18" t="s">
        <v>174</v>
      </c>
      <c r="G41" s="18" t="s">
        <v>175</v>
      </c>
      <c r="H41" s="20" t="s">
        <v>196</v>
      </c>
      <c r="I41" s="20" t="s">
        <v>197</v>
      </c>
      <c r="J41" s="20" t="s">
        <v>198</v>
      </c>
      <c r="K41" s="20" t="s">
        <v>199</v>
      </c>
      <c r="L41" s="20" t="s">
        <v>200</v>
      </c>
      <c r="M41" s="20" t="s">
        <v>201</v>
      </c>
    </row>
    <row r="42" customFormat="false" ht="15" hidden="false" customHeight="true" outlineLevel="0" collapsed="false">
      <c r="A42" s="18" t="n">
        <v>2023</v>
      </c>
      <c r="B42" s="18" t="s">
        <v>195</v>
      </c>
      <c r="C42" s="19" t="n">
        <v>1532000000</v>
      </c>
      <c r="D42" s="19" t="n">
        <v>10189000000</v>
      </c>
      <c r="E42" s="18" t="s">
        <v>131</v>
      </c>
      <c r="F42" s="18" t="s">
        <v>174</v>
      </c>
      <c r="G42" s="18" t="s">
        <v>175</v>
      </c>
      <c r="H42" s="20" t="s">
        <v>196</v>
      </c>
      <c r="I42" s="20" t="s">
        <v>202</v>
      </c>
      <c r="J42" s="20" t="s">
        <v>203</v>
      </c>
      <c r="K42" s="20" t="s">
        <v>199</v>
      </c>
      <c r="L42" s="20" t="s">
        <v>204</v>
      </c>
      <c r="M42" s="20" t="s">
        <v>205</v>
      </c>
    </row>
    <row r="43" customFormat="false" ht="15" hidden="false" customHeight="true" outlineLevel="0" collapsed="false">
      <c r="A43" s="18" t="n">
        <v>2023</v>
      </c>
      <c r="B43" s="18" t="s">
        <v>195</v>
      </c>
      <c r="C43" s="19" t="n">
        <v>1532000000</v>
      </c>
      <c r="D43" s="19" t="n">
        <v>6710000000</v>
      </c>
      <c r="E43" s="18" t="s">
        <v>131</v>
      </c>
      <c r="F43" s="18" t="s">
        <v>174</v>
      </c>
      <c r="G43" s="18" t="s">
        <v>175</v>
      </c>
      <c r="H43" s="20" t="s">
        <v>196</v>
      </c>
      <c r="I43" s="20" t="s">
        <v>206</v>
      </c>
      <c r="J43" s="20" t="s">
        <v>207</v>
      </c>
      <c r="K43" s="20" t="s">
        <v>199</v>
      </c>
      <c r="L43" s="20" t="s">
        <v>204</v>
      </c>
      <c r="M43" s="20" t="s">
        <v>205</v>
      </c>
    </row>
    <row r="44" customFormat="false" ht="24" hidden="false" customHeight="true" outlineLevel="0" collapsed="false">
      <c r="A44" s="18" t="n">
        <v>2023</v>
      </c>
      <c r="B44" s="18" t="s">
        <v>195</v>
      </c>
      <c r="C44" s="19" t="n">
        <v>1532000000</v>
      </c>
      <c r="D44" s="19" t="n">
        <v>10952000000</v>
      </c>
      <c r="E44" s="18" t="s">
        <v>131</v>
      </c>
      <c r="F44" s="18" t="s">
        <v>174</v>
      </c>
      <c r="G44" s="18" t="s">
        <v>175</v>
      </c>
      <c r="H44" s="20" t="s">
        <v>196</v>
      </c>
      <c r="I44" s="20" t="s">
        <v>197</v>
      </c>
      <c r="J44" s="20" t="s">
        <v>198</v>
      </c>
      <c r="K44" s="20" t="s">
        <v>199</v>
      </c>
      <c r="L44" s="20" t="s">
        <v>200</v>
      </c>
      <c r="M44" s="20" t="s">
        <v>201</v>
      </c>
    </row>
    <row r="45" customFormat="false" ht="15" hidden="false" customHeight="true" outlineLevel="0" collapsed="false">
      <c r="A45" s="18" t="n">
        <v>2023</v>
      </c>
      <c r="B45" s="18" t="s">
        <v>195</v>
      </c>
      <c r="C45" s="19" t="n">
        <v>1532000000</v>
      </c>
      <c r="D45" s="19" t="n">
        <v>8981000000</v>
      </c>
      <c r="E45" s="18" t="s">
        <v>131</v>
      </c>
      <c r="F45" s="18" t="s">
        <v>174</v>
      </c>
      <c r="G45" s="18" t="s">
        <v>175</v>
      </c>
      <c r="H45" s="20" t="s">
        <v>196</v>
      </c>
      <c r="I45" s="20" t="s">
        <v>202</v>
      </c>
      <c r="J45" s="20" t="s">
        <v>203</v>
      </c>
      <c r="K45" s="20" t="s">
        <v>199</v>
      </c>
      <c r="L45" s="20" t="s">
        <v>200</v>
      </c>
      <c r="M45" s="20" t="s">
        <v>201</v>
      </c>
    </row>
    <row r="46" customFormat="false" ht="15" hidden="false" customHeight="true" outlineLevel="0" collapsed="false">
      <c r="A46" s="18" t="n">
        <v>2023</v>
      </c>
      <c r="B46" s="18" t="s">
        <v>195</v>
      </c>
      <c r="C46" s="19" t="n">
        <v>1532000000</v>
      </c>
      <c r="D46" s="19" t="n">
        <v>6809000000</v>
      </c>
      <c r="E46" s="18" t="s">
        <v>131</v>
      </c>
      <c r="F46" s="18" t="s">
        <v>174</v>
      </c>
      <c r="G46" s="18" t="s">
        <v>175</v>
      </c>
      <c r="H46" s="20" t="s">
        <v>196</v>
      </c>
      <c r="I46" s="20" t="s">
        <v>206</v>
      </c>
      <c r="J46" s="20" t="s">
        <v>207</v>
      </c>
      <c r="K46" s="20" t="s">
        <v>199</v>
      </c>
      <c r="L46" s="20" t="s">
        <v>200</v>
      </c>
      <c r="M46" s="20" t="s">
        <v>201</v>
      </c>
    </row>
    <row r="47" customFormat="false" ht="15" hidden="false" customHeight="true" outlineLevel="0" collapsed="false">
      <c r="A47" s="18" t="n">
        <v>2023</v>
      </c>
      <c r="B47" s="18" t="s">
        <v>208</v>
      </c>
      <c r="C47" s="19" t="n">
        <v>2853000000</v>
      </c>
      <c r="D47" s="19" t="n">
        <v>2853000000</v>
      </c>
      <c r="E47" s="18" t="s">
        <v>131</v>
      </c>
      <c r="F47" s="18" t="s">
        <v>174</v>
      </c>
      <c r="G47" s="18" t="s">
        <v>133</v>
      </c>
      <c r="H47" s="20" t="s">
        <v>183</v>
      </c>
      <c r="I47" s="20" t="s">
        <v>209</v>
      </c>
      <c r="J47" s="20" t="s">
        <v>210</v>
      </c>
      <c r="K47" s="20" t="s">
        <v>199</v>
      </c>
      <c r="L47" s="20" t="s">
        <v>204</v>
      </c>
      <c r="M47" s="20" t="s">
        <v>205</v>
      </c>
    </row>
    <row r="48" customFormat="false" ht="36" hidden="false" customHeight="true" outlineLevel="0" collapsed="false">
      <c r="A48" s="18" t="n">
        <v>2023</v>
      </c>
      <c r="B48" s="18" t="s">
        <v>211</v>
      </c>
      <c r="C48" s="18"/>
      <c r="D48" s="18"/>
      <c r="E48" s="18" t="s">
        <v>131</v>
      </c>
      <c r="F48" s="18" t="s">
        <v>174</v>
      </c>
      <c r="G48" s="18" t="s">
        <v>212</v>
      </c>
      <c r="H48" s="20" t="s">
        <v>213</v>
      </c>
      <c r="I48" s="20"/>
      <c r="J48" s="20" t="s">
        <v>214</v>
      </c>
      <c r="K48" s="20" t="s">
        <v>215</v>
      </c>
      <c r="L48" s="20" t="s">
        <v>200</v>
      </c>
      <c r="M48" s="20" t="s">
        <v>201</v>
      </c>
    </row>
    <row r="49" customFormat="false" ht="15" hidden="false" customHeight="true" outlineLevel="0" collapsed="false">
      <c r="A49" s="18" t="n">
        <v>2023</v>
      </c>
      <c r="B49" s="18" t="s">
        <v>216</v>
      </c>
      <c r="C49" s="19" t="n">
        <v>71757000000</v>
      </c>
      <c r="D49" s="19" t="n">
        <v>2254000000</v>
      </c>
      <c r="E49" s="18" t="s">
        <v>131</v>
      </c>
      <c r="F49" s="18" t="s">
        <v>174</v>
      </c>
      <c r="G49" s="18" t="s">
        <v>175</v>
      </c>
      <c r="H49" s="20" t="s">
        <v>217</v>
      </c>
      <c r="I49" s="20" t="s">
        <v>218</v>
      </c>
      <c r="J49" s="20" t="s">
        <v>219</v>
      </c>
      <c r="K49" s="20" t="s">
        <v>199</v>
      </c>
      <c r="L49" s="20" t="s">
        <v>204</v>
      </c>
      <c r="M49" s="20" t="s">
        <v>205</v>
      </c>
    </row>
    <row r="50" customFormat="false" ht="15" hidden="false" customHeight="true" outlineLevel="0" collapsed="false">
      <c r="A50" s="18" t="n">
        <v>2023</v>
      </c>
      <c r="B50" s="18" t="s">
        <v>216</v>
      </c>
      <c r="C50" s="19" t="n">
        <v>71757000000</v>
      </c>
      <c r="D50" s="19" t="n">
        <v>7965000000</v>
      </c>
      <c r="E50" s="18" t="s">
        <v>131</v>
      </c>
      <c r="F50" s="18" t="s">
        <v>174</v>
      </c>
      <c r="G50" s="18" t="s">
        <v>175</v>
      </c>
      <c r="H50" s="20" t="s">
        <v>217</v>
      </c>
      <c r="I50" s="20" t="s">
        <v>220</v>
      </c>
      <c r="J50" s="20" t="s">
        <v>221</v>
      </c>
      <c r="K50" s="20" t="s">
        <v>215</v>
      </c>
      <c r="L50" s="20" t="s">
        <v>204</v>
      </c>
      <c r="M50" s="20" t="s">
        <v>205</v>
      </c>
    </row>
    <row r="51" customFormat="false" ht="15" hidden="false" customHeight="true" outlineLevel="0" collapsed="false">
      <c r="A51" s="18" t="n">
        <v>2023</v>
      </c>
      <c r="B51" s="18" t="s">
        <v>216</v>
      </c>
      <c r="C51" s="19" t="n">
        <v>71757000000</v>
      </c>
      <c r="D51" s="19" t="n">
        <v>61538000000</v>
      </c>
      <c r="E51" s="18" t="s">
        <v>131</v>
      </c>
      <c r="F51" s="18" t="s">
        <v>174</v>
      </c>
      <c r="G51" s="18" t="s">
        <v>175</v>
      </c>
      <c r="H51" s="20" t="s">
        <v>217</v>
      </c>
      <c r="I51" s="20" t="s">
        <v>222</v>
      </c>
      <c r="J51" s="20" t="s">
        <v>223</v>
      </c>
      <c r="K51" s="20" t="s">
        <v>199</v>
      </c>
      <c r="L51" s="20" t="s">
        <v>204</v>
      </c>
      <c r="M51" s="20" t="s">
        <v>205</v>
      </c>
    </row>
    <row r="52" customFormat="false" ht="24" hidden="false" customHeight="true" outlineLevel="0" collapsed="false">
      <c r="A52" s="18" t="n">
        <v>2023</v>
      </c>
      <c r="B52" s="18" t="s">
        <v>224</v>
      </c>
      <c r="C52" s="19" t="n">
        <v>274000000</v>
      </c>
      <c r="D52" s="19" t="n">
        <v>274000000</v>
      </c>
      <c r="E52" s="18" t="s">
        <v>131</v>
      </c>
      <c r="F52" s="18" t="s">
        <v>174</v>
      </c>
      <c r="G52" s="18" t="s">
        <v>133</v>
      </c>
      <c r="H52" s="20" t="s">
        <v>183</v>
      </c>
      <c r="I52" s="20" t="s">
        <v>225</v>
      </c>
      <c r="J52" s="20" t="s">
        <v>226</v>
      </c>
      <c r="K52" s="20" t="s">
        <v>199</v>
      </c>
      <c r="L52" s="20" t="s">
        <v>204</v>
      </c>
      <c r="M52" s="20" t="s">
        <v>205</v>
      </c>
    </row>
    <row r="53" customFormat="false" ht="15" hidden="false" customHeight="true" outlineLevel="0" collapsed="false">
      <c r="A53" s="18" t="n">
        <v>2023</v>
      </c>
      <c r="B53" s="18" t="s">
        <v>227</v>
      </c>
      <c r="C53" s="19" t="n">
        <v>0</v>
      </c>
      <c r="D53" s="19" t="n">
        <v>0</v>
      </c>
      <c r="E53" s="18" t="s">
        <v>131</v>
      </c>
      <c r="F53" s="18" t="s">
        <v>174</v>
      </c>
      <c r="G53" s="18" t="s">
        <v>133</v>
      </c>
      <c r="H53" s="20" t="s">
        <v>183</v>
      </c>
      <c r="I53" s="20" t="s">
        <v>228</v>
      </c>
      <c r="J53" s="20" t="s">
        <v>229</v>
      </c>
      <c r="K53" s="20" t="s">
        <v>199</v>
      </c>
      <c r="L53" s="20" t="s">
        <v>200</v>
      </c>
      <c r="M53" s="20" t="s">
        <v>201</v>
      </c>
    </row>
    <row r="54" customFormat="false" ht="24" hidden="false" customHeight="true" outlineLevel="0" collapsed="false">
      <c r="A54" s="18" t="n">
        <v>2023</v>
      </c>
      <c r="B54" s="18" t="s">
        <v>230</v>
      </c>
      <c r="C54" s="19" t="n">
        <v>5709000000</v>
      </c>
      <c r="D54" s="19" t="n">
        <v>5709000000</v>
      </c>
      <c r="E54" s="18" t="s">
        <v>231</v>
      </c>
      <c r="F54" s="18" t="s">
        <v>174</v>
      </c>
      <c r="G54" s="18" t="s">
        <v>133</v>
      </c>
      <c r="H54" s="20" t="s">
        <v>232</v>
      </c>
      <c r="I54" s="20" t="s">
        <v>233</v>
      </c>
      <c r="J54" s="20" t="s">
        <v>234</v>
      </c>
      <c r="K54" s="20" t="s">
        <v>215</v>
      </c>
      <c r="L54" s="20" t="s">
        <v>137</v>
      </c>
      <c r="M54" s="20" t="s">
        <v>138</v>
      </c>
    </row>
    <row r="55" customFormat="false" ht="15" hidden="false" customHeight="true" outlineLevel="0" collapsed="false">
      <c r="A55" s="18" t="n">
        <v>2024</v>
      </c>
      <c r="B55" s="18" t="s">
        <v>130</v>
      </c>
      <c r="C55" s="19" t="n">
        <v>755000000</v>
      </c>
      <c r="D55" s="19" t="n">
        <v>755</v>
      </c>
      <c r="E55" s="18" t="s">
        <v>131</v>
      </c>
      <c r="F55" s="18" t="s">
        <v>132</v>
      </c>
      <c r="G55" s="18" t="s">
        <v>133</v>
      </c>
      <c r="H55" s="20" t="s">
        <v>134</v>
      </c>
      <c r="I55" s="20" t="s">
        <v>135</v>
      </c>
      <c r="J55" s="20" t="s">
        <v>61</v>
      </c>
      <c r="K55" s="20" t="s">
        <v>136</v>
      </c>
      <c r="L55" s="20" t="s">
        <v>137</v>
      </c>
      <c r="M55" s="20" t="s">
        <v>138</v>
      </c>
    </row>
    <row r="56" customFormat="false" ht="15" hidden="false" customHeight="true" outlineLevel="0" collapsed="false">
      <c r="A56" s="18" t="n">
        <v>2024</v>
      </c>
      <c r="B56" s="18" t="s">
        <v>139</v>
      </c>
      <c r="C56" s="19" t="n">
        <v>1089000000</v>
      </c>
      <c r="D56" s="19" t="n">
        <v>1089</v>
      </c>
      <c r="E56" s="18" t="s">
        <v>131</v>
      </c>
      <c r="F56" s="18" t="s">
        <v>132</v>
      </c>
      <c r="G56" s="18" t="s">
        <v>133</v>
      </c>
      <c r="H56" s="20" t="s">
        <v>134</v>
      </c>
      <c r="I56" s="20" t="s">
        <v>135</v>
      </c>
      <c r="J56" s="20" t="s">
        <v>67</v>
      </c>
      <c r="K56" s="20" t="s">
        <v>136</v>
      </c>
      <c r="L56" s="20" t="s">
        <v>137</v>
      </c>
      <c r="M56" s="20" t="s">
        <v>138</v>
      </c>
    </row>
    <row r="57" customFormat="false" ht="15" hidden="false" customHeight="true" outlineLevel="0" collapsed="false">
      <c r="A57" s="18" t="n">
        <v>2024</v>
      </c>
      <c r="B57" s="18" t="s">
        <v>140</v>
      </c>
      <c r="C57" s="19" t="n">
        <v>4167000000</v>
      </c>
      <c r="D57" s="19" t="n">
        <v>4167</v>
      </c>
      <c r="E57" s="18" t="s">
        <v>131</v>
      </c>
      <c r="F57" s="18" t="s">
        <v>132</v>
      </c>
      <c r="G57" s="18" t="s">
        <v>133</v>
      </c>
      <c r="H57" s="20" t="s">
        <v>134</v>
      </c>
      <c r="I57" s="20" t="s">
        <v>135</v>
      </c>
      <c r="J57" s="20" t="s">
        <v>46</v>
      </c>
      <c r="K57" s="20" t="s">
        <v>136</v>
      </c>
      <c r="L57" s="20" t="s">
        <v>137</v>
      </c>
      <c r="M57" s="20" t="s">
        <v>138</v>
      </c>
    </row>
    <row r="58" customFormat="false" ht="15" hidden="false" customHeight="true" outlineLevel="0" collapsed="false">
      <c r="A58" s="18" t="n">
        <v>2024</v>
      </c>
      <c r="B58" s="18" t="s">
        <v>141</v>
      </c>
      <c r="C58" s="19" t="n">
        <v>2991000000</v>
      </c>
      <c r="D58" s="19" t="n">
        <v>2991</v>
      </c>
      <c r="E58" s="18" t="s">
        <v>131</v>
      </c>
      <c r="F58" s="18" t="s">
        <v>132</v>
      </c>
      <c r="G58" s="18" t="s">
        <v>133</v>
      </c>
      <c r="H58" s="20" t="s">
        <v>134</v>
      </c>
      <c r="I58" s="20" t="s">
        <v>135</v>
      </c>
      <c r="J58" s="20" t="s">
        <v>48</v>
      </c>
      <c r="K58" s="20" t="s">
        <v>136</v>
      </c>
      <c r="L58" s="20" t="s">
        <v>137</v>
      </c>
      <c r="M58" s="20" t="s">
        <v>138</v>
      </c>
    </row>
    <row r="59" customFormat="false" ht="15" hidden="false" customHeight="true" outlineLevel="0" collapsed="false">
      <c r="A59" s="18" t="n">
        <v>2024</v>
      </c>
      <c r="B59" s="18" t="s">
        <v>142</v>
      </c>
      <c r="C59" s="19" t="n">
        <v>1489000000</v>
      </c>
      <c r="D59" s="19" t="n">
        <v>1489</v>
      </c>
      <c r="E59" s="18" t="s">
        <v>131</v>
      </c>
      <c r="F59" s="18" t="s">
        <v>132</v>
      </c>
      <c r="G59" s="18" t="s">
        <v>133</v>
      </c>
      <c r="H59" s="20" t="s">
        <v>134</v>
      </c>
      <c r="I59" s="20" t="s">
        <v>135</v>
      </c>
      <c r="J59" s="20" t="s">
        <v>55</v>
      </c>
      <c r="K59" s="20" t="s">
        <v>136</v>
      </c>
      <c r="L59" s="20" t="s">
        <v>137</v>
      </c>
      <c r="M59" s="20" t="s">
        <v>138</v>
      </c>
    </row>
    <row r="60" customFormat="false" ht="15" hidden="false" customHeight="true" outlineLevel="0" collapsed="false">
      <c r="A60" s="18" t="n">
        <v>2024</v>
      </c>
      <c r="B60" s="18" t="s">
        <v>143</v>
      </c>
      <c r="C60" s="19" t="n">
        <v>645000000</v>
      </c>
      <c r="D60" s="19" t="n">
        <v>645</v>
      </c>
      <c r="E60" s="18" t="s">
        <v>131</v>
      </c>
      <c r="F60" s="18" t="s">
        <v>132</v>
      </c>
      <c r="G60" s="18" t="s">
        <v>133</v>
      </c>
      <c r="H60" s="20" t="s">
        <v>134</v>
      </c>
      <c r="I60" s="20" t="s">
        <v>135</v>
      </c>
      <c r="J60" s="20" t="s">
        <v>78</v>
      </c>
      <c r="K60" s="20" t="s">
        <v>136</v>
      </c>
      <c r="L60" s="20" t="s">
        <v>137</v>
      </c>
      <c r="M60" s="20" t="s">
        <v>138</v>
      </c>
    </row>
    <row r="61" customFormat="false" ht="15" hidden="false" customHeight="true" outlineLevel="0" collapsed="false">
      <c r="A61" s="18" t="n">
        <v>2024</v>
      </c>
      <c r="B61" s="18" t="s">
        <v>144</v>
      </c>
      <c r="C61" s="19" t="n">
        <v>607000000</v>
      </c>
      <c r="D61" s="19" t="n">
        <v>607</v>
      </c>
      <c r="E61" s="18" t="s">
        <v>131</v>
      </c>
      <c r="F61" s="18" t="s">
        <v>132</v>
      </c>
      <c r="G61" s="18" t="s">
        <v>133</v>
      </c>
      <c r="H61" s="20" t="s">
        <v>134</v>
      </c>
      <c r="I61" s="20" t="s">
        <v>135</v>
      </c>
      <c r="J61" s="20" t="s">
        <v>69</v>
      </c>
      <c r="K61" s="20" t="s">
        <v>136</v>
      </c>
      <c r="L61" s="20" t="s">
        <v>137</v>
      </c>
      <c r="M61" s="20" t="s">
        <v>138</v>
      </c>
    </row>
    <row r="62" customFormat="false" ht="15" hidden="false" customHeight="true" outlineLevel="0" collapsed="false">
      <c r="A62" s="18" t="n">
        <v>2024</v>
      </c>
      <c r="B62" s="18" t="s">
        <v>145</v>
      </c>
      <c r="C62" s="19" t="n">
        <v>215000000</v>
      </c>
      <c r="D62" s="19" t="n">
        <v>215</v>
      </c>
      <c r="E62" s="18" t="s">
        <v>131</v>
      </c>
      <c r="F62" s="18" t="s">
        <v>132</v>
      </c>
      <c r="G62" s="18" t="s">
        <v>133</v>
      </c>
      <c r="H62" s="20" t="s">
        <v>134</v>
      </c>
      <c r="I62" s="20" t="s">
        <v>135</v>
      </c>
      <c r="J62" s="20" t="s">
        <v>89</v>
      </c>
      <c r="K62" s="20" t="s">
        <v>136</v>
      </c>
      <c r="L62" s="20" t="s">
        <v>137</v>
      </c>
      <c r="M62" s="20" t="s">
        <v>138</v>
      </c>
    </row>
    <row r="63" customFormat="false" ht="15" hidden="false" customHeight="true" outlineLevel="0" collapsed="false">
      <c r="A63" s="18" t="n">
        <v>2024</v>
      </c>
      <c r="B63" s="18" t="s">
        <v>146</v>
      </c>
      <c r="C63" s="19" t="n">
        <v>5353000000</v>
      </c>
      <c r="D63" s="19" t="n">
        <v>5353</v>
      </c>
      <c r="E63" s="18" t="s">
        <v>131</v>
      </c>
      <c r="F63" s="18" t="s">
        <v>132</v>
      </c>
      <c r="G63" s="18" t="s">
        <v>133</v>
      </c>
      <c r="H63" s="20" t="s">
        <v>134</v>
      </c>
      <c r="I63" s="20" t="s">
        <v>135</v>
      </c>
      <c r="J63" s="20" t="s">
        <v>42</v>
      </c>
      <c r="K63" s="20" t="s">
        <v>136</v>
      </c>
      <c r="L63" s="20" t="s">
        <v>137</v>
      </c>
      <c r="M63" s="20" t="s">
        <v>138</v>
      </c>
    </row>
    <row r="64" customFormat="false" ht="15" hidden="false" customHeight="true" outlineLevel="0" collapsed="false">
      <c r="A64" s="18" t="n">
        <v>2024</v>
      </c>
      <c r="B64" s="18" t="s">
        <v>147</v>
      </c>
      <c r="C64" s="19" t="n">
        <v>281000000</v>
      </c>
      <c r="D64" s="19" t="n">
        <v>281</v>
      </c>
      <c r="E64" s="18" t="s">
        <v>131</v>
      </c>
      <c r="F64" s="18" t="s">
        <v>132</v>
      </c>
      <c r="G64" s="18" t="s">
        <v>133</v>
      </c>
      <c r="H64" s="20" t="s">
        <v>134</v>
      </c>
      <c r="I64" s="20" t="s">
        <v>135</v>
      </c>
      <c r="J64" s="20" t="s">
        <v>85</v>
      </c>
      <c r="K64" s="20" t="s">
        <v>136</v>
      </c>
      <c r="L64" s="20" t="s">
        <v>137</v>
      </c>
      <c r="M64" s="20" t="s">
        <v>138</v>
      </c>
    </row>
    <row r="65" customFormat="false" ht="15" hidden="false" customHeight="true" outlineLevel="0" collapsed="false">
      <c r="A65" s="18" t="n">
        <v>2024</v>
      </c>
      <c r="B65" s="18" t="s">
        <v>148</v>
      </c>
      <c r="C65" s="19" t="n">
        <v>7366000000</v>
      </c>
      <c r="D65" s="19" t="n">
        <v>7366</v>
      </c>
      <c r="E65" s="18" t="s">
        <v>131</v>
      </c>
      <c r="F65" s="18" t="s">
        <v>132</v>
      </c>
      <c r="G65" s="18" t="s">
        <v>133</v>
      </c>
      <c r="H65" s="20" t="s">
        <v>134</v>
      </c>
      <c r="I65" s="20" t="s">
        <v>135</v>
      </c>
      <c r="J65" s="20" t="s">
        <v>36</v>
      </c>
      <c r="K65" s="20" t="s">
        <v>136</v>
      </c>
      <c r="L65" s="20" t="s">
        <v>137</v>
      </c>
      <c r="M65" s="20" t="s">
        <v>138</v>
      </c>
    </row>
    <row r="66" customFormat="false" ht="15" hidden="false" customHeight="true" outlineLevel="0" collapsed="false">
      <c r="A66" s="18" t="n">
        <v>2024</v>
      </c>
      <c r="B66" s="18" t="s">
        <v>149</v>
      </c>
      <c r="C66" s="19" t="n">
        <v>690000000</v>
      </c>
      <c r="D66" s="19" t="n">
        <v>690</v>
      </c>
      <c r="E66" s="18" t="s">
        <v>131</v>
      </c>
      <c r="F66" s="18" t="s">
        <v>132</v>
      </c>
      <c r="G66" s="18" t="s">
        <v>133</v>
      </c>
      <c r="H66" s="20" t="s">
        <v>134</v>
      </c>
      <c r="I66" s="20" t="s">
        <v>135</v>
      </c>
      <c r="J66" s="20" t="s">
        <v>76</v>
      </c>
      <c r="K66" s="20" t="s">
        <v>136</v>
      </c>
      <c r="L66" s="20" t="s">
        <v>137</v>
      </c>
      <c r="M66" s="20" t="s">
        <v>138</v>
      </c>
    </row>
    <row r="67" customFormat="false" ht="15" hidden="false" customHeight="true" outlineLevel="0" collapsed="false">
      <c r="A67" s="18" t="n">
        <v>2024</v>
      </c>
      <c r="B67" s="18" t="s">
        <v>150</v>
      </c>
      <c r="C67" s="19" t="n">
        <v>280000000</v>
      </c>
      <c r="D67" s="19" t="n">
        <v>280</v>
      </c>
      <c r="E67" s="18" t="s">
        <v>131</v>
      </c>
      <c r="F67" s="18" t="s">
        <v>132</v>
      </c>
      <c r="G67" s="18" t="s">
        <v>133</v>
      </c>
      <c r="H67" s="20" t="s">
        <v>134</v>
      </c>
      <c r="I67" s="20" t="s">
        <v>135</v>
      </c>
      <c r="J67" s="20" t="s">
        <v>87</v>
      </c>
      <c r="K67" s="20" t="s">
        <v>136</v>
      </c>
      <c r="L67" s="20" t="s">
        <v>137</v>
      </c>
      <c r="M67" s="20" t="s">
        <v>138</v>
      </c>
    </row>
    <row r="68" customFormat="false" ht="15" hidden="false" customHeight="true" outlineLevel="0" collapsed="false">
      <c r="A68" s="18" t="n">
        <v>2024</v>
      </c>
      <c r="B68" s="18" t="s">
        <v>151</v>
      </c>
      <c r="C68" s="19" t="n">
        <v>470000000</v>
      </c>
      <c r="D68" s="19" t="n">
        <v>470</v>
      </c>
      <c r="E68" s="18" t="s">
        <v>131</v>
      </c>
      <c r="F68" s="18" t="s">
        <v>132</v>
      </c>
      <c r="G68" s="18" t="s">
        <v>133</v>
      </c>
      <c r="H68" s="20" t="s">
        <v>134</v>
      </c>
      <c r="I68" s="20" t="s">
        <v>135</v>
      </c>
      <c r="J68" s="20" t="s">
        <v>80</v>
      </c>
      <c r="K68" s="20" t="s">
        <v>136</v>
      </c>
      <c r="L68" s="20" t="s">
        <v>137</v>
      </c>
      <c r="M68" s="20" t="s">
        <v>138</v>
      </c>
    </row>
    <row r="69" customFormat="false" ht="15" hidden="false" customHeight="true" outlineLevel="0" collapsed="false">
      <c r="A69" s="18" t="n">
        <v>2024</v>
      </c>
      <c r="B69" s="18" t="s">
        <v>152</v>
      </c>
      <c r="C69" s="19" t="n">
        <v>4367000000</v>
      </c>
      <c r="D69" s="19" t="n">
        <v>4367</v>
      </c>
      <c r="E69" s="18" t="s">
        <v>131</v>
      </c>
      <c r="F69" s="18" t="s">
        <v>132</v>
      </c>
      <c r="G69" s="18" t="s">
        <v>133</v>
      </c>
      <c r="H69" s="20" t="s">
        <v>134</v>
      </c>
      <c r="I69" s="20" t="s">
        <v>135</v>
      </c>
      <c r="J69" s="20" t="s">
        <v>44</v>
      </c>
      <c r="K69" s="20" t="s">
        <v>136</v>
      </c>
      <c r="L69" s="20" t="s">
        <v>137</v>
      </c>
      <c r="M69" s="20" t="s">
        <v>138</v>
      </c>
    </row>
    <row r="70" customFormat="false" ht="15" hidden="false" customHeight="true" outlineLevel="0" collapsed="false">
      <c r="A70" s="18" t="n">
        <v>2024</v>
      </c>
      <c r="B70" s="18" t="s">
        <v>153</v>
      </c>
      <c r="C70" s="19" t="n">
        <v>509000000</v>
      </c>
      <c r="D70" s="19" t="n">
        <v>509</v>
      </c>
      <c r="E70" s="18" t="s">
        <v>131</v>
      </c>
      <c r="F70" s="18" t="s">
        <v>132</v>
      </c>
      <c r="G70" s="18" t="s">
        <v>133</v>
      </c>
      <c r="H70" s="20" t="s">
        <v>134</v>
      </c>
      <c r="I70" s="20" t="s">
        <v>135</v>
      </c>
      <c r="J70" s="20" t="s">
        <v>73</v>
      </c>
      <c r="K70" s="20" t="s">
        <v>136</v>
      </c>
      <c r="L70" s="20" t="s">
        <v>137</v>
      </c>
      <c r="M70" s="20" t="s">
        <v>138</v>
      </c>
    </row>
    <row r="71" customFormat="false" ht="15" hidden="false" customHeight="true" outlineLevel="0" collapsed="false">
      <c r="A71" s="18" t="n">
        <v>2024</v>
      </c>
      <c r="B71" s="18" t="s">
        <v>154</v>
      </c>
      <c r="C71" s="19" t="n">
        <v>978000000</v>
      </c>
      <c r="D71" s="19" t="n">
        <v>978</v>
      </c>
      <c r="E71" s="18" t="s">
        <v>131</v>
      </c>
      <c r="F71" s="18" t="s">
        <v>132</v>
      </c>
      <c r="G71" s="18" t="s">
        <v>133</v>
      </c>
      <c r="H71" s="20" t="s">
        <v>134</v>
      </c>
      <c r="I71" s="20" t="s">
        <v>135</v>
      </c>
      <c r="J71" s="20" t="s">
        <v>65</v>
      </c>
      <c r="K71" s="20" t="s">
        <v>136</v>
      </c>
      <c r="L71" s="20" t="s">
        <v>137</v>
      </c>
      <c r="M71" s="20" t="s">
        <v>138</v>
      </c>
    </row>
    <row r="72" customFormat="false" ht="15" hidden="false" customHeight="true" outlineLevel="0" collapsed="false">
      <c r="A72" s="18" t="n">
        <v>2024</v>
      </c>
      <c r="B72" s="18" t="s">
        <v>155</v>
      </c>
      <c r="C72" s="19" t="n">
        <v>731000000</v>
      </c>
      <c r="D72" s="19" t="n">
        <v>731</v>
      </c>
      <c r="E72" s="18" t="s">
        <v>131</v>
      </c>
      <c r="F72" s="18" t="s">
        <v>132</v>
      </c>
      <c r="G72" s="18" t="s">
        <v>133</v>
      </c>
      <c r="H72" s="20" t="s">
        <v>134</v>
      </c>
      <c r="I72" s="20" t="s">
        <v>135</v>
      </c>
      <c r="J72" s="20" t="s">
        <v>63</v>
      </c>
      <c r="K72" s="20" t="s">
        <v>136</v>
      </c>
      <c r="L72" s="20" t="s">
        <v>137</v>
      </c>
      <c r="M72" s="20" t="s">
        <v>138</v>
      </c>
    </row>
    <row r="73" customFormat="false" ht="15" hidden="false" customHeight="true" outlineLevel="0" collapsed="false">
      <c r="A73" s="18" t="n">
        <v>2024</v>
      </c>
      <c r="B73" s="18" t="s">
        <v>156</v>
      </c>
      <c r="C73" s="19" t="n">
        <v>1263000000</v>
      </c>
      <c r="D73" s="19" t="n">
        <v>1263</v>
      </c>
      <c r="E73" s="18" t="s">
        <v>131</v>
      </c>
      <c r="F73" s="18" t="s">
        <v>132</v>
      </c>
      <c r="G73" s="18" t="s">
        <v>133</v>
      </c>
      <c r="H73" s="20" t="s">
        <v>134</v>
      </c>
      <c r="I73" s="20" t="s">
        <v>135</v>
      </c>
      <c r="J73" s="20" t="s">
        <v>56</v>
      </c>
      <c r="K73" s="20" t="s">
        <v>136</v>
      </c>
      <c r="L73" s="20" t="s">
        <v>137</v>
      </c>
      <c r="M73" s="20" t="s">
        <v>138</v>
      </c>
    </row>
    <row r="74" customFormat="false" ht="15" hidden="false" customHeight="true" outlineLevel="0" collapsed="false">
      <c r="A74" s="18" t="n">
        <v>2024</v>
      </c>
      <c r="B74" s="18" t="s">
        <v>157</v>
      </c>
      <c r="C74" s="19" t="n">
        <v>509000000</v>
      </c>
      <c r="D74" s="19" t="n">
        <v>509</v>
      </c>
      <c r="E74" s="18" t="s">
        <v>131</v>
      </c>
      <c r="F74" s="18" t="s">
        <v>132</v>
      </c>
      <c r="G74" s="18" t="s">
        <v>133</v>
      </c>
      <c r="H74" s="20" t="s">
        <v>134</v>
      </c>
      <c r="I74" s="20" t="s">
        <v>135</v>
      </c>
      <c r="J74" s="20" t="s">
        <v>82</v>
      </c>
      <c r="K74" s="20" t="s">
        <v>136</v>
      </c>
      <c r="L74" s="20" t="s">
        <v>137</v>
      </c>
      <c r="M74" s="20" t="s">
        <v>138</v>
      </c>
    </row>
    <row r="75" customFormat="false" ht="15" hidden="false" customHeight="true" outlineLevel="0" collapsed="false">
      <c r="A75" s="18" t="n">
        <v>2024</v>
      </c>
      <c r="B75" s="18" t="s">
        <v>158</v>
      </c>
      <c r="C75" s="19" t="n">
        <v>1037000000</v>
      </c>
      <c r="D75" s="19" t="n">
        <v>1037</v>
      </c>
      <c r="E75" s="18" t="s">
        <v>131</v>
      </c>
      <c r="F75" s="18" t="s">
        <v>132</v>
      </c>
      <c r="G75" s="18" t="s">
        <v>133</v>
      </c>
      <c r="H75" s="20" t="s">
        <v>134</v>
      </c>
      <c r="I75" s="20" t="s">
        <v>135</v>
      </c>
      <c r="J75" s="20" t="s">
        <v>58</v>
      </c>
      <c r="K75" s="20" t="s">
        <v>136</v>
      </c>
      <c r="L75" s="20" t="s">
        <v>137</v>
      </c>
      <c r="M75" s="20" t="s">
        <v>138</v>
      </c>
    </row>
    <row r="76" customFormat="false" ht="15" hidden="false" customHeight="true" outlineLevel="0" collapsed="false">
      <c r="A76" s="18" t="n">
        <v>2024</v>
      </c>
      <c r="B76" s="18" t="s">
        <v>159</v>
      </c>
      <c r="C76" s="19" t="n">
        <v>1588000000</v>
      </c>
      <c r="D76" s="19" t="n">
        <v>1588</v>
      </c>
      <c r="E76" s="18" t="s">
        <v>131</v>
      </c>
      <c r="F76" s="18" t="s">
        <v>132</v>
      </c>
      <c r="G76" s="18" t="s">
        <v>133</v>
      </c>
      <c r="H76" s="20" t="s">
        <v>134</v>
      </c>
      <c r="I76" s="20" t="s">
        <v>135</v>
      </c>
      <c r="J76" s="20" t="s">
        <v>53</v>
      </c>
      <c r="K76" s="20" t="s">
        <v>136</v>
      </c>
      <c r="L76" s="20" t="s">
        <v>137</v>
      </c>
      <c r="M76" s="20" t="s">
        <v>138</v>
      </c>
    </row>
    <row r="77" customFormat="false" ht="15" hidden="false" customHeight="true" outlineLevel="0" collapsed="false">
      <c r="A77" s="18" t="n">
        <v>2024</v>
      </c>
      <c r="B77" s="18" t="s">
        <v>160</v>
      </c>
      <c r="C77" s="19" t="n">
        <v>5716000000</v>
      </c>
      <c r="D77" s="19" t="n">
        <v>5716</v>
      </c>
      <c r="E77" s="18" t="s">
        <v>131</v>
      </c>
      <c r="F77" s="18" t="s">
        <v>132</v>
      </c>
      <c r="G77" s="18" t="s">
        <v>133</v>
      </c>
      <c r="H77" s="20" t="s">
        <v>134</v>
      </c>
      <c r="I77" s="20" t="s">
        <v>135</v>
      </c>
      <c r="J77" s="20" t="s">
        <v>49</v>
      </c>
      <c r="K77" s="20" t="s">
        <v>136</v>
      </c>
      <c r="L77" s="20" t="s">
        <v>137</v>
      </c>
      <c r="M77" s="20" t="s">
        <v>138</v>
      </c>
    </row>
    <row r="78" customFormat="false" ht="15" hidden="false" customHeight="true" outlineLevel="0" collapsed="false">
      <c r="A78" s="18" t="n">
        <v>2024</v>
      </c>
      <c r="B78" s="18" t="s">
        <v>161</v>
      </c>
      <c r="C78" s="19" t="n">
        <v>6411000000</v>
      </c>
      <c r="D78" s="19" t="n">
        <v>6411</v>
      </c>
      <c r="E78" s="18" t="s">
        <v>131</v>
      </c>
      <c r="F78" s="18" t="s">
        <v>132</v>
      </c>
      <c r="G78" s="18" t="s">
        <v>133</v>
      </c>
      <c r="H78" s="20" t="s">
        <v>134</v>
      </c>
      <c r="I78" s="20" t="s">
        <v>135</v>
      </c>
      <c r="J78" s="20" t="s">
        <v>38</v>
      </c>
      <c r="K78" s="20" t="s">
        <v>136</v>
      </c>
      <c r="L78" s="20" t="s">
        <v>137</v>
      </c>
      <c r="M78" s="20" t="s">
        <v>138</v>
      </c>
    </row>
    <row r="79" customFormat="false" ht="15" hidden="false" customHeight="true" outlineLevel="0" collapsed="false">
      <c r="A79" s="18" t="n">
        <v>2024</v>
      </c>
      <c r="B79" s="18" t="s">
        <v>162</v>
      </c>
      <c r="C79" s="19" t="n">
        <v>637000000</v>
      </c>
      <c r="D79" s="19" t="n">
        <v>637</v>
      </c>
      <c r="E79" s="18" t="s">
        <v>131</v>
      </c>
      <c r="F79" s="18" t="s">
        <v>132</v>
      </c>
      <c r="G79" s="18" t="s">
        <v>133</v>
      </c>
      <c r="H79" s="20" t="s">
        <v>134</v>
      </c>
      <c r="I79" s="20" t="s">
        <v>135</v>
      </c>
      <c r="J79" s="20" t="s">
        <v>71</v>
      </c>
      <c r="K79" s="20" t="s">
        <v>136</v>
      </c>
      <c r="L79" s="20" t="s">
        <v>137</v>
      </c>
      <c r="M79" s="20" t="s">
        <v>138</v>
      </c>
    </row>
    <row r="80" customFormat="false" ht="15" hidden="false" customHeight="true" outlineLevel="0" collapsed="false">
      <c r="A80" s="18" t="n">
        <v>2024</v>
      </c>
      <c r="B80" s="18" t="s">
        <v>163</v>
      </c>
      <c r="C80" s="19" t="n">
        <v>5451000000</v>
      </c>
      <c r="D80" s="19" t="n">
        <v>5451</v>
      </c>
      <c r="E80" s="18" t="s">
        <v>131</v>
      </c>
      <c r="F80" s="18" t="s">
        <v>132</v>
      </c>
      <c r="G80" s="18" t="s">
        <v>133</v>
      </c>
      <c r="H80" s="20" t="s">
        <v>134</v>
      </c>
      <c r="I80" s="20" t="s">
        <v>135</v>
      </c>
      <c r="J80" s="20" t="s">
        <v>40</v>
      </c>
      <c r="K80" s="20" t="s">
        <v>136</v>
      </c>
      <c r="L80" s="20" t="s">
        <v>137</v>
      </c>
      <c r="M80" s="20" t="s">
        <v>138</v>
      </c>
    </row>
    <row r="81" customFormat="false" ht="15" hidden="false" customHeight="true" outlineLevel="0" collapsed="false">
      <c r="A81" s="18" t="n">
        <v>2024</v>
      </c>
      <c r="B81" s="18" t="s">
        <v>164</v>
      </c>
      <c r="C81" s="19" t="n">
        <v>1168000000</v>
      </c>
      <c r="D81" s="19" t="n">
        <v>1168</v>
      </c>
      <c r="E81" s="18" t="s">
        <v>131</v>
      </c>
      <c r="F81" s="18" t="s">
        <v>132</v>
      </c>
      <c r="G81" s="18" t="s">
        <v>133</v>
      </c>
      <c r="H81" s="20" t="s">
        <v>134</v>
      </c>
      <c r="I81" s="20" t="s">
        <v>135</v>
      </c>
      <c r="J81" s="20" t="s">
        <v>59</v>
      </c>
      <c r="K81" s="20" t="s">
        <v>136</v>
      </c>
      <c r="L81" s="20" t="s">
        <v>137</v>
      </c>
      <c r="M81" s="20" t="s">
        <v>138</v>
      </c>
    </row>
    <row r="82" customFormat="false" ht="15" hidden="false" customHeight="true" outlineLevel="0" collapsed="false">
      <c r="A82" s="18" t="n">
        <v>2024</v>
      </c>
      <c r="B82" s="18" t="s">
        <v>165</v>
      </c>
      <c r="C82" s="19" t="n">
        <v>2039000000</v>
      </c>
      <c r="D82" s="19" t="n">
        <v>2039</v>
      </c>
      <c r="E82" s="18" t="s">
        <v>131</v>
      </c>
      <c r="F82" s="18" t="s">
        <v>132</v>
      </c>
      <c r="G82" s="18" t="s">
        <v>133</v>
      </c>
      <c r="H82" s="20" t="s">
        <v>134</v>
      </c>
      <c r="I82" s="20" t="s">
        <v>135</v>
      </c>
      <c r="J82" s="20" t="s">
        <v>51</v>
      </c>
      <c r="K82" s="20" t="s">
        <v>136</v>
      </c>
      <c r="L82" s="20" t="s">
        <v>137</v>
      </c>
      <c r="M82" s="20" t="s">
        <v>138</v>
      </c>
    </row>
    <row r="83" customFormat="false" ht="15" hidden="false" customHeight="true" outlineLevel="0" collapsed="false">
      <c r="A83" s="18" t="n">
        <v>2024</v>
      </c>
      <c r="B83" s="18" t="s">
        <v>166</v>
      </c>
      <c r="C83" s="19" t="n">
        <v>586000000</v>
      </c>
      <c r="D83" s="19" t="n">
        <v>586</v>
      </c>
      <c r="E83" s="18" t="s">
        <v>131</v>
      </c>
      <c r="F83" s="18" t="s">
        <v>132</v>
      </c>
      <c r="G83" s="18" t="s">
        <v>133</v>
      </c>
      <c r="H83" s="20" t="s">
        <v>134</v>
      </c>
      <c r="I83" s="20" t="s">
        <v>135</v>
      </c>
      <c r="J83" s="20" t="s">
        <v>75</v>
      </c>
      <c r="K83" s="20" t="s">
        <v>136</v>
      </c>
      <c r="L83" s="20" t="s">
        <v>137</v>
      </c>
      <c r="M83" s="20" t="s">
        <v>138</v>
      </c>
    </row>
    <row r="84" customFormat="false" ht="15" hidden="false" customHeight="true" outlineLevel="0" collapsed="false">
      <c r="A84" s="18" t="n">
        <v>2024</v>
      </c>
      <c r="B84" s="18" t="s">
        <v>167</v>
      </c>
      <c r="C84" s="19" t="n">
        <v>480000000</v>
      </c>
      <c r="D84" s="19" t="n">
        <v>480</v>
      </c>
      <c r="E84" s="18" t="s">
        <v>131</v>
      </c>
      <c r="F84" s="18" t="s">
        <v>132</v>
      </c>
      <c r="G84" s="18" t="s">
        <v>133</v>
      </c>
      <c r="H84" s="20" t="s">
        <v>134</v>
      </c>
      <c r="I84" s="20" t="s">
        <v>135</v>
      </c>
      <c r="J84" s="20" t="s">
        <v>84</v>
      </c>
      <c r="K84" s="20" t="s">
        <v>136</v>
      </c>
      <c r="L84" s="20" t="s">
        <v>137</v>
      </c>
      <c r="M84" s="20" t="s">
        <v>138</v>
      </c>
    </row>
    <row r="85" customFormat="false" ht="24" hidden="false" customHeight="true" outlineLevel="0" collapsed="false">
      <c r="A85" s="18" t="n">
        <v>2024</v>
      </c>
      <c r="B85" s="18" t="s">
        <v>168</v>
      </c>
      <c r="C85" s="19" t="n">
        <v>63627000000</v>
      </c>
      <c r="D85" s="19" t="n">
        <v>63627</v>
      </c>
      <c r="E85" s="18" t="s">
        <v>131</v>
      </c>
      <c r="F85" s="18" t="s">
        <v>132</v>
      </c>
      <c r="G85" s="18" t="s">
        <v>133</v>
      </c>
      <c r="H85" s="20" t="s">
        <v>134</v>
      </c>
      <c r="I85" s="20" t="s">
        <v>169</v>
      </c>
      <c r="J85" s="20" t="s">
        <v>170</v>
      </c>
      <c r="K85" s="20" t="s">
        <v>171</v>
      </c>
      <c r="L85" s="20" t="s">
        <v>137</v>
      </c>
      <c r="M85" s="20" t="s">
        <v>138</v>
      </c>
    </row>
    <row r="86" customFormat="false" ht="24" hidden="false" customHeight="true" outlineLevel="0" collapsed="false">
      <c r="A86" s="18" t="n">
        <v>2024</v>
      </c>
      <c r="B86" s="18" t="s">
        <v>172</v>
      </c>
      <c r="C86" s="19" t="n">
        <v>63627000000</v>
      </c>
      <c r="D86" s="19" t="n">
        <v>63627</v>
      </c>
      <c r="E86" s="18" t="s">
        <v>131</v>
      </c>
      <c r="F86" s="18" t="s">
        <v>132</v>
      </c>
      <c r="G86" s="18" t="s">
        <v>133</v>
      </c>
      <c r="H86" s="20" t="s">
        <v>134</v>
      </c>
      <c r="I86" s="20" t="s">
        <v>169</v>
      </c>
      <c r="J86" s="20" t="s">
        <v>170</v>
      </c>
      <c r="K86" s="20" t="s">
        <v>171</v>
      </c>
      <c r="L86" s="20" t="s">
        <v>137</v>
      </c>
      <c r="M86" s="20" t="s">
        <v>138</v>
      </c>
    </row>
    <row r="87" customFormat="false" ht="36" hidden="false" customHeight="true" outlineLevel="0" collapsed="false">
      <c r="A87" s="18" t="n">
        <v>2024</v>
      </c>
      <c r="B87" s="18" t="s">
        <v>173</v>
      </c>
      <c r="C87" s="19" t="n">
        <v>11114000000</v>
      </c>
      <c r="D87" s="19" t="n">
        <v>8023000000</v>
      </c>
      <c r="E87" s="18" t="s">
        <v>131</v>
      </c>
      <c r="F87" s="18" t="s">
        <v>174</v>
      </c>
      <c r="G87" s="18" t="s">
        <v>175</v>
      </c>
      <c r="H87" s="20" t="s">
        <v>176</v>
      </c>
      <c r="I87" s="20" t="s">
        <v>177</v>
      </c>
      <c r="J87" s="20" t="s">
        <v>178</v>
      </c>
      <c r="K87" s="20" t="s">
        <v>179</v>
      </c>
      <c r="L87" s="20" t="s">
        <v>137</v>
      </c>
      <c r="M87" s="20" t="s">
        <v>138</v>
      </c>
    </row>
    <row r="88" customFormat="false" ht="15" hidden="false" customHeight="true" outlineLevel="0" collapsed="false">
      <c r="A88" s="18" t="n">
        <v>2024</v>
      </c>
      <c r="B88" s="18" t="s">
        <v>173</v>
      </c>
      <c r="C88" s="19" t="n">
        <v>11114000000</v>
      </c>
      <c r="D88" s="19" t="n">
        <v>3091000000</v>
      </c>
      <c r="E88" s="18" t="s">
        <v>131</v>
      </c>
      <c r="F88" s="18" t="s">
        <v>174</v>
      </c>
      <c r="G88" s="18" t="s">
        <v>175</v>
      </c>
      <c r="H88" s="20" t="s">
        <v>176</v>
      </c>
      <c r="I88" s="20" t="s">
        <v>180</v>
      </c>
      <c r="J88" s="20" t="s">
        <v>181</v>
      </c>
      <c r="K88" s="20" t="s">
        <v>179</v>
      </c>
      <c r="L88" s="20" t="s">
        <v>137</v>
      </c>
      <c r="M88" s="20" t="s">
        <v>138</v>
      </c>
    </row>
    <row r="89" customFormat="false" ht="15" hidden="false" customHeight="true" outlineLevel="0" collapsed="false">
      <c r="A89" s="18" t="n">
        <v>2024</v>
      </c>
      <c r="B89" s="18" t="s">
        <v>182</v>
      </c>
      <c r="C89" s="19" t="n">
        <v>3091000000</v>
      </c>
      <c r="D89" s="19" t="n">
        <v>3091000000</v>
      </c>
      <c r="E89" s="18" t="s">
        <v>131</v>
      </c>
      <c r="F89" s="18" t="s">
        <v>174</v>
      </c>
      <c r="G89" s="18" t="s">
        <v>133</v>
      </c>
      <c r="H89" s="20" t="s">
        <v>183</v>
      </c>
      <c r="I89" s="20" t="s">
        <v>180</v>
      </c>
      <c r="J89" s="20" t="s">
        <v>181</v>
      </c>
      <c r="K89" s="20" t="s">
        <v>179</v>
      </c>
      <c r="L89" s="20" t="s">
        <v>137</v>
      </c>
      <c r="M89" s="20" t="s">
        <v>138</v>
      </c>
    </row>
    <row r="90" customFormat="false" ht="15" hidden="false" customHeight="true" outlineLevel="0" collapsed="false">
      <c r="A90" s="18" t="n">
        <v>2024</v>
      </c>
      <c r="B90" s="18" t="s">
        <v>184</v>
      </c>
      <c r="C90" s="18" t="n">
        <v>0.00348996634675309</v>
      </c>
      <c r="D90" s="19" t="n">
        <v>-28000000</v>
      </c>
      <c r="E90" s="18" t="s">
        <v>131</v>
      </c>
      <c r="F90" s="18" t="s">
        <v>174</v>
      </c>
      <c r="G90" s="18" t="s">
        <v>175</v>
      </c>
      <c r="H90" s="20" t="s">
        <v>185</v>
      </c>
      <c r="I90" s="20" t="s">
        <v>186</v>
      </c>
      <c r="J90" s="20" t="s">
        <v>187</v>
      </c>
      <c r="K90" s="20" t="s">
        <v>179</v>
      </c>
      <c r="L90" s="20" t="s">
        <v>137</v>
      </c>
      <c r="M90" s="20" t="s">
        <v>138</v>
      </c>
    </row>
    <row r="91" customFormat="false" ht="36" hidden="false" customHeight="true" outlineLevel="0" collapsed="false">
      <c r="A91" s="18" t="n">
        <v>2024</v>
      </c>
      <c r="B91" s="18" t="s">
        <v>184</v>
      </c>
      <c r="C91" s="18" t="n">
        <v>0.00348996634675309</v>
      </c>
      <c r="D91" s="19" t="n">
        <v>8023000000</v>
      </c>
      <c r="E91" s="18" t="s">
        <v>131</v>
      </c>
      <c r="F91" s="18" t="s">
        <v>174</v>
      </c>
      <c r="G91" s="18" t="s">
        <v>175</v>
      </c>
      <c r="H91" s="20" t="s">
        <v>185</v>
      </c>
      <c r="I91" s="20" t="s">
        <v>177</v>
      </c>
      <c r="J91" s="20" t="s">
        <v>178</v>
      </c>
      <c r="K91" s="20" t="s">
        <v>179</v>
      </c>
      <c r="L91" s="20" t="s">
        <v>137</v>
      </c>
      <c r="M91" s="20" t="s">
        <v>138</v>
      </c>
    </row>
    <row r="92" customFormat="false" ht="15" hidden="false" customHeight="true" outlineLevel="0" collapsed="false">
      <c r="A92" s="18" t="n">
        <v>2024</v>
      </c>
      <c r="B92" s="18" t="s">
        <v>188</v>
      </c>
      <c r="C92" s="19" t="n">
        <v>7013000000</v>
      </c>
      <c r="D92" s="19" t="n">
        <v>7013000000</v>
      </c>
      <c r="E92" s="18" t="s">
        <v>131</v>
      </c>
      <c r="F92" s="18" t="s">
        <v>174</v>
      </c>
      <c r="G92" s="18" t="s">
        <v>133</v>
      </c>
      <c r="H92" s="20" t="s">
        <v>183</v>
      </c>
      <c r="I92" s="20" t="s">
        <v>189</v>
      </c>
      <c r="J92" s="20" t="s">
        <v>190</v>
      </c>
      <c r="K92" s="20" t="s">
        <v>191</v>
      </c>
      <c r="L92" s="20" t="s">
        <v>137</v>
      </c>
      <c r="M92" s="20" t="s">
        <v>138</v>
      </c>
    </row>
    <row r="93" customFormat="false" ht="24" hidden="false" customHeight="true" outlineLevel="0" collapsed="false">
      <c r="A93" s="18" t="n">
        <v>2024</v>
      </c>
      <c r="B93" s="18" t="s">
        <v>192</v>
      </c>
      <c r="C93" s="19" t="n">
        <v>2909000000</v>
      </c>
      <c r="D93" s="19" t="n">
        <v>2909000000</v>
      </c>
      <c r="E93" s="18" t="s">
        <v>131</v>
      </c>
      <c r="F93" s="18" t="s">
        <v>174</v>
      </c>
      <c r="G93" s="18" t="s">
        <v>133</v>
      </c>
      <c r="H93" s="20" t="s">
        <v>183</v>
      </c>
      <c r="I93" s="20" t="s">
        <v>193</v>
      </c>
      <c r="J93" s="20" t="s">
        <v>194</v>
      </c>
      <c r="K93" s="20" t="s">
        <v>191</v>
      </c>
      <c r="L93" s="20" t="s">
        <v>137</v>
      </c>
      <c r="M93" s="20" t="s">
        <v>138</v>
      </c>
    </row>
    <row r="94" customFormat="false" ht="24" hidden="false" customHeight="true" outlineLevel="0" collapsed="false">
      <c r="A94" s="18" t="n">
        <v>2024</v>
      </c>
      <c r="B94" s="18" t="s">
        <v>195</v>
      </c>
      <c r="C94" s="19" t="n">
        <v>2025000000</v>
      </c>
      <c r="D94" s="19" t="n">
        <v>11463000000</v>
      </c>
      <c r="E94" s="18" t="s">
        <v>131</v>
      </c>
      <c r="F94" s="18" t="s">
        <v>174</v>
      </c>
      <c r="G94" s="18" t="s">
        <v>175</v>
      </c>
      <c r="H94" s="20" t="s">
        <v>196</v>
      </c>
      <c r="I94" s="20" t="s">
        <v>197</v>
      </c>
      <c r="J94" s="20" t="s">
        <v>198</v>
      </c>
      <c r="K94" s="20" t="s">
        <v>199</v>
      </c>
      <c r="L94" s="20" t="s">
        <v>137</v>
      </c>
      <c r="M94" s="20" t="s">
        <v>138</v>
      </c>
    </row>
    <row r="95" customFormat="false" ht="15" hidden="false" customHeight="true" outlineLevel="0" collapsed="false">
      <c r="A95" s="18" t="n">
        <v>2024</v>
      </c>
      <c r="B95" s="18" t="s">
        <v>195</v>
      </c>
      <c r="C95" s="19" t="n">
        <v>2025000000</v>
      </c>
      <c r="D95" s="19" t="n">
        <v>10851000000</v>
      </c>
      <c r="E95" s="18" t="s">
        <v>131</v>
      </c>
      <c r="F95" s="18" t="s">
        <v>174</v>
      </c>
      <c r="G95" s="18" t="s">
        <v>175</v>
      </c>
      <c r="H95" s="20" t="s">
        <v>196</v>
      </c>
      <c r="I95" s="20" t="s">
        <v>202</v>
      </c>
      <c r="J95" s="20" t="s">
        <v>203</v>
      </c>
      <c r="K95" s="20" t="s">
        <v>199</v>
      </c>
      <c r="L95" s="20" t="s">
        <v>137</v>
      </c>
      <c r="M95" s="20" t="s">
        <v>138</v>
      </c>
    </row>
    <row r="96" customFormat="false" ht="15" hidden="false" customHeight="true" outlineLevel="0" collapsed="false">
      <c r="A96" s="18" t="n">
        <v>2024</v>
      </c>
      <c r="B96" s="18" t="s">
        <v>195</v>
      </c>
      <c r="C96" s="19" t="n">
        <v>2025000000</v>
      </c>
      <c r="D96" s="19" t="n">
        <v>5633000000</v>
      </c>
      <c r="E96" s="18" t="s">
        <v>131</v>
      </c>
      <c r="F96" s="18" t="s">
        <v>174</v>
      </c>
      <c r="G96" s="18" t="s">
        <v>175</v>
      </c>
      <c r="H96" s="20" t="s">
        <v>196</v>
      </c>
      <c r="I96" s="20" t="s">
        <v>206</v>
      </c>
      <c r="J96" s="20" t="s">
        <v>207</v>
      </c>
      <c r="K96" s="20" t="s">
        <v>199</v>
      </c>
      <c r="L96" s="20" t="s">
        <v>137</v>
      </c>
      <c r="M96" s="20" t="s">
        <v>138</v>
      </c>
    </row>
    <row r="97" customFormat="false" ht="24" hidden="false" customHeight="true" outlineLevel="0" collapsed="false">
      <c r="A97" s="18" t="n">
        <v>2024</v>
      </c>
      <c r="B97" s="18" t="s">
        <v>195</v>
      </c>
      <c r="C97" s="19" t="n">
        <v>2025000000</v>
      </c>
      <c r="D97" s="19" t="n">
        <v>11177000000</v>
      </c>
      <c r="E97" s="18" t="s">
        <v>131</v>
      </c>
      <c r="F97" s="18" t="s">
        <v>174</v>
      </c>
      <c r="G97" s="18" t="s">
        <v>175</v>
      </c>
      <c r="H97" s="20" t="s">
        <v>196</v>
      </c>
      <c r="I97" s="20" t="s">
        <v>197</v>
      </c>
      <c r="J97" s="20" t="s">
        <v>198</v>
      </c>
      <c r="K97" s="20" t="s">
        <v>199</v>
      </c>
      <c r="L97" s="20" t="s">
        <v>200</v>
      </c>
      <c r="M97" s="20" t="s">
        <v>201</v>
      </c>
    </row>
    <row r="98" customFormat="false" ht="15" hidden="false" customHeight="true" outlineLevel="0" collapsed="false">
      <c r="A98" s="18" t="n">
        <v>2024</v>
      </c>
      <c r="B98" s="18" t="s">
        <v>195</v>
      </c>
      <c r="C98" s="19" t="n">
        <v>2025000000</v>
      </c>
      <c r="D98" s="19" t="n">
        <v>10189000000</v>
      </c>
      <c r="E98" s="18" t="s">
        <v>131</v>
      </c>
      <c r="F98" s="18" t="s">
        <v>174</v>
      </c>
      <c r="G98" s="18" t="s">
        <v>175</v>
      </c>
      <c r="H98" s="20" t="s">
        <v>196</v>
      </c>
      <c r="I98" s="20" t="s">
        <v>202</v>
      </c>
      <c r="J98" s="20" t="s">
        <v>203</v>
      </c>
      <c r="K98" s="20" t="s">
        <v>199</v>
      </c>
      <c r="L98" s="20" t="s">
        <v>204</v>
      </c>
      <c r="M98" s="20" t="s">
        <v>205</v>
      </c>
    </row>
    <row r="99" customFormat="false" ht="15" hidden="false" customHeight="true" outlineLevel="0" collapsed="false">
      <c r="A99" s="18" t="n">
        <v>2024</v>
      </c>
      <c r="B99" s="18" t="s">
        <v>195</v>
      </c>
      <c r="C99" s="19" t="n">
        <v>2025000000</v>
      </c>
      <c r="D99" s="19" t="n">
        <v>6710000000</v>
      </c>
      <c r="E99" s="18" t="s">
        <v>131</v>
      </c>
      <c r="F99" s="18" t="s">
        <v>174</v>
      </c>
      <c r="G99" s="18" t="s">
        <v>175</v>
      </c>
      <c r="H99" s="20" t="s">
        <v>196</v>
      </c>
      <c r="I99" s="20" t="s">
        <v>206</v>
      </c>
      <c r="J99" s="20" t="s">
        <v>207</v>
      </c>
      <c r="K99" s="20" t="s">
        <v>199</v>
      </c>
      <c r="L99" s="20" t="s">
        <v>204</v>
      </c>
      <c r="M99" s="20" t="s">
        <v>205</v>
      </c>
    </row>
    <row r="100" customFormat="false" ht="15" hidden="false" customHeight="true" outlineLevel="0" collapsed="false">
      <c r="A100" s="18" t="n">
        <v>2024</v>
      </c>
      <c r="B100" s="18" t="s">
        <v>208</v>
      </c>
      <c r="C100" s="19" t="n">
        <v>1043000000</v>
      </c>
      <c r="D100" s="19" t="n">
        <v>1043000000</v>
      </c>
      <c r="E100" s="18" t="s">
        <v>131</v>
      </c>
      <c r="F100" s="18" t="s">
        <v>174</v>
      </c>
      <c r="G100" s="18" t="s">
        <v>133</v>
      </c>
      <c r="H100" s="20" t="s">
        <v>183</v>
      </c>
      <c r="I100" s="20" t="s">
        <v>209</v>
      </c>
      <c r="J100" s="20" t="s">
        <v>210</v>
      </c>
      <c r="K100" s="20" t="s">
        <v>199</v>
      </c>
      <c r="L100" s="20" t="s">
        <v>137</v>
      </c>
      <c r="M100" s="20" t="s">
        <v>138</v>
      </c>
    </row>
    <row r="101" customFormat="false" ht="24" hidden="false" customHeight="true" outlineLevel="0" collapsed="false">
      <c r="A101" s="18" t="n">
        <v>2024</v>
      </c>
      <c r="B101" s="18" t="s">
        <v>211</v>
      </c>
      <c r="C101" s="19" t="n">
        <v>19434000000</v>
      </c>
      <c r="D101" s="19" t="n">
        <v>19434</v>
      </c>
      <c r="E101" s="18" t="s">
        <v>131</v>
      </c>
      <c r="F101" s="18" t="s">
        <v>132</v>
      </c>
      <c r="G101" s="18" t="s">
        <v>133</v>
      </c>
      <c r="H101" s="20" t="s">
        <v>134</v>
      </c>
      <c r="I101" s="20" t="s">
        <v>235</v>
      </c>
      <c r="J101" s="20" t="s">
        <v>211</v>
      </c>
      <c r="K101" s="20" t="s">
        <v>236</v>
      </c>
      <c r="L101" s="20" t="s">
        <v>137</v>
      </c>
      <c r="M101" s="20" t="s">
        <v>138</v>
      </c>
    </row>
    <row r="102" customFormat="false" ht="15" hidden="false" customHeight="true" outlineLevel="0" collapsed="false">
      <c r="A102" s="18" t="n">
        <v>2024</v>
      </c>
      <c r="B102" s="18" t="s">
        <v>216</v>
      </c>
      <c r="C102" s="19" t="n">
        <v>63605000000</v>
      </c>
      <c r="D102" s="19" t="n">
        <v>3747000000</v>
      </c>
      <c r="E102" s="18" t="s">
        <v>131</v>
      </c>
      <c r="F102" s="18" t="s">
        <v>174</v>
      </c>
      <c r="G102" s="18" t="s">
        <v>175</v>
      </c>
      <c r="H102" s="20" t="s">
        <v>217</v>
      </c>
      <c r="I102" s="20" t="s">
        <v>218</v>
      </c>
      <c r="J102" s="20" t="s">
        <v>219</v>
      </c>
      <c r="K102" s="20" t="s">
        <v>199</v>
      </c>
      <c r="L102" s="20" t="s">
        <v>137</v>
      </c>
      <c r="M102" s="20" t="s">
        <v>138</v>
      </c>
    </row>
    <row r="103" customFormat="false" ht="15" hidden="false" customHeight="true" outlineLevel="0" collapsed="false">
      <c r="A103" s="18" t="n">
        <v>2024</v>
      </c>
      <c r="B103" s="18" t="s">
        <v>216</v>
      </c>
      <c r="C103" s="19" t="n">
        <v>63605000000</v>
      </c>
      <c r="D103" s="19" t="n">
        <v>2453000000</v>
      </c>
      <c r="E103" s="18" t="s">
        <v>131</v>
      </c>
      <c r="F103" s="18" t="s">
        <v>174</v>
      </c>
      <c r="G103" s="18" t="s">
        <v>175</v>
      </c>
      <c r="H103" s="20" t="s">
        <v>217</v>
      </c>
      <c r="I103" s="20" t="s">
        <v>220</v>
      </c>
      <c r="J103" s="20" t="s">
        <v>221</v>
      </c>
      <c r="K103" s="20" t="s">
        <v>215</v>
      </c>
      <c r="L103" s="20" t="s">
        <v>137</v>
      </c>
      <c r="M103" s="20" t="s">
        <v>138</v>
      </c>
    </row>
    <row r="104" customFormat="false" ht="15" hidden="false" customHeight="true" outlineLevel="0" collapsed="false">
      <c r="A104" s="18" t="n">
        <v>2024</v>
      </c>
      <c r="B104" s="18" t="s">
        <v>216</v>
      </c>
      <c r="C104" s="19" t="n">
        <v>63605000000</v>
      </c>
      <c r="D104" s="19" t="n">
        <v>57405000000</v>
      </c>
      <c r="E104" s="18" t="s">
        <v>131</v>
      </c>
      <c r="F104" s="18" t="s">
        <v>174</v>
      </c>
      <c r="G104" s="18" t="s">
        <v>175</v>
      </c>
      <c r="H104" s="20" t="s">
        <v>217</v>
      </c>
      <c r="I104" s="20" t="s">
        <v>222</v>
      </c>
      <c r="J104" s="20" t="s">
        <v>223</v>
      </c>
      <c r="K104" s="20" t="s">
        <v>199</v>
      </c>
      <c r="L104" s="20" t="s">
        <v>137</v>
      </c>
      <c r="M104" s="20" t="s">
        <v>138</v>
      </c>
    </row>
    <row r="105" customFormat="false" ht="24" hidden="false" customHeight="true" outlineLevel="0" collapsed="false">
      <c r="A105" s="18" t="n">
        <v>2024</v>
      </c>
      <c r="B105" s="18" t="s">
        <v>224</v>
      </c>
      <c r="C105" s="19" t="n">
        <v>294000000</v>
      </c>
      <c r="D105" s="19" t="n">
        <v>294000000</v>
      </c>
      <c r="E105" s="18" t="s">
        <v>131</v>
      </c>
      <c r="F105" s="18" t="s">
        <v>174</v>
      </c>
      <c r="G105" s="18" t="s">
        <v>133</v>
      </c>
      <c r="H105" s="20" t="s">
        <v>183</v>
      </c>
      <c r="I105" s="20" t="s">
        <v>225</v>
      </c>
      <c r="J105" s="20" t="s">
        <v>226</v>
      </c>
      <c r="K105" s="20" t="s">
        <v>199</v>
      </c>
      <c r="L105" s="20" t="s">
        <v>137</v>
      </c>
      <c r="M105" s="20" t="s">
        <v>138</v>
      </c>
    </row>
    <row r="106" customFormat="false" ht="24" hidden="false" customHeight="true" outlineLevel="0" collapsed="false">
      <c r="A106" s="18" t="n">
        <v>2024</v>
      </c>
      <c r="B106" s="18" t="s">
        <v>227</v>
      </c>
      <c r="C106" s="18"/>
      <c r="D106" s="18"/>
      <c r="E106" s="18" t="s">
        <v>131</v>
      </c>
      <c r="F106" s="18" t="s">
        <v>174</v>
      </c>
      <c r="G106" s="18" t="s">
        <v>237</v>
      </c>
      <c r="H106" s="20" t="s">
        <v>238</v>
      </c>
      <c r="I106" s="20" t="s">
        <v>239</v>
      </c>
      <c r="J106" s="20" t="s">
        <v>240</v>
      </c>
      <c r="K106" s="20" t="s">
        <v>215</v>
      </c>
      <c r="L106" s="20" t="s">
        <v>204</v>
      </c>
      <c r="M106" s="20" t="s">
        <v>205</v>
      </c>
    </row>
    <row r="107" customFormat="false" ht="24" hidden="false" customHeight="true" outlineLevel="0" collapsed="false">
      <c r="A107" s="18" t="n">
        <v>2024</v>
      </c>
      <c r="B107" s="18" t="s">
        <v>230</v>
      </c>
      <c r="C107" s="19" t="n">
        <v>5700000000</v>
      </c>
      <c r="D107" s="19" t="n">
        <v>5700000000</v>
      </c>
      <c r="E107" s="18" t="s">
        <v>231</v>
      </c>
      <c r="F107" s="18" t="s">
        <v>174</v>
      </c>
      <c r="G107" s="18" t="s">
        <v>133</v>
      </c>
      <c r="H107" s="20" t="s">
        <v>232</v>
      </c>
      <c r="I107" s="20" t="s">
        <v>233</v>
      </c>
      <c r="J107" s="20" t="s">
        <v>234</v>
      </c>
      <c r="K107" s="20" t="s">
        <v>215</v>
      </c>
      <c r="L107" s="20" t="s">
        <v>137</v>
      </c>
      <c r="M107" s="20" t="s">
        <v>138</v>
      </c>
    </row>
    <row r="108" customFormat="false" ht="15" hidden="false" customHeight="true" outlineLevel="0" collapsed="false">
      <c r="A108" s="18" t="n">
        <v>2025</v>
      </c>
      <c r="B108" s="18" t="s">
        <v>130</v>
      </c>
      <c r="C108" s="19" t="n">
        <v>1033000000</v>
      </c>
      <c r="D108" s="19" t="n">
        <v>1033</v>
      </c>
      <c r="E108" s="18" t="s">
        <v>131</v>
      </c>
      <c r="F108" s="18" t="s">
        <v>132</v>
      </c>
      <c r="G108" s="18" t="s">
        <v>133</v>
      </c>
      <c r="H108" s="20" t="s">
        <v>134</v>
      </c>
      <c r="I108" s="20" t="s">
        <v>135</v>
      </c>
      <c r="J108" s="20" t="s">
        <v>61</v>
      </c>
      <c r="K108" s="20" t="s">
        <v>136</v>
      </c>
      <c r="L108" s="20" t="s">
        <v>137</v>
      </c>
      <c r="M108" s="20" t="s">
        <v>138</v>
      </c>
    </row>
    <row r="109" customFormat="false" ht="15" hidden="false" customHeight="true" outlineLevel="0" collapsed="false">
      <c r="A109" s="18" t="n">
        <v>2025</v>
      </c>
      <c r="B109" s="18" t="s">
        <v>139</v>
      </c>
      <c r="C109" s="19" t="n">
        <v>907000000</v>
      </c>
      <c r="D109" s="19" t="n">
        <v>907</v>
      </c>
      <c r="E109" s="18" t="s">
        <v>131</v>
      </c>
      <c r="F109" s="18" t="s">
        <v>132</v>
      </c>
      <c r="G109" s="18" t="s">
        <v>133</v>
      </c>
      <c r="H109" s="20" t="s">
        <v>134</v>
      </c>
      <c r="I109" s="20" t="s">
        <v>135</v>
      </c>
      <c r="J109" s="20" t="s">
        <v>67</v>
      </c>
      <c r="K109" s="20" t="s">
        <v>136</v>
      </c>
      <c r="L109" s="20" t="s">
        <v>137</v>
      </c>
      <c r="M109" s="20" t="s">
        <v>138</v>
      </c>
    </row>
    <row r="110" customFormat="false" ht="15" hidden="false" customHeight="true" outlineLevel="0" collapsed="false">
      <c r="A110" s="18" t="n">
        <v>2025</v>
      </c>
      <c r="B110" s="18" t="s">
        <v>140</v>
      </c>
      <c r="C110" s="19" t="n">
        <v>4030000000</v>
      </c>
      <c r="D110" s="19" t="n">
        <v>4030</v>
      </c>
      <c r="E110" s="18" t="s">
        <v>131</v>
      </c>
      <c r="F110" s="18" t="s">
        <v>132</v>
      </c>
      <c r="G110" s="18" t="s">
        <v>133</v>
      </c>
      <c r="H110" s="20" t="s">
        <v>134</v>
      </c>
      <c r="I110" s="20" t="s">
        <v>135</v>
      </c>
      <c r="J110" s="20" t="s">
        <v>46</v>
      </c>
      <c r="K110" s="20" t="s">
        <v>136</v>
      </c>
      <c r="L110" s="20" t="s">
        <v>137</v>
      </c>
      <c r="M110" s="20" t="s">
        <v>138</v>
      </c>
    </row>
    <row r="111" customFormat="false" ht="15" hidden="false" customHeight="true" outlineLevel="0" collapsed="false">
      <c r="A111" s="18" t="n">
        <v>2025</v>
      </c>
      <c r="B111" s="18" t="s">
        <v>141</v>
      </c>
      <c r="C111" s="19" t="n">
        <v>2860000000</v>
      </c>
      <c r="D111" s="19" t="n">
        <v>2860</v>
      </c>
      <c r="E111" s="18" t="s">
        <v>131</v>
      </c>
      <c r="F111" s="18" t="s">
        <v>132</v>
      </c>
      <c r="G111" s="18" t="s">
        <v>133</v>
      </c>
      <c r="H111" s="20" t="s">
        <v>134</v>
      </c>
      <c r="I111" s="20" t="s">
        <v>135</v>
      </c>
      <c r="J111" s="20" t="s">
        <v>48</v>
      </c>
      <c r="K111" s="20" t="s">
        <v>136</v>
      </c>
      <c r="L111" s="20" t="s">
        <v>137</v>
      </c>
      <c r="M111" s="20" t="s">
        <v>138</v>
      </c>
    </row>
    <row r="112" customFormat="false" ht="15" hidden="false" customHeight="true" outlineLevel="0" collapsed="false">
      <c r="A112" s="18" t="n">
        <v>2025</v>
      </c>
      <c r="B112" s="18" t="s">
        <v>142</v>
      </c>
      <c r="C112" s="19" t="n">
        <v>1588000000</v>
      </c>
      <c r="D112" s="19" t="n">
        <v>1588</v>
      </c>
      <c r="E112" s="18" t="s">
        <v>131</v>
      </c>
      <c r="F112" s="18" t="s">
        <v>132</v>
      </c>
      <c r="G112" s="18" t="s">
        <v>133</v>
      </c>
      <c r="H112" s="20" t="s">
        <v>134</v>
      </c>
      <c r="I112" s="20" t="s">
        <v>135</v>
      </c>
      <c r="J112" s="20" t="s">
        <v>55</v>
      </c>
      <c r="K112" s="20" t="s">
        <v>136</v>
      </c>
      <c r="L112" s="20" t="s">
        <v>137</v>
      </c>
      <c r="M112" s="20" t="s">
        <v>138</v>
      </c>
    </row>
    <row r="113" customFormat="false" ht="15" hidden="false" customHeight="true" outlineLevel="0" collapsed="false">
      <c r="A113" s="18" t="n">
        <v>2025</v>
      </c>
      <c r="B113" s="18" t="s">
        <v>143</v>
      </c>
      <c r="C113" s="19" t="n">
        <v>611000000</v>
      </c>
      <c r="D113" s="19" t="n">
        <v>611</v>
      </c>
      <c r="E113" s="18" t="s">
        <v>131</v>
      </c>
      <c r="F113" s="18" t="s">
        <v>132</v>
      </c>
      <c r="G113" s="18" t="s">
        <v>133</v>
      </c>
      <c r="H113" s="20" t="s">
        <v>134</v>
      </c>
      <c r="I113" s="20" t="s">
        <v>135</v>
      </c>
      <c r="J113" s="20" t="s">
        <v>78</v>
      </c>
      <c r="K113" s="20" t="s">
        <v>136</v>
      </c>
      <c r="L113" s="20" t="s">
        <v>137</v>
      </c>
      <c r="M113" s="20" t="s">
        <v>138</v>
      </c>
    </row>
    <row r="114" customFormat="false" ht="15" hidden="false" customHeight="true" outlineLevel="0" collapsed="false">
      <c r="A114" s="18" t="n">
        <v>2025</v>
      </c>
      <c r="B114" s="18" t="s">
        <v>144</v>
      </c>
      <c r="C114" s="19" t="n">
        <v>716000000</v>
      </c>
      <c r="D114" s="19" t="n">
        <v>716</v>
      </c>
      <c r="E114" s="18" t="s">
        <v>131</v>
      </c>
      <c r="F114" s="18" t="s">
        <v>132</v>
      </c>
      <c r="G114" s="18" t="s">
        <v>133</v>
      </c>
      <c r="H114" s="20" t="s">
        <v>134</v>
      </c>
      <c r="I114" s="20" t="s">
        <v>135</v>
      </c>
      <c r="J114" s="20" t="s">
        <v>69</v>
      </c>
      <c r="K114" s="20" t="s">
        <v>136</v>
      </c>
      <c r="L114" s="20" t="s">
        <v>137</v>
      </c>
      <c r="M114" s="20" t="s">
        <v>138</v>
      </c>
    </row>
    <row r="115" customFormat="false" ht="15" hidden="false" customHeight="true" outlineLevel="0" collapsed="false">
      <c r="A115" s="18" t="n">
        <v>2025</v>
      </c>
      <c r="B115" s="18" t="s">
        <v>145</v>
      </c>
      <c r="C115" s="19" t="n">
        <v>284000000</v>
      </c>
      <c r="D115" s="19" t="n">
        <v>284</v>
      </c>
      <c r="E115" s="18" t="s">
        <v>131</v>
      </c>
      <c r="F115" s="18" t="s">
        <v>132</v>
      </c>
      <c r="G115" s="18" t="s">
        <v>133</v>
      </c>
      <c r="H115" s="20" t="s">
        <v>134</v>
      </c>
      <c r="I115" s="20" t="s">
        <v>135</v>
      </c>
      <c r="J115" s="20" t="s">
        <v>89</v>
      </c>
      <c r="K115" s="20" t="s">
        <v>136</v>
      </c>
      <c r="L115" s="20" t="s">
        <v>137</v>
      </c>
      <c r="M115" s="20" t="s">
        <v>138</v>
      </c>
    </row>
    <row r="116" customFormat="false" ht="15" hidden="false" customHeight="true" outlineLevel="0" collapsed="false">
      <c r="A116" s="18" t="n">
        <v>2025</v>
      </c>
      <c r="B116" s="18" t="s">
        <v>146</v>
      </c>
      <c r="C116" s="19" t="n">
        <v>4367000000</v>
      </c>
      <c r="D116" s="19" t="n">
        <v>4367</v>
      </c>
      <c r="E116" s="18" t="s">
        <v>131</v>
      </c>
      <c r="F116" s="18" t="s">
        <v>132</v>
      </c>
      <c r="G116" s="18" t="s">
        <v>133</v>
      </c>
      <c r="H116" s="20" t="s">
        <v>134</v>
      </c>
      <c r="I116" s="20" t="s">
        <v>135</v>
      </c>
      <c r="J116" s="20" t="s">
        <v>42</v>
      </c>
      <c r="K116" s="20" t="s">
        <v>136</v>
      </c>
      <c r="L116" s="20" t="s">
        <v>137</v>
      </c>
      <c r="M116" s="20" t="s">
        <v>138</v>
      </c>
    </row>
    <row r="117" customFormat="false" ht="15" hidden="false" customHeight="true" outlineLevel="0" collapsed="false">
      <c r="A117" s="18" t="n">
        <v>2025</v>
      </c>
      <c r="B117" s="18" t="s">
        <v>147</v>
      </c>
      <c r="C117" s="19" t="n">
        <v>349000000</v>
      </c>
      <c r="D117" s="19" t="n">
        <v>349</v>
      </c>
      <c r="E117" s="18" t="s">
        <v>131</v>
      </c>
      <c r="F117" s="18" t="s">
        <v>132</v>
      </c>
      <c r="G117" s="18" t="s">
        <v>133</v>
      </c>
      <c r="H117" s="20" t="s">
        <v>134</v>
      </c>
      <c r="I117" s="20" t="s">
        <v>135</v>
      </c>
      <c r="J117" s="20" t="s">
        <v>85</v>
      </c>
      <c r="K117" s="20" t="s">
        <v>136</v>
      </c>
      <c r="L117" s="20" t="s">
        <v>137</v>
      </c>
      <c r="M117" s="20" t="s">
        <v>138</v>
      </c>
    </row>
    <row r="118" customFormat="false" ht="15" hidden="false" customHeight="true" outlineLevel="0" collapsed="false">
      <c r="A118" s="18" t="n">
        <v>2025</v>
      </c>
      <c r="B118" s="18" t="s">
        <v>148</v>
      </c>
      <c r="C118" s="19" t="n">
        <v>7961000000</v>
      </c>
      <c r="D118" s="19" t="n">
        <v>7961</v>
      </c>
      <c r="E118" s="18" t="s">
        <v>131</v>
      </c>
      <c r="F118" s="18" t="s">
        <v>132</v>
      </c>
      <c r="G118" s="18" t="s">
        <v>133</v>
      </c>
      <c r="H118" s="20" t="s">
        <v>134</v>
      </c>
      <c r="I118" s="20" t="s">
        <v>135</v>
      </c>
      <c r="J118" s="20" t="s">
        <v>36</v>
      </c>
      <c r="K118" s="20" t="s">
        <v>136</v>
      </c>
      <c r="L118" s="20" t="s">
        <v>137</v>
      </c>
      <c r="M118" s="20" t="s">
        <v>138</v>
      </c>
    </row>
    <row r="119" customFormat="false" ht="15" hidden="false" customHeight="true" outlineLevel="0" collapsed="false">
      <c r="A119" s="18" t="n">
        <v>2025</v>
      </c>
      <c r="B119" s="18" t="s">
        <v>149</v>
      </c>
      <c r="C119" s="19" t="n">
        <v>627000000</v>
      </c>
      <c r="D119" s="19" t="n">
        <v>627</v>
      </c>
      <c r="E119" s="18" t="s">
        <v>131</v>
      </c>
      <c r="F119" s="18" t="s">
        <v>132</v>
      </c>
      <c r="G119" s="18" t="s">
        <v>133</v>
      </c>
      <c r="H119" s="20" t="s">
        <v>134</v>
      </c>
      <c r="I119" s="20" t="s">
        <v>135</v>
      </c>
      <c r="J119" s="20" t="s">
        <v>76</v>
      </c>
      <c r="K119" s="20" t="s">
        <v>136</v>
      </c>
      <c r="L119" s="20" t="s">
        <v>137</v>
      </c>
      <c r="M119" s="20" t="s">
        <v>138</v>
      </c>
    </row>
    <row r="120" customFormat="false" ht="15" hidden="false" customHeight="true" outlineLevel="0" collapsed="false">
      <c r="A120" s="18" t="n">
        <v>2025</v>
      </c>
      <c r="B120" s="18" t="s">
        <v>150</v>
      </c>
      <c r="C120" s="19" t="n">
        <v>319000000</v>
      </c>
      <c r="D120" s="19" t="n">
        <v>319</v>
      </c>
      <c r="E120" s="18" t="s">
        <v>131</v>
      </c>
      <c r="F120" s="18" t="s">
        <v>132</v>
      </c>
      <c r="G120" s="18" t="s">
        <v>133</v>
      </c>
      <c r="H120" s="20" t="s">
        <v>134</v>
      </c>
      <c r="I120" s="20" t="s">
        <v>135</v>
      </c>
      <c r="J120" s="20" t="s">
        <v>87</v>
      </c>
      <c r="K120" s="20" t="s">
        <v>136</v>
      </c>
      <c r="L120" s="20" t="s">
        <v>137</v>
      </c>
      <c r="M120" s="20" t="s">
        <v>138</v>
      </c>
    </row>
    <row r="121" customFormat="false" ht="15" hidden="false" customHeight="true" outlineLevel="0" collapsed="false">
      <c r="A121" s="18" t="n">
        <v>2025</v>
      </c>
      <c r="B121" s="18" t="s">
        <v>151</v>
      </c>
      <c r="C121" s="19" t="n">
        <v>446000000</v>
      </c>
      <c r="D121" s="19" t="n">
        <v>446</v>
      </c>
      <c r="E121" s="18" t="s">
        <v>131</v>
      </c>
      <c r="F121" s="18" t="s">
        <v>132</v>
      </c>
      <c r="G121" s="18" t="s">
        <v>133</v>
      </c>
      <c r="H121" s="20" t="s">
        <v>134</v>
      </c>
      <c r="I121" s="20" t="s">
        <v>135</v>
      </c>
      <c r="J121" s="20" t="s">
        <v>80</v>
      </c>
      <c r="K121" s="20" t="s">
        <v>136</v>
      </c>
      <c r="L121" s="20" t="s">
        <v>137</v>
      </c>
      <c r="M121" s="20" t="s">
        <v>138</v>
      </c>
    </row>
    <row r="122" customFormat="false" ht="15" hidden="false" customHeight="true" outlineLevel="0" collapsed="false">
      <c r="A122" s="18" t="n">
        <v>2025</v>
      </c>
      <c r="B122" s="18" t="s">
        <v>152</v>
      </c>
      <c r="C122" s="19" t="n">
        <v>4122000000</v>
      </c>
      <c r="D122" s="19" t="n">
        <v>4122</v>
      </c>
      <c r="E122" s="18" t="s">
        <v>131</v>
      </c>
      <c r="F122" s="18" t="s">
        <v>132</v>
      </c>
      <c r="G122" s="18" t="s">
        <v>133</v>
      </c>
      <c r="H122" s="20" t="s">
        <v>134</v>
      </c>
      <c r="I122" s="20" t="s">
        <v>135</v>
      </c>
      <c r="J122" s="20" t="s">
        <v>44</v>
      </c>
      <c r="K122" s="20" t="s">
        <v>136</v>
      </c>
      <c r="L122" s="20" t="s">
        <v>137</v>
      </c>
      <c r="M122" s="20" t="s">
        <v>138</v>
      </c>
    </row>
    <row r="123" customFormat="false" ht="15" hidden="false" customHeight="true" outlineLevel="0" collapsed="false">
      <c r="A123" s="18" t="n">
        <v>2025</v>
      </c>
      <c r="B123" s="18" t="s">
        <v>153</v>
      </c>
      <c r="C123" s="19" t="n">
        <v>646000000</v>
      </c>
      <c r="D123" s="19" t="n">
        <v>646</v>
      </c>
      <c r="E123" s="18" t="s">
        <v>131</v>
      </c>
      <c r="F123" s="18" t="s">
        <v>132</v>
      </c>
      <c r="G123" s="18" t="s">
        <v>133</v>
      </c>
      <c r="H123" s="20" t="s">
        <v>134</v>
      </c>
      <c r="I123" s="20" t="s">
        <v>135</v>
      </c>
      <c r="J123" s="20" t="s">
        <v>73</v>
      </c>
      <c r="K123" s="20" t="s">
        <v>136</v>
      </c>
      <c r="L123" s="20" t="s">
        <v>137</v>
      </c>
      <c r="M123" s="20" t="s">
        <v>138</v>
      </c>
    </row>
    <row r="124" customFormat="false" ht="15" hidden="false" customHeight="true" outlineLevel="0" collapsed="false">
      <c r="A124" s="18" t="n">
        <v>2025</v>
      </c>
      <c r="B124" s="18" t="s">
        <v>154</v>
      </c>
      <c r="C124" s="19" t="n">
        <v>923000000</v>
      </c>
      <c r="D124" s="19" t="n">
        <v>923</v>
      </c>
      <c r="E124" s="18" t="s">
        <v>131</v>
      </c>
      <c r="F124" s="18" t="s">
        <v>132</v>
      </c>
      <c r="G124" s="18" t="s">
        <v>133</v>
      </c>
      <c r="H124" s="20" t="s">
        <v>134</v>
      </c>
      <c r="I124" s="20" t="s">
        <v>135</v>
      </c>
      <c r="J124" s="20" t="s">
        <v>65</v>
      </c>
      <c r="K124" s="20" t="s">
        <v>136</v>
      </c>
      <c r="L124" s="20" t="s">
        <v>137</v>
      </c>
      <c r="M124" s="20" t="s">
        <v>138</v>
      </c>
    </row>
    <row r="125" customFormat="false" ht="15" hidden="false" customHeight="true" outlineLevel="0" collapsed="false">
      <c r="A125" s="18" t="n">
        <v>2025</v>
      </c>
      <c r="B125" s="18" t="s">
        <v>155</v>
      </c>
      <c r="C125" s="19" t="n">
        <v>1023000000</v>
      </c>
      <c r="D125" s="19" t="n">
        <v>1023</v>
      </c>
      <c r="E125" s="18" t="s">
        <v>131</v>
      </c>
      <c r="F125" s="18" t="s">
        <v>132</v>
      </c>
      <c r="G125" s="18" t="s">
        <v>133</v>
      </c>
      <c r="H125" s="20" t="s">
        <v>134</v>
      </c>
      <c r="I125" s="20" t="s">
        <v>135</v>
      </c>
      <c r="J125" s="20" t="s">
        <v>63</v>
      </c>
      <c r="K125" s="20" t="s">
        <v>136</v>
      </c>
      <c r="L125" s="20" t="s">
        <v>137</v>
      </c>
      <c r="M125" s="20" t="s">
        <v>138</v>
      </c>
    </row>
    <row r="126" customFormat="false" ht="15" hidden="false" customHeight="true" outlineLevel="0" collapsed="false">
      <c r="A126" s="18" t="n">
        <v>2025</v>
      </c>
      <c r="B126" s="18" t="s">
        <v>156</v>
      </c>
      <c r="C126" s="19" t="n">
        <v>1424000000</v>
      </c>
      <c r="D126" s="19" t="n">
        <v>1424</v>
      </c>
      <c r="E126" s="18" t="s">
        <v>131</v>
      </c>
      <c r="F126" s="18" t="s">
        <v>132</v>
      </c>
      <c r="G126" s="18" t="s">
        <v>133</v>
      </c>
      <c r="H126" s="20" t="s">
        <v>134</v>
      </c>
      <c r="I126" s="20" t="s">
        <v>135</v>
      </c>
      <c r="J126" s="20" t="s">
        <v>56</v>
      </c>
      <c r="K126" s="20" t="s">
        <v>136</v>
      </c>
      <c r="L126" s="20" t="s">
        <v>137</v>
      </c>
      <c r="M126" s="20" t="s">
        <v>138</v>
      </c>
    </row>
    <row r="127" customFormat="false" ht="15" hidden="false" customHeight="true" outlineLevel="0" collapsed="false">
      <c r="A127" s="18" t="n">
        <v>2025</v>
      </c>
      <c r="B127" s="18" t="s">
        <v>157</v>
      </c>
      <c r="C127" s="19" t="n">
        <v>418000000</v>
      </c>
      <c r="D127" s="19" t="n">
        <v>418</v>
      </c>
      <c r="E127" s="18" t="s">
        <v>131</v>
      </c>
      <c r="F127" s="18" t="s">
        <v>132</v>
      </c>
      <c r="G127" s="18" t="s">
        <v>133</v>
      </c>
      <c r="H127" s="20" t="s">
        <v>134</v>
      </c>
      <c r="I127" s="20" t="s">
        <v>135</v>
      </c>
      <c r="J127" s="20" t="s">
        <v>82</v>
      </c>
      <c r="K127" s="20" t="s">
        <v>136</v>
      </c>
      <c r="L127" s="20" t="s">
        <v>137</v>
      </c>
      <c r="M127" s="20" t="s">
        <v>138</v>
      </c>
    </row>
    <row r="128" customFormat="false" ht="15" hidden="false" customHeight="true" outlineLevel="0" collapsed="false">
      <c r="A128" s="18" t="n">
        <v>2025</v>
      </c>
      <c r="B128" s="18" t="s">
        <v>158</v>
      </c>
      <c r="C128" s="19" t="n">
        <v>1301000000</v>
      </c>
      <c r="D128" s="19" t="n">
        <v>1301</v>
      </c>
      <c r="E128" s="18" t="s">
        <v>131</v>
      </c>
      <c r="F128" s="18" t="s">
        <v>132</v>
      </c>
      <c r="G128" s="18" t="s">
        <v>133</v>
      </c>
      <c r="H128" s="20" t="s">
        <v>134</v>
      </c>
      <c r="I128" s="20" t="s">
        <v>135</v>
      </c>
      <c r="J128" s="20" t="s">
        <v>58</v>
      </c>
      <c r="K128" s="20" t="s">
        <v>136</v>
      </c>
      <c r="L128" s="20" t="s">
        <v>137</v>
      </c>
      <c r="M128" s="20" t="s">
        <v>138</v>
      </c>
    </row>
    <row r="129" customFormat="false" ht="15" hidden="false" customHeight="true" outlineLevel="0" collapsed="false">
      <c r="A129" s="18" t="n">
        <v>2025</v>
      </c>
      <c r="B129" s="18" t="s">
        <v>159</v>
      </c>
      <c r="C129" s="19" t="n">
        <v>1940000000</v>
      </c>
      <c r="D129" s="19" t="n">
        <v>1940</v>
      </c>
      <c r="E129" s="18" t="s">
        <v>131</v>
      </c>
      <c r="F129" s="18" t="s">
        <v>132</v>
      </c>
      <c r="G129" s="18" t="s">
        <v>133</v>
      </c>
      <c r="H129" s="20" t="s">
        <v>134</v>
      </c>
      <c r="I129" s="20" t="s">
        <v>135</v>
      </c>
      <c r="J129" s="20" t="s">
        <v>53</v>
      </c>
      <c r="K129" s="20" t="s">
        <v>136</v>
      </c>
      <c r="L129" s="20" t="s">
        <v>137</v>
      </c>
      <c r="M129" s="20" t="s">
        <v>138</v>
      </c>
    </row>
    <row r="130" customFormat="false" ht="15" hidden="false" customHeight="true" outlineLevel="0" collapsed="false">
      <c r="A130" s="18" t="n">
        <v>2025</v>
      </c>
      <c r="B130" s="18" t="s">
        <v>160</v>
      </c>
      <c r="C130" s="19" t="n">
        <v>2362000000</v>
      </c>
      <c r="D130" s="19" t="n">
        <v>2362</v>
      </c>
      <c r="E130" s="18" t="s">
        <v>131</v>
      </c>
      <c r="F130" s="18" t="s">
        <v>132</v>
      </c>
      <c r="G130" s="18" t="s">
        <v>133</v>
      </c>
      <c r="H130" s="20" t="s">
        <v>134</v>
      </c>
      <c r="I130" s="20" t="s">
        <v>135</v>
      </c>
      <c r="J130" s="20" t="s">
        <v>49</v>
      </c>
      <c r="K130" s="20" t="s">
        <v>136</v>
      </c>
      <c r="L130" s="20" t="s">
        <v>137</v>
      </c>
      <c r="M130" s="20" t="s">
        <v>138</v>
      </c>
    </row>
    <row r="131" customFormat="false" ht="15" hidden="false" customHeight="true" outlineLevel="0" collapsed="false">
      <c r="A131" s="18" t="n">
        <v>2025</v>
      </c>
      <c r="B131" s="18" t="s">
        <v>161</v>
      </c>
      <c r="C131" s="19" t="n">
        <v>6494000000</v>
      </c>
      <c r="D131" s="19" t="n">
        <v>6494</v>
      </c>
      <c r="E131" s="18" t="s">
        <v>131</v>
      </c>
      <c r="F131" s="18" t="s">
        <v>132</v>
      </c>
      <c r="G131" s="18" t="s">
        <v>133</v>
      </c>
      <c r="H131" s="20" t="s">
        <v>134</v>
      </c>
      <c r="I131" s="20" t="s">
        <v>135</v>
      </c>
      <c r="J131" s="20" t="s">
        <v>38</v>
      </c>
      <c r="K131" s="20" t="s">
        <v>136</v>
      </c>
      <c r="L131" s="20" t="s">
        <v>137</v>
      </c>
      <c r="M131" s="20" t="s">
        <v>138</v>
      </c>
    </row>
    <row r="132" customFormat="false" ht="15" hidden="false" customHeight="true" outlineLevel="0" collapsed="false">
      <c r="A132" s="18" t="n">
        <v>2025</v>
      </c>
      <c r="B132" s="18" t="s">
        <v>162</v>
      </c>
      <c r="C132" s="19" t="n">
        <v>653000000</v>
      </c>
      <c r="D132" s="19" t="n">
        <v>653</v>
      </c>
      <c r="E132" s="18" t="s">
        <v>131</v>
      </c>
      <c r="F132" s="18" t="s">
        <v>132</v>
      </c>
      <c r="G132" s="18" t="s">
        <v>133</v>
      </c>
      <c r="H132" s="20" t="s">
        <v>134</v>
      </c>
      <c r="I132" s="20" t="s">
        <v>135</v>
      </c>
      <c r="J132" s="20" t="s">
        <v>71</v>
      </c>
      <c r="K132" s="20" t="s">
        <v>136</v>
      </c>
      <c r="L132" s="20" t="s">
        <v>137</v>
      </c>
      <c r="M132" s="20" t="s">
        <v>138</v>
      </c>
    </row>
    <row r="133" customFormat="false" ht="15" hidden="false" customHeight="true" outlineLevel="0" collapsed="false">
      <c r="A133" s="18" t="n">
        <v>2025</v>
      </c>
      <c r="B133" s="18" t="s">
        <v>163</v>
      </c>
      <c r="C133" s="19" t="n">
        <v>6380000000</v>
      </c>
      <c r="D133" s="19" t="n">
        <v>6380</v>
      </c>
      <c r="E133" s="18" t="s">
        <v>131</v>
      </c>
      <c r="F133" s="18" t="s">
        <v>132</v>
      </c>
      <c r="G133" s="18" t="s">
        <v>133</v>
      </c>
      <c r="H133" s="20" t="s">
        <v>134</v>
      </c>
      <c r="I133" s="20" t="s">
        <v>135</v>
      </c>
      <c r="J133" s="20" t="s">
        <v>40</v>
      </c>
      <c r="K133" s="20" t="s">
        <v>136</v>
      </c>
      <c r="L133" s="20" t="s">
        <v>137</v>
      </c>
      <c r="M133" s="20" t="s">
        <v>138</v>
      </c>
    </row>
    <row r="134" customFormat="false" ht="15" hidden="false" customHeight="true" outlineLevel="0" collapsed="false">
      <c r="A134" s="18" t="n">
        <v>2025</v>
      </c>
      <c r="B134" s="18" t="s">
        <v>164</v>
      </c>
      <c r="C134" s="19" t="n">
        <v>1087000000</v>
      </c>
      <c r="D134" s="19" t="n">
        <v>1087</v>
      </c>
      <c r="E134" s="18" t="s">
        <v>131</v>
      </c>
      <c r="F134" s="18" t="s">
        <v>132</v>
      </c>
      <c r="G134" s="18" t="s">
        <v>133</v>
      </c>
      <c r="H134" s="20" t="s">
        <v>134</v>
      </c>
      <c r="I134" s="20" t="s">
        <v>135</v>
      </c>
      <c r="J134" s="20" t="s">
        <v>59</v>
      </c>
      <c r="K134" s="20" t="s">
        <v>136</v>
      </c>
      <c r="L134" s="20" t="s">
        <v>137</v>
      </c>
      <c r="M134" s="20" t="s">
        <v>138</v>
      </c>
    </row>
    <row r="135" customFormat="false" ht="15" hidden="false" customHeight="true" outlineLevel="0" collapsed="false">
      <c r="A135" s="18" t="n">
        <v>2025</v>
      </c>
      <c r="B135" s="18" t="s">
        <v>165</v>
      </c>
      <c r="C135" s="19" t="n">
        <v>2194000000</v>
      </c>
      <c r="D135" s="19" t="n">
        <v>2194</v>
      </c>
      <c r="E135" s="18" t="s">
        <v>131</v>
      </c>
      <c r="F135" s="18" t="s">
        <v>132</v>
      </c>
      <c r="G135" s="18" t="s">
        <v>133</v>
      </c>
      <c r="H135" s="20" t="s">
        <v>134</v>
      </c>
      <c r="I135" s="20" t="s">
        <v>135</v>
      </c>
      <c r="J135" s="20" t="s">
        <v>51</v>
      </c>
      <c r="K135" s="20" t="s">
        <v>136</v>
      </c>
      <c r="L135" s="20" t="s">
        <v>137</v>
      </c>
      <c r="M135" s="20" t="s">
        <v>138</v>
      </c>
    </row>
    <row r="136" customFormat="false" ht="15" hidden="false" customHeight="true" outlineLevel="0" collapsed="false">
      <c r="A136" s="18" t="n">
        <v>2025</v>
      </c>
      <c r="B136" s="18" t="s">
        <v>166</v>
      </c>
      <c r="C136" s="19" t="n">
        <v>638000000</v>
      </c>
      <c r="D136" s="19" t="n">
        <v>638</v>
      </c>
      <c r="E136" s="18" t="s">
        <v>131</v>
      </c>
      <c r="F136" s="18" t="s">
        <v>132</v>
      </c>
      <c r="G136" s="18" t="s">
        <v>133</v>
      </c>
      <c r="H136" s="20" t="s">
        <v>134</v>
      </c>
      <c r="I136" s="20" t="s">
        <v>135</v>
      </c>
      <c r="J136" s="20" t="s">
        <v>75</v>
      </c>
      <c r="K136" s="20" t="s">
        <v>136</v>
      </c>
      <c r="L136" s="20" t="s">
        <v>137</v>
      </c>
      <c r="M136" s="20" t="s">
        <v>138</v>
      </c>
    </row>
    <row r="137" customFormat="false" ht="15" hidden="false" customHeight="true" outlineLevel="0" collapsed="false">
      <c r="A137" s="18" t="n">
        <v>2025</v>
      </c>
      <c r="B137" s="18" t="s">
        <v>167</v>
      </c>
      <c r="C137" s="19" t="n">
        <v>399000000</v>
      </c>
      <c r="D137" s="19" t="n">
        <v>399</v>
      </c>
      <c r="E137" s="18" t="s">
        <v>131</v>
      </c>
      <c r="F137" s="18" t="s">
        <v>132</v>
      </c>
      <c r="G137" s="18" t="s">
        <v>133</v>
      </c>
      <c r="H137" s="20" t="s">
        <v>134</v>
      </c>
      <c r="I137" s="20" t="s">
        <v>135</v>
      </c>
      <c r="J137" s="20" t="s">
        <v>84</v>
      </c>
      <c r="K137" s="20" t="s">
        <v>136</v>
      </c>
      <c r="L137" s="20" t="s">
        <v>137</v>
      </c>
      <c r="M137" s="20" t="s">
        <v>138</v>
      </c>
    </row>
    <row r="138" customFormat="false" ht="24" hidden="false" customHeight="true" outlineLevel="0" collapsed="false">
      <c r="A138" s="18" t="n">
        <v>2025</v>
      </c>
      <c r="B138" s="18" t="s">
        <v>168</v>
      </c>
      <c r="C138" s="19" t="n">
        <v>62579000000</v>
      </c>
      <c r="D138" s="19" t="n">
        <v>62579</v>
      </c>
      <c r="E138" s="18" t="s">
        <v>131</v>
      </c>
      <c r="F138" s="18" t="s">
        <v>132</v>
      </c>
      <c r="G138" s="18" t="s">
        <v>133</v>
      </c>
      <c r="H138" s="20" t="s">
        <v>134</v>
      </c>
      <c r="I138" s="20" t="s">
        <v>169</v>
      </c>
      <c r="J138" s="20" t="s">
        <v>170</v>
      </c>
      <c r="K138" s="20" t="s">
        <v>171</v>
      </c>
      <c r="L138" s="20" t="s">
        <v>137</v>
      </c>
      <c r="M138" s="20" t="s">
        <v>138</v>
      </c>
    </row>
    <row r="139" customFormat="false" ht="24" hidden="false" customHeight="true" outlineLevel="0" collapsed="false">
      <c r="A139" s="18" t="n">
        <v>2025</v>
      </c>
      <c r="B139" s="18" t="s">
        <v>172</v>
      </c>
      <c r="C139" s="19" t="n">
        <v>62579000000</v>
      </c>
      <c r="D139" s="19" t="n">
        <v>62579</v>
      </c>
      <c r="E139" s="18" t="s">
        <v>131</v>
      </c>
      <c r="F139" s="18" t="s">
        <v>132</v>
      </c>
      <c r="G139" s="18" t="s">
        <v>133</v>
      </c>
      <c r="H139" s="20" t="s">
        <v>134</v>
      </c>
      <c r="I139" s="20" t="s">
        <v>169</v>
      </c>
      <c r="J139" s="20" t="s">
        <v>170</v>
      </c>
      <c r="K139" s="20" t="s">
        <v>171</v>
      </c>
      <c r="L139" s="20" t="s">
        <v>137</v>
      </c>
      <c r="M139" s="20" t="s">
        <v>138</v>
      </c>
    </row>
    <row r="140" customFormat="false" ht="36" hidden="false" customHeight="true" outlineLevel="0" collapsed="false">
      <c r="A140" s="18" t="n">
        <v>2025</v>
      </c>
      <c r="B140" s="18" t="s">
        <v>173</v>
      </c>
      <c r="C140" s="19" t="n">
        <v>10191000000</v>
      </c>
      <c r="D140" s="19" t="n">
        <v>7520000000</v>
      </c>
      <c r="E140" s="18" t="s">
        <v>131</v>
      </c>
      <c r="F140" s="18" t="s">
        <v>174</v>
      </c>
      <c r="G140" s="18" t="s">
        <v>175</v>
      </c>
      <c r="H140" s="20" t="s">
        <v>176</v>
      </c>
      <c r="I140" s="20" t="s">
        <v>177</v>
      </c>
      <c r="J140" s="20" t="s">
        <v>178</v>
      </c>
      <c r="K140" s="20" t="s">
        <v>179</v>
      </c>
      <c r="L140" s="20" t="s">
        <v>137</v>
      </c>
      <c r="M140" s="20" t="s">
        <v>138</v>
      </c>
    </row>
    <row r="141" customFormat="false" ht="15" hidden="false" customHeight="true" outlineLevel="0" collapsed="false">
      <c r="A141" s="18" t="n">
        <v>2025</v>
      </c>
      <c r="B141" s="18" t="s">
        <v>173</v>
      </c>
      <c r="C141" s="19" t="n">
        <v>10191000000</v>
      </c>
      <c r="D141" s="19" t="n">
        <v>2671000000</v>
      </c>
      <c r="E141" s="18" t="s">
        <v>131</v>
      </c>
      <c r="F141" s="18" t="s">
        <v>174</v>
      </c>
      <c r="G141" s="18" t="s">
        <v>175</v>
      </c>
      <c r="H141" s="20" t="s">
        <v>176</v>
      </c>
      <c r="I141" s="20" t="s">
        <v>180</v>
      </c>
      <c r="J141" s="20" t="s">
        <v>181</v>
      </c>
      <c r="K141" s="20" t="s">
        <v>179</v>
      </c>
      <c r="L141" s="20" t="s">
        <v>137</v>
      </c>
      <c r="M141" s="20" t="s">
        <v>138</v>
      </c>
    </row>
    <row r="142" customFormat="false" ht="15" hidden="false" customHeight="true" outlineLevel="0" collapsed="false">
      <c r="A142" s="18" t="n">
        <v>2025</v>
      </c>
      <c r="B142" s="18" t="s">
        <v>182</v>
      </c>
      <c r="C142" s="19" t="n">
        <v>2671000000</v>
      </c>
      <c r="D142" s="19" t="n">
        <v>2671000000</v>
      </c>
      <c r="E142" s="18" t="s">
        <v>131</v>
      </c>
      <c r="F142" s="18" t="s">
        <v>174</v>
      </c>
      <c r="G142" s="18" t="s">
        <v>133</v>
      </c>
      <c r="H142" s="20" t="s">
        <v>183</v>
      </c>
      <c r="I142" s="20" t="s">
        <v>180</v>
      </c>
      <c r="J142" s="20" t="s">
        <v>181</v>
      </c>
      <c r="K142" s="20" t="s">
        <v>179</v>
      </c>
      <c r="L142" s="20" t="s">
        <v>137</v>
      </c>
      <c r="M142" s="20" t="s">
        <v>138</v>
      </c>
    </row>
    <row r="143" customFormat="false" ht="15" hidden="false" customHeight="true" outlineLevel="0" collapsed="false">
      <c r="A143" s="18" t="n">
        <v>2025</v>
      </c>
      <c r="B143" s="18" t="s">
        <v>184</v>
      </c>
      <c r="C143" s="19" t="n">
        <v>0.0353723404255319</v>
      </c>
      <c r="D143" s="19" t="n">
        <v>-266000000</v>
      </c>
      <c r="E143" s="18" t="s">
        <v>131</v>
      </c>
      <c r="F143" s="18" t="s">
        <v>174</v>
      </c>
      <c r="G143" s="18" t="s">
        <v>175</v>
      </c>
      <c r="H143" s="20" t="s">
        <v>185</v>
      </c>
      <c r="I143" s="20" t="s">
        <v>186</v>
      </c>
      <c r="J143" s="20" t="s">
        <v>187</v>
      </c>
      <c r="K143" s="20" t="s">
        <v>179</v>
      </c>
      <c r="L143" s="20" t="s">
        <v>137</v>
      </c>
      <c r="M143" s="20" t="s">
        <v>138</v>
      </c>
    </row>
    <row r="144" customFormat="false" ht="36" hidden="false" customHeight="true" outlineLevel="0" collapsed="false">
      <c r="A144" s="18" t="n">
        <v>2025</v>
      </c>
      <c r="B144" s="18" t="s">
        <v>184</v>
      </c>
      <c r="C144" s="19" t="n">
        <v>0.0353723404255319</v>
      </c>
      <c r="D144" s="19" t="n">
        <v>7520000000</v>
      </c>
      <c r="E144" s="18" t="s">
        <v>131</v>
      </c>
      <c r="F144" s="18" t="s">
        <v>174</v>
      </c>
      <c r="G144" s="18" t="s">
        <v>175</v>
      </c>
      <c r="H144" s="20" t="s">
        <v>185</v>
      </c>
      <c r="I144" s="20" t="s">
        <v>177</v>
      </c>
      <c r="J144" s="20" t="s">
        <v>178</v>
      </c>
      <c r="K144" s="20" t="s">
        <v>179</v>
      </c>
      <c r="L144" s="20" t="s">
        <v>137</v>
      </c>
      <c r="M144" s="20" t="s">
        <v>138</v>
      </c>
    </row>
    <row r="145" customFormat="false" ht="15" hidden="false" customHeight="true" outlineLevel="0" collapsed="false">
      <c r="A145" s="18" t="n">
        <v>2025</v>
      </c>
      <c r="B145" s="18" t="s">
        <v>188</v>
      </c>
      <c r="C145" s="19" t="n">
        <v>6592000000</v>
      </c>
      <c r="D145" s="19" t="n">
        <v>6592000000</v>
      </c>
      <c r="E145" s="18" t="s">
        <v>131</v>
      </c>
      <c r="F145" s="18" t="s">
        <v>174</v>
      </c>
      <c r="G145" s="18" t="s">
        <v>133</v>
      </c>
      <c r="H145" s="20" t="s">
        <v>183</v>
      </c>
      <c r="I145" s="20" t="s">
        <v>189</v>
      </c>
      <c r="J145" s="20" t="s">
        <v>190</v>
      </c>
      <c r="K145" s="20" t="s">
        <v>191</v>
      </c>
      <c r="L145" s="20" t="s">
        <v>137</v>
      </c>
      <c r="M145" s="20" t="s">
        <v>138</v>
      </c>
    </row>
    <row r="146" customFormat="false" ht="24" hidden="false" customHeight="true" outlineLevel="0" collapsed="false">
      <c r="A146" s="18" t="n">
        <v>2025</v>
      </c>
      <c r="B146" s="18" t="s">
        <v>192</v>
      </c>
      <c r="C146" s="19" t="n">
        <v>2629000000</v>
      </c>
      <c r="D146" s="19" t="n">
        <v>2629000000</v>
      </c>
      <c r="E146" s="18" t="s">
        <v>131</v>
      </c>
      <c r="F146" s="18" t="s">
        <v>174</v>
      </c>
      <c r="G146" s="18" t="s">
        <v>133</v>
      </c>
      <c r="H146" s="20" t="s">
        <v>183</v>
      </c>
      <c r="I146" s="20" t="s">
        <v>193</v>
      </c>
      <c r="J146" s="20" t="s">
        <v>194</v>
      </c>
      <c r="K146" s="20" t="s">
        <v>191</v>
      </c>
      <c r="L146" s="20" t="s">
        <v>137</v>
      </c>
      <c r="M146" s="20" t="s">
        <v>138</v>
      </c>
    </row>
    <row r="147" customFormat="false" ht="24" hidden="false" customHeight="true" outlineLevel="0" collapsed="false">
      <c r="A147" s="18" t="n">
        <v>2025</v>
      </c>
      <c r="B147" s="18" t="s">
        <v>195</v>
      </c>
      <c r="C147" s="19" t="n">
        <v>607000000</v>
      </c>
      <c r="D147" s="19" t="n">
        <v>11874000000</v>
      </c>
      <c r="E147" s="18" t="s">
        <v>131</v>
      </c>
      <c r="F147" s="18" t="s">
        <v>174</v>
      </c>
      <c r="G147" s="18" t="s">
        <v>175</v>
      </c>
      <c r="H147" s="20" t="s">
        <v>196</v>
      </c>
      <c r="I147" s="20" t="s">
        <v>197</v>
      </c>
      <c r="J147" s="20" t="s">
        <v>198</v>
      </c>
      <c r="K147" s="20" t="s">
        <v>199</v>
      </c>
      <c r="L147" s="20" t="s">
        <v>137</v>
      </c>
      <c r="M147" s="20" t="s">
        <v>138</v>
      </c>
    </row>
    <row r="148" customFormat="false" ht="15" hidden="false" customHeight="true" outlineLevel="0" collapsed="false">
      <c r="A148" s="18" t="n">
        <v>2025</v>
      </c>
      <c r="B148" s="18" t="s">
        <v>195</v>
      </c>
      <c r="C148" s="19" t="n">
        <v>607000000</v>
      </c>
      <c r="D148" s="19" t="n">
        <v>10654000000</v>
      </c>
      <c r="E148" s="18" t="s">
        <v>131</v>
      </c>
      <c r="F148" s="18" t="s">
        <v>174</v>
      </c>
      <c r="G148" s="18" t="s">
        <v>175</v>
      </c>
      <c r="H148" s="20" t="s">
        <v>196</v>
      </c>
      <c r="I148" s="20" t="s">
        <v>202</v>
      </c>
      <c r="J148" s="20" t="s">
        <v>203</v>
      </c>
      <c r="K148" s="20" t="s">
        <v>199</v>
      </c>
      <c r="L148" s="20" t="s">
        <v>137</v>
      </c>
      <c r="M148" s="20" t="s">
        <v>138</v>
      </c>
    </row>
    <row r="149" customFormat="false" ht="15" hidden="false" customHeight="true" outlineLevel="0" collapsed="false">
      <c r="A149" s="18" t="n">
        <v>2025</v>
      </c>
      <c r="B149" s="18" t="s">
        <v>195</v>
      </c>
      <c r="C149" s="19" t="n">
        <v>607000000</v>
      </c>
      <c r="D149" s="19" t="n">
        <v>5240000000</v>
      </c>
      <c r="E149" s="18" t="s">
        <v>131</v>
      </c>
      <c r="F149" s="18" t="s">
        <v>174</v>
      </c>
      <c r="G149" s="18" t="s">
        <v>175</v>
      </c>
      <c r="H149" s="20" t="s">
        <v>196</v>
      </c>
      <c r="I149" s="20" t="s">
        <v>206</v>
      </c>
      <c r="J149" s="20" t="s">
        <v>207</v>
      </c>
      <c r="K149" s="20" t="s">
        <v>199</v>
      </c>
      <c r="L149" s="20" t="s">
        <v>137</v>
      </c>
      <c r="M149" s="20" t="s">
        <v>138</v>
      </c>
    </row>
    <row r="150" customFormat="false" ht="24" hidden="false" customHeight="true" outlineLevel="0" collapsed="false">
      <c r="A150" s="18" t="n">
        <v>2025</v>
      </c>
      <c r="B150" s="18" t="s">
        <v>195</v>
      </c>
      <c r="C150" s="19" t="n">
        <v>607000000</v>
      </c>
      <c r="D150" s="19" t="n">
        <v>11463000000</v>
      </c>
      <c r="E150" s="18" t="s">
        <v>131</v>
      </c>
      <c r="F150" s="18" t="s">
        <v>174</v>
      </c>
      <c r="G150" s="18" t="s">
        <v>175</v>
      </c>
      <c r="H150" s="20" t="s">
        <v>196</v>
      </c>
      <c r="I150" s="20" t="s">
        <v>197</v>
      </c>
      <c r="J150" s="20" t="s">
        <v>198</v>
      </c>
      <c r="K150" s="20" t="s">
        <v>199</v>
      </c>
      <c r="L150" s="20" t="s">
        <v>137</v>
      </c>
      <c r="M150" s="20" t="s">
        <v>138</v>
      </c>
    </row>
    <row r="151" customFormat="false" ht="15" hidden="false" customHeight="true" outlineLevel="0" collapsed="false">
      <c r="A151" s="18" t="n">
        <v>2025</v>
      </c>
      <c r="B151" s="18" t="s">
        <v>195</v>
      </c>
      <c r="C151" s="19" t="n">
        <v>607000000</v>
      </c>
      <c r="D151" s="19" t="n">
        <v>10851000000</v>
      </c>
      <c r="E151" s="18" t="s">
        <v>131</v>
      </c>
      <c r="F151" s="18" t="s">
        <v>174</v>
      </c>
      <c r="G151" s="18" t="s">
        <v>175</v>
      </c>
      <c r="H151" s="20" t="s">
        <v>196</v>
      </c>
      <c r="I151" s="20" t="s">
        <v>202</v>
      </c>
      <c r="J151" s="20" t="s">
        <v>203</v>
      </c>
      <c r="K151" s="20" t="s">
        <v>199</v>
      </c>
      <c r="L151" s="20" t="s">
        <v>137</v>
      </c>
      <c r="M151" s="20" t="s">
        <v>138</v>
      </c>
    </row>
    <row r="152" customFormat="false" ht="15" hidden="false" customHeight="true" outlineLevel="0" collapsed="false">
      <c r="A152" s="18" t="n">
        <v>2025</v>
      </c>
      <c r="B152" s="18" t="s">
        <v>195</v>
      </c>
      <c r="C152" s="19" t="n">
        <v>607000000</v>
      </c>
      <c r="D152" s="19" t="n">
        <v>5633000000</v>
      </c>
      <c r="E152" s="18" t="s">
        <v>131</v>
      </c>
      <c r="F152" s="18" t="s">
        <v>174</v>
      </c>
      <c r="G152" s="18" t="s">
        <v>175</v>
      </c>
      <c r="H152" s="20" t="s">
        <v>196</v>
      </c>
      <c r="I152" s="20" t="s">
        <v>206</v>
      </c>
      <c r="J152" s="20" t="s">
        <v>207</v>
      </c>
      <c r="K152" s="20" t="s">
        <v>199</v>
      </c>
      <c r="L152" s="20" t="s">
        <v>137</v>
      </c>
      <c r="M152" s="20" t="s">
        <v>138</v>
      </c>
    </row>
    <row r="153" customFormat="false" ht="15" hidden="false" customHeight="true" outlineLevel="0" collapsed="false">
      <c r="A153" s="18" t="n">
        <v>2025</v>
      </c>
      <c r="B153" s="18" t="s">
        <v>208</v>
      </c>
      <c r="C153" s="19" t="n">
        <v>1142000000</v>
      </c>
      <c r="D153" s="19" t="n">
        <v>1142000000</v>
      </c>
      <c r="E153" s="18" t="s">
        <v>131</v>
      </c>
      <c r="F153" s="18" t="s">
        <v>174</v>
      </c>
      <c r="G153" s="18" t="s">
        <v>133</v>
      </c>
      <c r="H153" s="20" t="s">
        <v>183</v>
      </c>
      <c r="I153" s="20" t="s">
        <v>209</v>
      </c>
      <c r="J153" s="20" t="s">
        <v>210</v>
      </c>
      <c r="K153" s="20" t="s">
        <v>199</v>
      </c>
      <c r="L153" s="20" t="s">
        <v>137</v>
      </c>
      <c r="M153" s="20" t="s">
        <v>138</v>
      </c>
    </row>
    <row r="154" customFormat="false" ht="24" hidden="false" customHeight="true" outlineLevel="0" collapsed="false">
      <c r="A154" s="18" t="n">
        <v>2025</v>
      </c>
      <c r="B154" s="18" t="s">
        <v>211</v>
      </c>
      <c r="C154" s="19" t="n">
        <v>12454000000</v>
      </c>
      <c r="D154" s="19" t="n">
        <v>12454</v>
      </c>
      <c r="E154" s="18" t="s">
        <v>131</v>
      </c>
      <c r="F154" s="18" t="s">
        <v>132</v>
      </c>
      <c r="G154" s="18" t="s">
        <v>133</v>
      </c>
      <c r="H154" s="20" t="s">
        <v>134</v>
      </c>
      <c r="I154" s="20" t="s">
        <v>235</v>
      </c>
      <c r="J154" s="20" t="s">
        <v>211</v>
      </c>
      <c r="K154" s="20" t="s">
        <v>236</v>
      </c>
      <c r="L154" s="20" t="s">
        <v>137</v>
      </c>
      <c r="M154" s="20" t="s">
        <v>138</v>
      </c>
    </row>
    <row r="155" customFormat="false" ht="15" hidden="false" customHeight="true" outlineLevel="0" collapsed="false">
      <c r="A155" s="18" t="n">
        <v>2025</v>
      </c>
      <c r="B155" s="18" t="s">
        <v>216</v>
      </c>
      <c r="C155" s="19" t="n">
        <v>64638000000</v>
      </c>
      <c r="D155" s="19" t="n">
        <v>2997000000</v>
      </c>
      <c r="E155" s="18" t="s">
        <v>131</v>
      </c>
      <c r="F155" s="18" t="s">
        <v>174</v>
      </c>
      <c r="G155" s="18" t="s">
        <v>175</v>
      </c>
      <c r="H155" s="20" t="s">
        <v>217</v>
      </c>
      <c r="I155" s="20" t="s">
        <v>218</v>
      </c>
      <c r="J155" s="20" t="s">
        <v>219</v>
      </c>
      <c r="K155" s="20" t="s">
        <v>199</v>
      </c>
      <c r="L155" s="20" t="s">
        <v>137</v>
      </c>
      <c r="M155" s="20" t="s">
        <v>138</v>
      </c>
    </row>
    <row r="156" customFormat="false" ht="15" hidden="false" customHeight="true" outlineLevel="0" collapsed="false">
      <c r="A156" s="18" t="n">
        <v>2025</v>
      </c>
      <c r="B156" s="18" t="s">
        <v>216</v>
      </c>
      <c r="C156" s="19" t="n">
        <v>64638000000</v>
      </c>
      <c r="D156" s="19" t="n">
        <v>0</v>
      </c>
      <c r="E156" s="18" t="s">
        <v>131</v>
      </c>
      <c r="F156" s="18" t="s">
        <v>174</v>
      </c>
      <c r="G156" s="18" t="s">
        <v>175</v>
      </c>
      <c r="H156" s="20" t="s">
        <v>217</v>
      </c>
      <c r="I156" s="20" t="s">
        <v>220</v>
      </c>
      <c r="J156" s="20" t="s">
        <v>221</v>
      </c>
      <c r="K156" s="20" t="s">
        <v>215</v>
      </c>
      <c r="L156" s="20" t="s">
        <v>137</v>
      </c>
      <c r="M156" s="20" t="s">
        <v>138</v>
      </c>
    </row>
    <row r="157" customFormat="false" ht="15" hidden="false" customHeight="true" outlineLevel="0" collapsed="false">
      <c r="A157" s="18" t="n">
        <v>2025</v>
      </c>
      <c r="B157" s="18" t="s">
        <v>216</v>
      </c>
      <c r="C157" s="19" t="n">
        <v>64638000000</v>
      </c>
      <c r="D157" s="19" t="n">
        <v>61641000000</v>
      </c>
      <c r="E157" s="18" t="s">
        <v>131</v>
      </c>
      <c r="F157" s="18" t="s">
        <v>174</v>
      </c>
      <c r="G157" s="18" t="s">
        <v>175</v>
      </c>
      <c r="H157" s="20" t="s">
        <v>217</v>
      </c>
      <c r="I157" s="20" t="s">
        <v>222</v>
      </c>
      <c r="J157" s="20" t="s">
        <v>223</v>
      </c>
      <c r="K157" s="20" t="s">
        <v>199</v>
      </c>
      <c r="L157" s="20" t="s">
        <v>137</v>
      </c>
      <c r="M157" s="20" t="s">
        <v>138</v>
      </c>
    </row>
    <row r="158" customFormat="false" ht="24" hidden="false" customHeight="true" outlineLevel="0" collapsed="false">
      <c r="A158" s="18" t="n">
        <v>2025</v>
      </c>
      <c r="B158" s="18" t="s">
        <v>224</v>
      </c>
      <c r="C158" s="19" t="n">
        <v>299000000</v>
      </c>
      <c r="D158" s="19" t="n">
        <v>299000000</v>
      </c>
      <c r="E158" s="18" t="s">
        <v>131</v>
      </c>
      <c r="F158" s="18" t="s">
        <v>174</v>
      </c>
      <c r="G158" s="18" t="s">
        <v>133</v>
      </c>
      <c r="H158" s="20" t="s">
        <v>183</v>
      </c>
      <c r="I158" s="20" t="s">
        <v>225</v>
      </c>
      <c r="J158" s="20" t="s">
        <v>226</v>
      </c>
      <c r="K158" s="20" t="s">
        <v>199</v>
      </c>
      <c r="L158" s="20" t="s">
        <v>137</v>
      </c>
      <c r="M158" s="20" t="s">
        <v>138</v>
      </c>
    </row>
    <row r="159" customFormat="false" ht="24" hidden="false" customHeight="true" outlineLevel="0" collapsed="false">
      <c r="A159" s="18" t="n">
        <v>2025</v>
      </c>
      <c r="B159" s="18" t="s">
        <v>227</v>
      </c>
      <c r="C159" s="18"/>
      <c r="D159" s="18"/>
      <c r="E159" s="18" t="s">
        <v>131</v>
      </c>
      <c r="F159" s="18" t="s">
        <v>174</v>
      </c>
      <c r="G159" s="18" t="s">
        <v>237</v>
      </c>
      <c r="H159" s="20" t="s">
        <v>238</v>
      </c>
      <c r="I159" s="20" t="s">
        <v>239</v>
      </c>
      <c r="J159" s="20" t="s">
        <v>240</v>
      </c>
      <c r="K159" s="20" t="s">
        <v>215</v>
      </c>
      <c r="L159" s="20" t="s">
        <v>137</v>
      </c>
      <c r="M159" s="20" t="s">
        <v>138</v>
      </c>
    </row>
    <row r="160" customFormat="false" ht="24" hidden="false" customHeight="true" outlineLevel="0" collapsed="false">
      <c r="A160" s="18" t="n">
        <v>2025</v>
      </c>
      <c r="B160" s="18" t="s">
        <v>230</v>
      </c>
      <c r="C160" s="19" t="n">
        <v>5713000000</v>
      </c>
      <c r="D160" s="19" t="n">
        <v>5713000000</v>
      </c>
      <c r="E160" s="18" t="s">
        <v>231</v>
      </c>
      <c r="F160" s="18" t="s">
        <v>174</v>
      </c>
      <c r="G160" s="18" t="s">
        <v>133</v>
      </c>
      <c r="H160" s="20" t="s">
        <v>232</v>
      </c>
      <c r="I160" s="20" t="s">
        <v>233</v>
      </c>
      <c r="J160" s="20" t="s">
        <v>234</v>
      </c>
      <c r="K160" s="20" t="s">
        <v>215</v>
      </c>
      <c r="L160" s="20" t="s">
        <v>137</v>
      </c>
      <c r="M160" s="20" t="s">
        <v>138</v>
      </c>
    </row>
    <row r="161" customFormat="false" ht="24" hidden="false" customHeight="true" outlineLevel="0" collapsed="false">
      <c r="A161" s="18" t="n">
        <v>2025</v>
      </c>
      <c r="B161" s="18" t="s">
        <v>241</v>
      </c>
      <c r="C161" s="19" t="n">
        <v>2036</v>
      </c>
      <c r="D161" s="19" t="n">
        <v>2036</v>
      </c>
      <c r="E161" s="18" t="s">
        <v>242</v>
      </c>
      <c r="F161" s="18" t="s">
        <v>174</v>
      </c>
      <c r="G161" s="18" t="s">
        <v>133</v>
      </c>
      <c r="H161" s="20" t="s">
        <v>134</v>
      </c>
      <c r="I161" s="20" t="s">
        <v>243</v>
      </c>
      <c r="J161" s="20" t="s">
        <v>61</v>
      </c>
      <c r="K161" s="20" t="s">
        <v>244</v>
      </c>
      <c r="L161" s="20" t="s">
        <v>137</v>
      </c>
      <c r="M161" s="20" t="s">
        <v>138</v>
      </c>
    </row>
    <row r="162" customFormat="false" ht="24" hidden="false" customHeight="true" outlineLevel="0" collapsed="false">
      <c r="A162" s="18" t="n">
        <v>2025</v>
      </c>
      <c r="B162" s="18" t="s">
        <v>245</v>
      </c>
      <c r="C162" s="19" t="n">
        <v>2036</v>
      </c>
      <c r="D162" s="19" t="n">
        <v>2036</v>
      </c>
      <c r="E162" s="18" t="s">
        <v>242</v>
      </c>
      <c r="F162" s="18" t="s">
        <v>174</v>
      </c>
      <c r="G162" s="18" t="s">
        <v>133</v>
      </c>
      <c r="H162" s="20" t="s">
        <v>134</v>
      </c>
      <c r="I162" s="20" t="s">
        <v>243</v>
      </c>
      <c r="J162" s="20" t="s">
        <v>61</v>
      </c>
      <c r="K162" s="20" t="s">
        <v>246</v>
      </c>
      <c r="L162" s="20" t="s">
        <v>137</v>
      </c>
      <c r="M162" s="20" t="s">
        <v>138</v>
      </c>
    </row>
    <row r="163" customFormat="false" ht="24" hidden="false" customHeight="true" outlineLevel="0" collapsed="false">
      <c r="A163" s="18" t="n">
        <v>2025</v>
      </c>
      <c r="B163" s="18" t="s">
        <v>247</v>
      </c>
      <c r="C163" s="19" t="n">
        <v>2036</v>
      </c>
      <c r="D163" s="19" t="n">
        <v>2036</v>
      </c>
      <c r="E163" s="18" t="s">
        <v>242</v>
      </c>
      <c r="F163" s="18" t="s">
        <v>174</v>
      </c>
      <c r="G163" s="18" t="s">
        <v>133</v>
      </c>
      <c r="H163" s="20" t="s">
        <v>134</v>
      </c>
      <c r="I163" s="20" t="s">
        <v>243</v>
      </c>
      <c r="J163" s="20" t="s">
        <v>61</v>
      </c>
      <c r="K163" s="20" t="s">
        <v>248</v>
      </c>
      <c r="L163" s="20" t="s">
        <v>137</v>
      </c>
      <c r="M163" s="20" t="s">
        <v>138</v>
      </c>
    </row>
    <row r="164" customFormat="false" ht="24" hidden="false" customHeight="true" outlineLevel="0" collapsed="false">
      <c r="A164" s="18" t="n">
        <v>2025</v>
      </c>
      <c r="B164" s="18" t="s">
        <v>249</v>
      </c>
      <c r="C164" s="19" t="n">
        <v>2026</v>
      </c>
      <c r="D164" s="19" t="n">
        <v>2026</v>
      </c>
      <c r="E164" s="18" t="s">
        <v>242</v>
      </c>
      <c r="F164" s="18" t="s">
        <v>174</v>
      </c>
      <c r="G164" s="18" t="s">
        <v>133</v>
      </c>
      <c r="H164" s="20" t="s">
        <v>134</v>
      </c>
      <c r="I164" s="20" t="s">
        <v>243</v>
      </c>
      <c r="J164" s="20" t="s">
        <v>250</v>
      </c>
      <c r="K164" s="20" t="s">
        <v>248</v>
      </c>
      <c r="L164" s="20" t="s">
        <v>137</v>
      </c>
      <c r="M164" s="20" t="s">
        <v>138</v>
      </c>
    </row>
    <row r="165" customFormat="false" ht="24" hidden="false" customHeight="true" outlineLevel="0" collapsed="false">
      <c r="A165" s="18" t="n">
        <v>2025</v>
      </c>
      <c r="B165" s="18" t="s">
        <v>251</v>
      </c>
      <c r="C165" s="19" t="n">
        <v>2030</v>
      </c>
      <c r="D165" s="19" t="n">
        <v>2030</v>
      </c>
      <c r="E165" s="18" t="s">
        <v>242</v>
      </c>
      <c r="F165" s="18" t="s">
        <v>174</v>
      </c>
      <c r="G165" s="18" t="s">
        <v>133</v>
      </c>
      <c r="H165" s="20" t="s">
        <v>134</v>
      </c>
      <c r="I165" s="20" t="s">
        <v>243</v>
      </c>
      <c r="J165" s="20" t="s">
        <v>252</v>
      </c>
      <c r="K165" s="20" t="s">
        <v>248</v>
      </c>
      <c r="L165" s="20" t="s">
        <v>137</v>
      </c>
      <c r="M165" s="20" t="s">
        <v>138</v>
      </c>
    </row>
    <row r="166" customFormat="false" ht="24" hidden="false" customHeight="true" outlineLevel="0" collapsed="false">
      <c r="A166" s="18" t="n">
        <v>2025</v>
      </c>
      <c r="B166" s="18" t="s">
        <v>253</v>
      </c>
      <c r="C166" s="19" t="n">
        <v>2038</v>
      </c>
      <c r="D166" s="19" t="n">
        <v>2038</v>
      </c>
      <c r="E166" s="18" t="s">
        <v>242</v>
      </c>
      <c r="F166" s="18" t="s">
        <v>174</v>
      </c>
      <c r="G166" s="18" t="s">
        <v>133</v>
      </c>
      <c r="H166" s="20" t="s">
        <v>134</v>
      </c>
      <c r="I166" s="20" t="s">
        <v>243</v>
      </c>
      <c r="J166" s="20" t="s">
        <v>89</v>
      </c>
      <c r="K166" s="20" t="s">
        <v>244</v>
      </c>
      <c r="L166" s="20" t="s">
        <v>137</v>
      </c>
      <c r="M166" s="20" t="s">
        <v>138</v>
      </c>
    </row>
    <row r="167" customFormat="false" ht="24" hidden="false" customHeight="true" outlineLevel="0" collapsed="false">
      <c r="A167" s="18" t="n">
        <v>2025</v>
      </c>
      <c r="B167" s="18" t="s">
        <v>254</v>
      </c>
      <c r="C167" s="19" t="n">
        <v>2036</v>
      </c>
      <c r="D167" s="19" t="n">
        <v>2036</v>
      </c>
      <c r="E167" s="18" t="s">
        <v>242</v>
      </c>
      <c r="F167" s="18" t="s">
        <v>174</v>
      </c>
      <c r="G167" s="18" t="s">
        <v>133</v>
      </c>
      <c r="H167" s="20" t="s">
        <v>134</v>
      </c>
      <c r="I167" s="20" t="s">
        <v>243</v>
      </c>
      <c r="J167" s="20" t="s">
        <v>89</v>
      </c>
      <c r="K167" s="20" t="s">
        <v>246</v>
      </c>
      <c r="L167" s="20" t="s">
        <v>137</v>
      </c>
      <c r="M167" s="20" t="s">
        <v>138</v>
      </c>
    </row>
    <row r="168" customFormat="false" ht="24" hidden="false" customHeight="true" outlineLevel="0" collapsed="false">
      <c r="A168" s="18" t="n">
        <v>2025</v>
      </c>
      <c r="B168" s="18" t="s">
        <v>255</v>
      </c>
      <c r="C168" s="19" t="n">
        <v>2036</v>
      </c>
      <c r="D168" s="19" t="n">
        <v>2036</v>
      </c>
      <c r="E168" s="18" t="s">
        <v>242</v>
      </c>
      <c r="F168" s="18" t="s">
        <v>174</v>
      </c>
      <c r="G168" s="18" t="s">
        <v>133</v>
      </c>
      <c r="H168" s="20" t="s">
        <v>134</v>
      </c>
      <c r="I168" s="20" t="s">
        <v>243</v>
      </c>
      <c r="J168" s="20" t="s">
        <v>89</v>
      </c>
      <c r="K168" s="20" t="s">
        <v>248</v>
      </c>
      <c r="L168" s="20" t="s">
        <v>137</v>
      </c>
      <c r="M168" s="20" t="s">
        <v>138</v>
      </c>
    </row>
    <row r="169" customFormat="false" ht="24" hidden="false" customHeight="true" outlineLevel="0" collapsed="false">
      <c r="A169" s="18" t="n">
        <v>2025</v>
      </c>
      <c r="B169" s="18" t="s">
        <v>256</v>
      </c>
      <c r="C169" s="19" t="n">
        <v>2041</v>
      </c>
      <c r="D169" s="19" t="n">
        <v>2041</v>
      </c>
      <c r="E169" s="18" t="s">
        <v>242</v>
      </c>
      <c r="F169" s="18" t="s">
        <v>174</v>
      </c>
      <c r="G169" s="18" t="s">
        <v>133</v>
      </c>
      <c r="H169" s="20" t="s">
        <v>134</v>
      </c>
      <c r="I169" s="20" t="s">
        <v>243</v>
      </c>
      <c r="J169" s="20" t="s">
        <v>257</v>
      </c>
      <c r="K169" s="20" t="s">
        <v>244</v>
      </c>
      <c r="L169" s="20" t="s">
        <v>137</v>
      </c>
      <c r="M169" s="20" t="s">
        <v>138</v>
      </c>
    </row>
    <row r="170" customFormat="false" ht="24" hidden="false" customHeight="true" outlineLevel="0" collapsed="false">
      <c r="A170" s="18" t="n">
        <v>2025</v>
      </c>
      <c r="B170" s="18" t="s">
        <v>258</v>
      </c>
      <c r="C170" s="19" t="n">
        <v>2041</v>
      </c>
      <c r="D170" s="19" t="n">
        <v>2041</v>
      </c>
      <c r="E170" s="18" t="s">
        <v>242</v>
      </c>
      <c r="F170" s="18" t="s">
        <v>174</v>
      </c>
      <c r="G170" s="18" t="s">
        <v>133</v>
      </c>
      <c r="H170" s="20" t="s">
        <v>134</v>
      </c>
      <c r="I170" s="20" t="s">
        <v>243</v>
      </c>
      <c r="J170" s="20" t="s">
        <v>257</v>
      </c>
      <c r="K170" s="20" t="s">
        <v>248</v>
      </c>
      <c r="L170" s="20" t="s">
        <v>137</v>
      </c>
      <c r="M170" s="20" t="s">
        <v>138</v>
      </c>
    </row>
    <row r="171" customFormat="false" ht="24" hidden="false" customHeight="true" outlineLevel="0" collapsed="false">
      <c r="A171" s="18" t="n">
        <v>2025</v>
      </c>
      <c r="B171" s="18" t="s">
        <v>259</v>
      </c>
      <c r="C171" s="19" t="n">
        <v>2026</v>
      </c>
      <c r="D171" s="19" t="n">
        <v>2026</v>
      </c>
      <c r="E171" s="18" t="s">
        <v>242</v>
      </c>
      <c r="F171" s="18" t="s">
        <v>174</v>
      </c>
      <c r="G171" s="18" t="s">
        <v>133</v>
      </c>
      <c r="H171" s="20" t="s">
        <v>134</v>
      </c>
      <c r="I171" s="20" t="s">
        <v>243</v>
      </c>
      <c r="J171" s="20" t="s">
        <v>260</v>
      </c>
      <c r="K171" s="20" t="s">
        <v>244</v>
      </c>
      <c r="L171" s="20" t="s">
        <v>137</v>
      </c>
      <c r="M171" s="20" t="s">
        <v>138</v>
      </c>
    </row>
    <row r="172" customFormat="false" ht="24" hidden="false" customHeight="true" outlineLevel="0" collapsed="false">
      <c r="A172" s="18" t="n">
        <v>2025</v>
      </c>
      <c r="B172" s="18" t="s">
        <v>261</v>
      </c>
      <c r="C172" s="19" t="n">
        <v>2026</v>
      </c>
      <c r="D172" s="19" t="n">
        <v>2026</v>
      </c>
      <c r="E172" s="18" t="s">
        <v>242</v>
      </c>
      <c r="F172" s="18" t="s">
        <v>174</v>
      </c>
      <c r="G172" s="18" t="s">
        <v>133</v>
      </c>
      <c r="H172" s="20" t="s">
        <v>134</v>
      </c>
      <c r="I172" s="20" t="s">
        <v>243</v>
      </c>
      <c r="J172" s="20" t="s">
        <v>260</v>
      </c>
      <c r="K172" s="20" t="s">
        <v>246</v>
      </c>
      <c r="L172" s="20" t="s">
        <v>137</v>
      </c>
      <c r="M172" s="20" t="s">
        <v>138</v>
      </c>
    </row>
    <row r="173" customFormat="false" ht="24" hidden="false" customHeight="true" outlineLevel="0" collapsed="false">
      <c r="A173" s="18" t="n">
        <v>2025</v>
      </c>
      <c r="B173" s="18" t="s">
        <v>262</v>
      </c>
      <c r="C173" s="19" t="n">
        <v>2027</v>
      </c>
      <c r="D173" s="19" t="n">
        <v>2027</v>
      </c>
      <c r="E173" s="18" t="s">
        <v>242</v>
      </c>
      <c r="F173" s="18" t="s">
        <v>174</v>
      </c>
      <c r="G173" s="18" t="s">
        <v>133</v>
      </c>
      <c r="H173" s="20" t="s">
        <v>134</v>
      </c>
      <c r="I173" s="20" t="s">
        <v>243</v>
      </c>
      <c r="J173" s="20" t="s">
        <v>260</v>
      </c>
      <c r="K173" s="20" t="s">
        <v>248</v>
      </c>
      <c r="L173" s="20" t="s">
        <v>137</v>
      </c>
      <c r="M173" s="20" t="s">
        <v>138</v>
      </c>
    </row>
    <row r="174" customFormat="false" ht="24" hidden="false" customHeight="true" outlineLevel="0" collapsed="false">
      <c r="A174" s="18" t="n">
        <v>2025</v>
      </c>
      <c r="B174" s="18" t="s">
        <v>263</v>
      </c>
      <c r="C174" s="19" t="n">
        <v>2036</v>
      </c>
      <c r="D174" s="19" t="n">
        <v>2036</v>
      </c>
      <c r="E174" s="18" t="s">
        <v>242</v>
      </c>
      <c r="F174" s="18" t="s">
        <v>174</v>
      </c>
      <c r="G174" s="18" t="s">
        <v>133</v>
      </c>
      <c r="H174" s="20" t="s">
        <v>134</v>
      </c>
      <c r="I174" s="20" t="s">
        <v>243</v>
      </c>
      <c r="J174" s="20" t="s">
        <v>264</v>
      </c>
      <c r="K174" s="20" t="s">
        <v>244</v>
      </c>
      <c r="L174" s="20" t="s">
        <v>137</v>
      </c>
      <c r="M174" s="20" t="s">
        <v>138</v>
      </c>
    </row>
    <row r="175" customFormat="false" ht="24" hidden="false" customHeight="true" outlineLevel="0" collapsed="false">
      <c r="A175" s="18" t="n">
        <v>2025</v>
      </c>
      <c r="B175" s="18" t="s">
        <v>265</v>
      </c>
      <c r="C175" s="19" t="n">
        <v>2036</v>
      </c>
      <c r="D175" s="19" t="n">
        <v>2036</v>
      </c>
      <c r="E175" s="18" t="s">
        <v>242</v>
      </c>
      <c r="F175" s="18" t="s">
        <v>174</v>
      </c>
      <c r="G175" s="18" t="s">
        <v>133</v>
      </c>
      <c r="H175" s="20" t="s">
        <v>134</v>
      </c>
      <c r="I175" s="20" t="s">
        <v>243</v>
      </c>
      <c r="J175" s="20" t="s">
        <v>264</v>
      </c>
      <c r="K175" s="20" t="s">
        <v>246</v>
      </c>
      <c r="L175" s="20" t="s">
        <v>137</v>
      </c>
      <c r="M175" s="20" t="s">
        <v>138</v>
      </c>
    </row>
    <row r="176" customFormat="false" ht="24" hidden="false" customHeight="true" outlineLevel="0" collapsed="false">
      <c r="A176" s="18" t="n">
        <v>2025</v>
      </c>
      <c r="B176" s="18" t="s">
        <v>266</v>
      </c>
      <c r="C176" s="19" t="n">
        <v>2036</v>
      </c>
      <c r="D176" s="19" t="n">
        <v>2036</v>
      </c>
      <c r="E176" s="18" t="s">
        <v>242</v>
      </c>
      <c r="F176" s="18" t="s">
        <v>174</v>
      </c>
      <c r="G176" s="18" t="s">
        <v>133</v>
      </c>
      <c r="H176" s="20" t="s">
        <v>134</v>
      </c>
      <c r="I176" s="20" t="s">
        <v>243</v>
      </c>
      <c r="J176" s="20" t="s">
        <v>264</v>
      </c>
      <c r="K176" s="20" t="s">
        <v>248</v>
      </c>
      <c r="L176" s="20" t="s">
        <v>137</v>
      </c>
      <c r="M176" s="20" t="s">
        <v>138</v>
      </c>
    </row>
    <row r="177" customFormat="false" ht="24" hidden="false" customHeight="true" outlineLevel="0" collapsed="false">
      <c r="A177" s="18" t="n">
        <v>2025</v>
      </c>
      <c r="B177" s="18" t="s">
        <v>267</v>
      </c>
      <c r="C177" s="19" t="n">
        <v>2036</v>
      </c>
      <c r="D177" s="19" t="n">
        <v>2036</v>
      </c>
      <c r="E177" s="18" t="s">
        <v>242</v>
      </c>
      <c r="F177" s="18" t="s">
        <v>174</v>
      </c>
      <c r="G177" s="18" t="s">
        <v>133</v>
      </c>
      <c r="H177" s="20" t="s">
        <v>134</v>
      </c>
      <c r="I177" s="20" t="s">
        <v>243</v>
      </c>
      <c r="J177" s="20" t="s">
        <v>268</v>
      </c>
      <c r="K177" s="20" t="s">
        <v>244</v>
      </c>
      <c r="L177" s="20" t="s">
        <v>137</v>
      </c>
      <c r="M177" s="20" t="s">
        <v>138</v>
      </c>
    </row>
    <row r="178" customFormat="false" ht="24" hidden="false" customHeight="true" outlineLevel="0" collapsed="false">
      <c r="A178" s="18" t="n">
        <v>2025</v>
      </c>
      <c r="B178" s="18" t="s">
        <v>269</v>
      </c>
      <c r="C178" s="19" t="n">
        <v>2036</v>
      </c>
      <c r="D178" s="19" t="n">
        <v>2036</v>
      </c>
      <c r="E178" s="18" t="s">
        <v>242</v>
      </c>
      <c r="F178" s="18" t="s">
        <v>174</v>
      </c>
      <c r="G178" s="18" t="s">
        <v>133</v>
      </c>
      <c r="H178" s="20" t="s">
        <v>134</v>
      </c>
      <c r="I178" s="20" t="s">
        <v>243</v>
      </c>
      <c r="J178" s="20" t="s">
        <v>268</v>
      </c>
      <c r="K178" s="20" t="s">
        <v>248</v>
      </c>
      <c r="L178" s="20" t="s">
        <v>137</v>
      </c>
      <c r="M178" s="20" t="s">
        <v>138</v>
      </c>
    </row>
    <row r="179" customFormat="false" ht="24" hidden="false" customHeight="true" outlineLevel="0" collapsed="false">
      <c r="A179" s="18" t="n">
        <v>2025</v>
      </c>
      <c r="B179" s="18" t="s">
        <v>270</v>
      </c>
      <c r="C179" s="19" t="n">
        <v>2028</v>
      </c>
      <c r="D179" s="19" t="n">
        <v>2028</v>
      </c>
      <c r="E179" s="18" t="s">
        <v>242</v>
      </c>
      <c r="F179" s="18" t="s">
        <v>174</v>
      </c>
      <c r="G179" s="18" t="s">
        <v>133</v>
      </c>
      <c r="H179" s="20" t="s">
        <v>134</v>
      </c>
      <c r="I179" s="20" t="s">
        <v>243</v>
      </c>
      <c r="J179" s="20" t="s">
        <v>44</v>
      </c>
      <c r="K179" s="20" t="s">
        <v>244</v>
      </c>
      <c r="L179" s="20" t="s">
        <v>137</v>
      </c>
      <c r="M179" s="20" t="s">
        <v>138</v>
      </c>
    </row>
    <row r="180" customFormat="false" ht="24" hidden="false" customHeight="true" outlineLevel="0" collapsed="false">
      <c r="A180" s="18" t="n">
        <v>2025</v>
      </c>
      <c r="B180" s="18" t="s">
        <v>271</v>
      </c>
      <c r="C180" s="19" t="n">
        <v>2028</v>
      </c>
      <c r="D180" s="19" t="n">
        <v>2028</v>
      </c>
      <c r="E180" s="18" t="s">
        <v>242</v>
      </c>
      <c r="F180" s="18" t="s">
        <v>174</v>
      </c>
      <c r="G180" s="18" t="s">
        <v>133</v>
      </c>
      <c r="H180" s="20" t="s">
        <v>134</v>
      </c>
      <c r="I180" s="20" t="s">
        <v>243</v>
      </c>
      <c r="J180" s="20" t="s">
        <v>44</v>
      </c>
      <c r="K180" s="20" t="s">
        <v>246</v>
      </c>
      <c r="L180" s="20" t="s">
        <v>137</v>
      </c>
      <c r="M180" s="20" t="s">
        <v>138</v>
      </c>
    </row>
    <row r="181" customFormat="false" ht="24" hidden="false" customHeight="true" outlineLevel="0" collapsed="false">
      <c r="A181" s="18" t="n">
        <v>2025</v>
      </c>
      <c r="B181" s="18" t="s">
        <v>272</v>
      </c>
      <c r="C181" s="19" t="n">
        <v>2027</v>
      </c>
      <c r="D181" s="19" t="n">
        <v>2027</v>
      </c>
      <c r="E181" s="18" t="s">
        <v>242</v>
      </c>
      <c r="F181" s="18" t="s">
        <v>174</v>
      </c>
      <c r="G181" s="18" t="s">
        <v>133</v>
      </c>
      <c r="H181" s="20" t="s">
        <v>134</v>
      </c>
      <c r="I181" s="20" t="s">
        <v>243</v>
      </c>
      <c r="J181" s="20" t="s">
        <v>44</v>
      </c>
      <c r="K181" s="20" t="s">
        <v>248</v>
      </c>
      <c r="L181" s="20" t="s">
        <v>137</v>
      </c>
      <c r="M181" s="20" t="s">
        <v>138</v>
      </c>
    </row>
    <row r="182" customFormat="false" ht="24" hidden="false" customHeight="true" outlineLevel="0" collapsed="false">
      <c r="A182" s="18" t="n">
        <v>2025</v>
      </c>
      <c r="B182" s="18" t="s">
        <v>273</v>
      </c>
      <c r="C182" s="19" t="n">
        <v>2039</v>
      </c>
      <c r="D182" s="19" t="n">
        <v>2039</v>
      </c>
      <c r="E182" s="18" t="s">
        <v>242</v>
      </c>
      <c r="F182" s="18" t="s">
        <v>174</v>
      </c>
      <c r="G182" s="18" t="s">
        <v>133</v>
      </c>
      <c r="H182" s="20" t="s">
        <v>134</v>
      </c>
      <c r="I182" s="20" t="s">
        <v>243</v>
      </c>
      <c r="J182" s="20" t="s">
        <v>274</v>
      </c>
      <c r="K182" s="20" t="s">
        <v>244</v>
      </c>
      <c r="L182" s="20" t="s">
        <v>137</v>
      </c>
      <c r="M182" s="20" t="s">
        <v>138</v>
      </c>
    </row>
    <row r="183" customFormat="false" ht="24" hidden="false" customHeight="true" outlineLevel="0" collapsed="false">
      <c r="A183" s="18" t="n">
        <v>2025</v>
      </c>
      <c r="B183" s="18" t="s">
        <v>275</v>
      </c>
      <c r="C183" s="19" t="n">
        <v>2038</v>
      </c>
      <c r="D183" s="19" t="n">
        <v>2038</v>
      </c>
      <c r="E183" s="18" t="s">
        <v>242</v>
      </c>
      <c r="F183" s="18" t="s">
        <v>174</v>
      </c>
      <c r="G183" s="18" t="s">
        <v>133</v>
      </c>
      <c r="H183" s="20" t="s">
        <v>134</v>
      </c>
      <c r="I183" s="20" t="s">
        <v>243</v>
      </c>
      <c r="J183" s="20" t="s">
        <v>274</v>
      </c>
      <c r="K183" s="20" t="s">
        <v>246</v>
      </c>
      <c r="L183" s="20" t="s">
        <v>137</v>
      </c>
      <c r="M183" s="20" t="s">
        <v>138</v>
      </c>
    </row>
    <row r="184" customFormat="false" ht="24" hidden="false" customHeight="true" outlineLevel="0" collapsed="false">
      <c r="A184" s="18" t="n">
        <v>2025</v>
      </c>
      <c r="B184" s="18" t="s">
        <v>276</v>
      </c>
      <c r="C184" s="19" t="n">
        <v>2034</v>
      </c>
      <c r="D184" s="19" t="n">
        <v>2034</v>
      </c>
      <c r="E184" s="18" t="s">
        <v>242</v>
      </c>
      <c r="F184" s="18" t="s">
        <v>174</v>
      </c>
      <c r="G184" s="18" t="s">
        <v>133</v>
      </c>
      <c r="H184" s="20" t="s">
        <v>134</v>
      </c>
      <c r="I184" s="20" t="s">
        <v>243</v>
      </c>
      <c r="J184" s="20" t="s">
        <v>274</v>
      </c>
      <c r="K184" s="20" t="s">
        <v>248</v>
      </c>
      <c r="L184" s="20" t="s">
        <v>137</v>
      </c>
      <c r="M184" s="20" t="s">
        <v>138</v>
      </c>
    </row>
    <row r="185" customFormat="false" ht="24" hidden="false" customHeight="true" outlineLevel="0" collapsed="false">
      <c r="A185" s="18" t="n">
        <v>2025</v>
      </c>
      <c r="B185" s="18" t="s">
        <v>277</v>
      </c>
      <c r="C185" s="19" t="n">
        <v>2036</v>
      </c>
      <c r="D185" s="19" t="n">
        <v>2036</v>
      </c>
      <c r="E185" s="18" t="s">
        <v>242</v>
      </c>
      <c r="F185" s="18" t="s">
        <v>174</v>
      </c>
      <c r="G185" s="18" t="s">
        <v>133</v>
      </c>
      <c r="H185" s="20" t="s">
        <v>134</v>
      </c>
      <c r="I185" s="20" t="s">
        <v>243</v>
      </c>
      <c r="J185" s="20" t="s">
        <v>63</v>
      </c>
      <c r="K185" s="20" t="s">
        <v>244</v>
      </c>
      <c r="L185" s="20" t="s">
        <v>137</v>
      </c>
      <c r="M185" s="20" t="s">
        <v>138</v>
      </c>
    </row>
    <row r="186" customFormat="false" ht="24" hidden="false" customHeight="true" outlineLevel="0" collapsed="false">
      <c r="A186" s="18" t="n">
        <v>2025</v>
      </c>
      <c r="B186" s="18" t="s">
        <v>278</v>
      </c>
      <c r="C186" s="19" t="n">
        <v>2034</v>
      </c>
      <c r="D186" s="19" t="n">
        <v>2034</v>
      </c>
      <c r="E186" s="18" t="s">
        <v>242</v>
      </c>
      <c r="F186" s="18" t="s">
        <v>174</v>
      </c>
      <c r="G186" s="18" t="s">
        <v>133</v>
      </c>
      <c r="H186" s="20" t="s">
        <v>134</v>
      </c>
      <c r="I186" s="20" t="s">
        <v>243</v>
      </c>
      <c r="J186" s="20" t="s">
        <v>63</v>
      </c>
      <c r="K186" s="20" t="s">
        <v>246</v>
      </c>
      <c r="L186" s="20" t="s">
        <v>137</v>
      </c>
      <c r="M186" s="20" t="s">
        <v>138</v>
      </c>
    </row>
    <row r="187" customFormat="false" ht="24" hidden="false" customHeight="true" outlineLevel="0" collapsed="false">
      <c r="A187" s="18" t="n">
        <v>2025</v>
      </c>
      <c r="B187" s="18" t="s">
        <v>279</v>
      </c>
      <c r="C187" s="19" t="n">
        <v>2033</v>
      </c>
      <c r="D187" s="19" t="n">
        <v>2033</v>
      </c>
      <c r="E187" s="18" t="s">
        <v>242</v>
      </c>
      <c r="F187" s="18" t="s">
        <v>174</v>
      </c>
      <c r="G187" s="18" t="s">
        <v>133</v>
      </c>
      <c r="H187" s="20" t="s">
        <v>134</v>
      </c>
      <c r="I187" s="20" t="s">
        <v>243</v>
      </c>
      <c r="J187" s="20" t="s">
        <v>63</v>
      </c>
      <c r="K187" s="20" t="s">
        <v>248</v>
      </c>
      <c r="L187" s="20" t="s">
        <v>137</v>
      </c>
      <c r="M187" s="20" t="s">
        <v>138</v>
      </c>
    </row>
    <row r="188" customFormat="false" ht="24" hidden="false" customHeight="true" outlineLevel="0" collapsed="false">
      <c r="A188" s="18" t="n">
        <v>2025</v>
      </c>
      <c r="B188" s="18" t="s">
        <v>280</v>
      </c>
      <c r="C188" s="19" t="n">
        <v>2026</v>
      </c>
      <c r="D188" s="19" t="n">
        <v>2026</v>
      </c>
      <c r="E188" s="18" t="s">
        <v>242</v>
      </c>
      <c r="F188" s="18" t="s">
        <v>174</v>
      </c>
      <c r="G188" s="18" t="s">
        <v>133</v>
      </c>
      <c r="H188" s="20" t="s">
        <v>134</v>
      </c>
      <c r="I188" s="20" t="s">
        <v>243</v>
      </c>
      <c r="J188" s="20" t="s">
        <v>281</v>
      </c>
      <c r="K188" s="20" t="s">
        <v>248</v>
      </c>
      <c r="L188" s="20" t="s">
        <v>137</v>
      </c>
      <c r="M188" s="20" t="s">
        <v>138</v>
      </c>
    </row>
    <row r="189" customFormat="false" ht="24" hidden="false" customHeight="true" outlineLevel="0" collapsed="false">
      <c r="A189" s="18" t="n">
        <v>2025</v>
      </c>
      <c r="B189" s="18" t="s">
        <v>282</v>
      </c>
      <c r="C189" s="19" t="n">
        <v>2030</v>
      </c>
      <c r="D189" s="19" t="n">
        <v>2030</v>
      </c>
      <c r="E189" s="18" t="s">
        <v>242</v>
      </c>
      <c r="F189" s="18" t="s">
        <v>174</v>
      </c>
      <c r="G189" s="18" t="s">
        <v>133</v>
      </c>
      <c r="H189" s="20" t="s">
        <v>134</v>
      </c>
      <c r="I189" s="20" t="s">
        <v>243</v>
      </c>
      <c r="J189" s="20" t="s">
        <v>283</v>
      </c>
      <c r="K189" s="20" t="s">
        <v>244</v>
      </c>
      <c r="L189" s="20" t="s">
        <v>137</v>
      </c>
      <c r="M189" s="20" t="s">
        <v>138</v>
      </c>
    </row>
    <row r="190" customFormat="false" ht="24" hidden="false" customHeight="true" outlineLevel="0" collapsed="false">
      <c r="A190" s="18" t="n">
        <v>2025</v>
      </c>
      <c r="B190" s="18" t="s">
        <v>284</v>
      </c>
      <c r="C190" s="19" t="n">
        <v>2032</v>
      </c>
      <c r="D190" s="19" t="n">
        <v>2032</v>
      </c>
      <c r="E190" s="18" t="s">
        <v>242</v>
      </c>
      <c r="F190" s="18" t="s">
        <v>174</v>
      </c>
      <c r="G190" s="18" t="s">
        <v>133</v>
      </c>
      <c r="H190" s="20" t="s">
        <v>134</v>
      </c>
      <c r="I190" s="20" t="s">
        <v>243</v>
      </c>
      <c r="J190" s="20" t="s">
        <v>283</v>
      </c>
      <c r="K190" s="20" t="s">
        <v>246</v>
      </c>
      <c r="L190" s="20" t="s">
        <v>137</v>
      </c>
      <c r="M190" s="20" t="s">
        <v>138</v>
      </c>
    </row>
    <row r="191" customFormat="false" ht="24" hidden="false" customHeight="true" outlineLevel="0" collapsed="false">
      <c r="A191" s="18" t="n">
        <v>2025</v>
      </c>
      <c r="B191" s="18" t="s">
        <v>285</v>
      </c>
      <c r="C191" s="19" t="n">
        <v>2035</v>
      </c>
      <c r="D191" s="19" t="n">
        <v>2035</v>
      </c>
      <c r="E191" s="18" t="s">
        <v>242</v>
      </c>
      <c r="F191" s="18" t="s">
        <v>174</v>
      </c>
      <c r="G191" s="18" t="s">
        <v>133</v>
      </c>
      <c r="H191" s="20" t="s">
        <v>134</v>
      </c>
      <c r="I191" s="20" t="s">
        <v>243</v>
      </c>
      <c r="J191" s="20" t="s">
        <v>283</v>
      </c>
      <c r="K191" s="20" t="s">
        <v>248</v>
      </c>
      <c r="L191" s="20" t="s">
        <v>137</v>
      </c>
      <c r="M191" s="20" t="s">
        <v>138</v>
      </c>
    </row>
    <row r="192" customFormat="false" ht="24" hidden="false" customHeight="true" outlineLevel="0" collapsed="false">
      <c r="A192" s="18" t="n">
        <v>2025</v>
      </c>
      <c r="B192" s="18" t="s">
        <v>286</v>
      </c>
      <c r="C192" s="19" t="n">
        <v>2035</v>
      </c>
      <c r="D192" s="19" t="n">
        <v>2035</v>
      </c>
      <c r="E192" s="18" t="s">
        <v>242</v>
      </c>
      <c r="F192" s="18" t="s">
        <v>174</v>
      </c>
      <c r="G192" s="18" t="s">
        <v>133</v>
      </c>
      <c r="H192" s="20" t="s">
        <v>134</v>
      </c>
      <c r="I192" s="20" t="s">
        <v>243</v>
      </c>
      <c r="J192" s="20" t="s">
        <v>56</v>
      </c>
      <c r="K192" s="20" t="s">
        <v>244</v>
      </c>
      <c r="L192" s="20" t="s">
        <v>137</v>
      </c>
      <c r="M192" s="20" t="s">
        <v>138</v>
      </c>
    </row>
    <row r="193" customFormat="false" ht="24" hidden="false" customHeight="true" outlineLevel="0" collapsed="false">
      <c r="A193" s="18" t="n">
        <v>2025</v>
      </c>
      <c r="B193" s="18" t="s">
        <v>287</v>
      </c>
      <c r="C193" s="19" t="n">
        <v>2035</v>
      </c>
      <c r="D193" s="19" t="n">
        <v>2035</v>
      </c>
      <c r="E193" s="18" t="s">
        <v>242</v>
      </c>
      <c r="F193" s="18" t="s">
        <v>174</v>
      </c>
      <c r="G193" s="18" t="s">
        <v>133</v>
      </c>
      <c r="H193" s="20" t="s">
        <v>134</v>
      </c>
      <c r="I193" s="20" t="s">
        <v>243</v>
      </c>
      <c r="J193" s="20" t="s">
        <v>56</v>
      </c>
      <c r="K193" s="20" t="s">
        <v>246</v>
      </c>
      <c r="L193" s="20" t="s">
        <v>137</v>
      </c>
      <c r="M193" s="20" t="s">
        <v>138</v>
      </c>
    </row>
    <row r="194" customFormat="false" ht="24" hidden="false" customHeight="true" outlineLevel="0" collapsed="false">
      <c r="A194" s="18" t="n">
        <v>2025</v>
      </c>
      <c r="B194" s="18" t="s">
        <v>288</v>
      </c>
      <c r="C194" s="19" t="n">
        <v>2034</v>
      </c>
      <c r="D194" s="19" t="n">
        <v>2034</v>
      </c>
      <c r="E194" s="18" t="s">
        <v>242</v>
      </c>
      <c r="F194" s="18" t="s">
        <v>174</v>
      </c>
      <c r="G194" s="18" t="s">
        <v>133</v>
      </c>
      <c r="H194" s="20" t="s">
        <v>134</v>
      </c>
      <c r="I194" s="20" t="s">
        <v>243</v>
      </c>
      <c r="J194" s="20" t="s">
        <v>56</v>
      </c>
      <c r="K194" s="20" t="s">
        <v>248</v>
      </c>
      <c r="L194" s="20" t="s">
        <v>137</v>
      </c>
      <c r="M194" s="20" t="s">
        <v>138</v>
      </c>
    </row>
    <row r="195" customFormat="false" ht="24" hidden="false" customHeight="true" outlineLevel="0" collapsed="false">
      <c r="A195" s="18" t="n">
        <v>2025</v>
      </c>
      <c r="B195" s="18" t="s">
        <v>289</v>
      </c>
      <c r="C195" s="19" t="n">
        <v>2033</v>
      </c>
      <c r="D195" s="19" t="n">
        <v>2033</v>
      </c>
      <c r="E195" s="18" t="s">
        <v>242</v>
      </c>
      <c r="F195" s="18" t="s">
        <v>174</v>
      </c>
      <c r="G195" s="18" t="s">
        <v>133</v>
      </c>
      <c r="H195" s="20" t="s">
        <v>134</v>
      </c>
      <c r="I195" s="20" t="s">
        <v>243</v>
      </c>
      <c r="J195" s="20" t="s">
        <v>290</v>
      </c>
      <c r="K195" s="20" t="s">
        <v>248</v>
      </c>
      <c r="L195" s="20" t="s">
        <v>137</v>
      </c>
      <c r="M195" s="20" t="s">
        <v>138</v>
      </c>
    </row>
    <row r="196" customFormat="false" ht="24" hidden="false" customHeight="true" outlineLevel="0" collapsed="false">
      <c r="A196" s="18" t="n">
        <v>2025</v>
      </c>
      <c r="B196" s="18" t="s">
        <v>291</v>
      </c>
      <c r="C196" s="19" t="n">
        <v>2041</v>
      </c>
      <c r="D196" s="19" t="n">
        <v>2041</v>
      </c>
      <c r="E196" s="18" t="s">
        <v>242</v>
      </c>
      <c r="F196" s="18" t="s">
        <v>174</v>
      </c>
      <c r="G196" s="18" t="s">
        <v>133</v>
      </c>
      <c r="H196" s="20" t="s">
        <v>134</v>
      </c>
      <c r="I196" s="20" t="s">
        <v>243</v>
      </c>
      <c r="J196" s="20" t="s">
        <v>292</v>
      </c>
      <c r="K196" s="20" t="s">
        <v>244</v>
      </c>
      <c r="L196" s="20" t="s">
        <v>137</v>
      </c>
      <c r="M196" s="20" t="s">
        <v>138</v>
      </c>
    </row>
    <row r="197" customFormat="false" ht="24" hidden="false" customHeight="true" outlineLevel="0" collapsed="false">
      <c r="A197" s="18" t="n">
        <v>2025</v>
      </c>
      <c r="B197" s="18" t="s">
        <v>293</v>
      </c>
      <c r="C197" s="19" t="n">
        <v>2041</v>
      </c>
      <c r="D197" s="19" t="n">
        <v>2041</v>
      </c>
      <c r="E197" s="18" t="s">
        <v>242</v>
      </c>
      <c r="F197" s="18" t="s">
        <v>174</v>
      </c>
      <c r="G197" s="18" t="s">
        <v>133</v>
      </c>
      <c r="H197" s="20" t="s">
        <v>134</v>
      </c>
      <c r="I197" s="20" t="s">
        <v>243</v>
      </c>
      <c r="J197" s="20" t="s">
        <v>292</v>
      </c>
      <c r="K197" s="20" t="s">
        <v>246</v>
      </c>
      <c r="L197" s="20" t="s">
        <v>137</v>
      </c>
      <c r="M197" s="20" t="s">
        <v>138</v>
      </c>
    </row>
    <row r="198" customFormat="false" ht="24" hidden="false" customHeight="true" outlineLevel="0" collapsed="false">
      <c r="A198" s="18" t="n">
        <v>2025</v>
      </c>
      <c r="B198" s="18" t="s">
        <v>294</v>
      </c>
      <c r="C198" s="19" t="n">
        <v>2041</v>
      </c>
      <c r="D198" s="19" t="n">
        <v>2041</v>
      </c>
      <c r="E198" s="18" t="s">
        <v>242</v>
      </c>
      <c r="F198" s="18" t="s">
        <v>174</v>
      </c>
      <c r="G198" s="18" t="s">
        <v>133</v>
      </c>
      <c r="H198" s="20" t="s">
        <v>134</v>
      </c>
      <c r="I198" s="20" t="s">
        <v>243</v>
      </c>
      <c r="J198" s="20" t="s">
        <v>292</v>
      </c>
      <c r="K198" s="20" t="s">
        <v>248</v>
      </c>
      <c r="L198" s="20" t="s">
        <v>137</v>
      </c>
      <c r="M198" s="20" t="s">
        <v>138</v>
      </c>
    </row>
    <row r="199" customFormat="false" ht="24" hidden="false" customHeight="true" outlineLevel="0" collapsed="false">
      <c r="A199" s="18" t="n">
        <v>2025</v>
      </c>
      <c r="B199" s="18" t="s">
        <v>295</v>
      </c>
      <c r="C199" s="19" t="n">
        <v>2029</v>
      </c>
      <c r="D199" s="19" t="n">
        <v>2029</v>
      </c>
      <c r="E199" s="18" t="s">
        <v>242</v>
      </c>
      <c r="F199" s="18" t="s">
        <v>174</v>
      </c>
      <c r="G199" s="18" t="s">
        <v>133</v>
      </c>
      <c r="H199" s="20" t="s">
        <v>134</v>
      </c>
      <c r="I199" s="20" t="s">
        <v>243</v>
      </c>
      <c r="J199" s="20" t="s">
        <v>296</v>
      </c>
      <c r="K199" s="20" t="s">
        <v>244</v>
      </c>
      <c r="L199" s="20" t="s">
        <v>137</v>
      </c>
      <c r="M199" s="20" t="s">
        <v>138</v>
      </c>
    </row>
    <row r="200" customFormat="false" ht="24" hidden="false" customHeight="true" outlineLevel="0" collapsed="false">
      <c r="A200" s="18" t="n">
        <v>2025</v>
      </c>
      <c r="B200" s="18" t="s">
        <v>297</v>
      </c>
      <c r="C200" s="19" t="n">
        <v>2026</v>
      </c>
      <c r="D200" s="19" t="n">
        <v>2026</v>
      </c>
      <c r="E200" s="18" t="s">
        <v>242</v>
      </c>
      <c r="F200" s="18" t="s">
        <v>174</v>
      </c>
      <c r="G200" s="18" t="s">
        <v>133</v>
      </c>
      <c r="H200" s="20" t="s">
        <v>134</v>
      </c>
      <c r="I200" s="20" t="s">
        <v>243</v>
      </c>
      <c r="J200" s="20" t="s">
        <v>296</v>
      </c>
      <c r="K200" s="20" t="s">
        <v>248</v>
      </c>
      <c r="L200" s="20" t="s">
        <v>137</v>
      </c>
      <c r="M200" s="20" t="s">
        <v>138</v>
      </c>
    </row>
    <row r="201" customFormat="false" ht="24" hidden="false" customHeight="true" outlineLevel="0" collapsed="false">
      <c r="A201" s="18" t="n">
        <v>2025</v>
      </c>
      <c r="B201" s="18" t="s">
        <v>298</v>
      </c>
      <c r="C201" s="19" t="n">
        <v>2038</v>
      </c>
      <c r="D201" s="19" t="n">
        <v>2038</v>
      </c>
      <c r="E201" s="18" t="s">
        <v>242</v>
      </c>
      <c r="F201" s="18" t="s">
        <v>174</v>
      </c>
      <c r="G201" s="18" t="s">
        <v>133</v>
      </c>
      <c r="H201" s="20" t="s">
        <v>134</v>
      </c>
      <c r="I201" s="20" t="s">
        <v>243</v>
      </c>
      <c r="J201" s="20" t="s">
        <v>299</v>
      </c>
      <c r="K201" s="20" t="s">
        <v>244</v>
      </c>
      <c r="L201" s="20" t="s">
        <v>137</v>
      </c>
      <c r="M201" s="20" t="s">
        <v>138</v>
      </c>
    </row>
    <row r="202" customFormat="false" ht="24" hidden="false" customHeight="true" outlineLevel="0" collapsed="false">
      <c r="A202" s="18" t="n">
        <v>2025</v>
      </c>
      <c r="B202" s="18" t="s">
        <v>300</v>
      </c>
      <c r="C202" s="19" t="n">
        <v>2037</v>
      </c>
      <c r="D202" s="19" t="n">
        <v>2037</v>
      </c>
      <c r="E202" s="18" t="s">
        <v>242</v>
      </c>
      <c r="F202" s="18" t="s">
        <v>174</v>
      </c>
      <c r="G202" s="18" t="s">
        <v>133</v>
      </c>
      <c r="H202" s="20" t="s">
        <v>134</v>
      </c>
      <c r="I202" s="20" t="s">
        <v>243</v>
      </c>
      <c r="J202" s="20" t="s">
        <v>299</v>
      </c>
      <c r="K202" s="20" t="s">
        <v>246</v>
      </c>
      <c r="L202" s="20" t="s">
        <v>137</v>
      </c>
      <c r="M202" s="20" t="s">
        <v>138</v>
      </c>
    </row>
    <row r="203" customFormat="false" ht="24" hidden="false" customHeight="true" outlineLevel="0" collapsed="false">
      <c r="A203" s="18" t="n">
        <v>2025</v>
      </c>
      <c r="B203" s="18" t="s">
        <v>301</v>
      </c>
      <c r="C203" s="19" t="n">
        <v>2035</v>
      </c>
      <c r="D203" s="19" t="n">
        <v>2035</v>
      </c>
      <c r="E203" s="18" t="s">
        <v>242</v>
      </c>
      <c r="F203" s="18" t="s">
        <v>174</v>
      </c>
      <c r="G203" s="18" t="s">
        <v>133</v>
      </c>
      <c r="H203" s="20" t="s">
        <v>134</v>
      </c>
      <c r="I203" s="20" t="s">
        <v>243</v>
      </c>
      <c r="J203" s="20" t="s">
        <v>299</v>
      </c>
      <c r="K203" s="20" t="s">
        <v>248</v>
      </c>
      <c r="L203" s="20" t="s">
        <v>137</v>
      </c>
      <c r="M203" s="20" t="s">
        <v>138</v>
      </c>
    </row>
    <row r="204" customFormat="false" ht="24" hidden="false" customHeight="true" outlineLevel="0" collapsed="false">
      <c r="A204" s="18" t="n">
        <v>2025</v>
      </c>
      <c r="B204" s="18" t="s">
        <v>302</v>
      </c>
      <c r="C204" s="19" t="n">
        <v>2034</v>
      </c>
      <c r="D204" s="19" t="n">
        <v>2034</v>
      </c>
      <c r="E204" s="18" t="s">
        <v>242</v>
      </c>
      <c r="F204" s="18" t="s">
        <v>174</v>
      </c>
      <c r="G204" s="18" t="s">
        <v>133</v>
      </c>
      <c r="H204" s="20" t="s">
        <v>134</v>
      </c>
      <c r="I204" s="20" t="s">
        <v>243</v>
      </c>
      <c r="J204" s="20" t="s">
        <v>303</v>
      </c>
      <c r="K204" s="20" t="s">
        <v>244</v>
      </c>
      <c r="L204" s="20" t="s">
        <v>137</v>
      </c>
      <c r="M204" s="20" t="s">
        <v>138</v>
      </c>
    </row>
    <row r="205" customFormat="false" ht="24" hidden="false" customHeight="true" outlineLevel="0" collapsed="false">
      <c r="A205" s="18" t="n">
        <v>2025</v>
      </c>
      <c r="B205" s="18" t="s">
        <v>304</v>
      </c>
      <c r="C205" s="19" t="n">
        <v>2034</v>
      </c>
      <c r="D205" s="19" t="n">
        <v>2034</v>
      </c>
      <c r="E205" s="18" t="s">
        <v>242</v>
      </c>
      <c r="F205" s="18" t="s">
        <v>174</v>
      </c>
      <c r="G205" s="18" t="s">
        <v>133</v>
      </c>
      <c r="H205" s="20" t="s">
        <v>134</v>
      </c>
      <c r="I205" s="20" t="s">
        <v>243</v>
      </c>
      <c r="J205" s="20" t="s">
        <v>303</v>
      </c>
      <c r="K205" s="20" t="s">
        <v>246</v>
      </c>
      <c r="L205" s="20" t="s">
        <v>137</v>
      </c>
      <c r="M205" s="20" t="s">
        <v>138</v>
      </c>
    </row>
    <row r="206" customFormat="false" ht="24" hidden="false" customHeight="true" outlineLevel="0" collapsed="false">
      <c r="A206" s="18" t="n">
        <v>2025</v>
      </c>
      <c r="B206" s="18" t="s">
        <v>305</v>
      </c>
      <c r="C206" s="19" t="n">
        <v>2029</v>
      </c>
      <c r="D206" s="19" t="n">
        <v>2029</v>
      </c>
      <c r="E206" s="18" t="s">
        <v>242</v>
      </c>
      <c r="F206" s="18" t="s">
        <v>174</v>
      </c>
      <c r="G206" s="18" t="s">
        <v>133</v>
      </c>
      <c r="H206" s="20" t="s">
        <v>134</v>
      </c>
      <c r="I206" s="20" t="s">
        <v>243</v>
      </c>
      <c r="J206" s="20" t="s">
        <v>303</v>
      </c>
      <c r="K206" s="20" t="s">
        <v>248</v>
      </c>
      <c r="L206" s="20" t="s">
        <v>137</v>
      </c>
      <c r="M206" s="20" t="s">
        <v>138</v>
      </c>
    </row>
    <row r="207" customFormat="false" ht="24" hidden="false" customHeight="true" outlineLevel="0" collapsed="false">
      <c r="A207" s="18" t="n">
        <v>2025</v>
      </c>
      <c r="B207" s="18" t="s">
        <v>306</v>
      </c>
      <c r="C207" s="19" t="n">
        <v>2035</v>
      </c>
      <c r="D207" s="19" t="n">
        <v>2035</v>
      </c>
      <c r="E207" s="18" t="s">
        <v>242</v>
      </c>
      <c r="F207" s="18" t="s">
        <v>174</v>
      </c>
      <c r="G207" s="18" t="s">
        <v>133</v>
      </c>
      <c r="H207" s="20" t="s">
        <v>134</v>
      </c>
      <c r="I207" s="20" t="s">
        <v>243</v>
      </c>
      <c r="J207" s="20" t="s">
        <v>307</v>
      </c>
      <c r="K207" s="20" t="s">
        <v>248</v>
      </c>
      <c r="L207" s="20" t="s">
        <v>137</v>
      </c>
      <c r="M207" s="20" t="s">
        <v>138</v>
      </c>
    </row>
    <row r="208" customFormat="false" ht="24" hidden="false" customHeight="true" outlineLevel="0" collapsed="false">
      <c r="A208" s="18" t="n">
        <v>2025</v>
      </c>
      <c r="B208" s="18" t="s">
        <v>308</v>
      </c>
      <c r="C208" s="19" t="n">
        <v>2034</v>
      </c>
      <c r="D208" s="19" t="n">
        <v>2034</v>
      </c>
      <c r="E208" s="18" t="s">
        <v>242</v>
      </c>
      <c r="F208" s="18" t="s">
        <v>174</v>
      </c>
      <c r="G208" s="18" t="s">
        <v>133</v>
      </c>
      <c r="H208" s="20" t="s">
        <v>134</v>
      </c>
      <c r="I208" s="20" t="s">
        <v>243</v>
      </c>
      <c r="J208" s="20" t="s">
        <v>309</v>
      </c>
      <c r="K208" s="20" t="s">
        <v>244</v>
      </c>
      <c r="L208" s="20" t="s">
        <v>137</v>
      </c>
      <c r="M208" s="20" t="s">
        <v>138</v>
      </c>
    </row>
    <row r="209" customFormat="false" ht="24" hidden="false" customHeight="true" outlineLevel="0" collapsed="false">
      <c r="A209" s="18" t="n">
        <v>2025</v>
      </c>
      <c r="B209" s="18" t="s">
        <v>310</v>
      </c>
      <c r="C209" s="19" t="n">
        <v>2031</v>
      </c>
      <c r="D209" s="19" t="n">
        <v>2031</v>
      </c>
      <c r="E209" s="18" t="s">
        <v>242</v>
      </c>
      <c r="F209" s="18" t="s">
        <v>174</v>
      </c>
      <c r="G209" s="18" t="s">
        <v>133</v>
      </c>
      <c r="H209" s="20" t="s">
        <v>134</v>
      </c>
      <c r="I209" s="20" t="s">
        <v>243</v>
      </c>
      <c r="J209" s="20" t="s">
        <v>309</v>
      </c>
      <c r="K209" s="20" t="s">
        <v>246</v>
      </c>
      <c r="L209" s="20" t="s">
        <v>137</v>
      </c>
      <c r="M209" s="20" t="s">
        <v>138</v>
      </c>
    </row>
    <row r="210" customFormat="false" ht="24" hidden="false" customHeight="true" outlineLevel="0" collapsed="false">
      <c r="A210" s="18" t="n">
        <v>2025</v>
      </c>
      <c r="B210" s="18" t="s">
        <v>311</v>
      </c>
      <c r="C210" s="19" t="n">
        <v>2031</v>
      </c>
      <c r="D210" s="19" t="n">
        <v>2031</v>
      </c>
      <c r="E210" s="18" t="s">
        <v>242</v>
      </c>
      <c r="F210" s="18" t="s">
        <v>174</v>
      </c>
      <c r="G210" s="18" t="s">
        <v>133</v>
      </c>
      <c r="H210" s="20" t="s">
        <v>134</v>
      </c>
      <c r="I210" s="20" t="s">
        <v>243</v>
      </c>
      <c r="J210" s="20" t="s">
        <v>309</v>
      </c>
      <c r="K210" s="20" t="s">
        <v>248</v>
      </c>
      <c r="L210" s="20" t="s">
        <v>137</v>
      </c>
      <c r="M210" s="20" t="s">
        <v>138</v>
      </c>
    </row>
    <row r="211" customFormat="false" ht="24" hidden="false" customHeight="true" outlineLevel="0" collapsed="false">
      <c r="A211" s="18" t="n">
        <v>2025</v>
      </c>
      <c r="B211" s="18" t="s">
        <v>312</v>
      </c>
      <c r="C211" s="19" t="n">
        <v>2035</v>
      </c>
      <c r="D211" s="19" t="n">
        <v>2035</v>
      </c>
      <c r="E211" s="18" t="s">
        <v>242</v>
      </c>
      <c r="F211" s="18" t="s">
        <v>174</v>
      </c>
      <c r="G211" s="18" t="s">
        <v>133</v>
      </c>
      <c r="H211" s="20" t="s">
        <v>134</v>
      </c>
      <c r="I211" s="20" t="s">
        <v>243</v>
      </c>
      <c r="J211" s="20" t="s">
        <v>313</v>
      </c>
      <c r="K211" s="20" t="s">
        <v>244</v>
      </c>
      <c r="L211" s="20" t="s">
        <v>137</v>
      </c>
      <c r="M211" s="20" t="s">
        <v>138</v>
      </c>
    </row>
    <row r="212" customFormat="false" ht="24" hidden="false" customHeight="true" outlineLevel="0" collapsed="false">
      <c r="A212" s="18" t="n">
        <v>2025</v>
      </c>
      <c r="B212" s="18" t="s">
        <v>314</v>
      </c>
      <c r="C212" s="19" t="n">
        <v>2034</v>
      </c>
      <c r="D212" s="19" t="n">
        <v>2034</v>
      </c>
      <c r="E212" s="18" t="s">
        <v>242</v>
      </c>
      <c r="F212" s="18" t="s">
        <v>174</v>
      </c>
      <c r="G212" s="18" t="s">
        <v>133</v>
      </c>
      <c r="H212" s="20" t="s">
        <v>134</v>
      </c>
      <c r="I212" s="20" t="s">
        <v>243</v>
      </c>
      <c r="J212" s="20" t="s">
        <v>313</v>
      </c>
      <c r="K212" s="20" t="s">
        <v>246</v>
      </c>
      <c r="L212" s="20" t="s">
        <v>137</v>
      </c>
      <c r="M212" s="20" t="s">
        <v>138</v>
      </c>
    </row>
    <row r="213" customFormat="false" ht="24" hidden="false" customHeight="true" outlineLevel="0" collapsed="false">
      <c r="A213" s="18" t="n">
        <v>2025</v>
      </c>
      <c r="B213" s="18" t="s">
        <v>315</v>
      </c>
      <c r="C213" s="19" t="n">
        <v>2030</v>
      </c>
      <c r="D213" s="19" t="n">
        <v>2030</v>
      </c>
      <c r="E213" s="18" t="s">
        <v>242</v>
      </c>
      <c r="F213" s="18" t="s">
        <v>174</v>
      </c>
      <c r="G213" s="18" t="s">
        <v>133</v>
      </c>
      <c r="H213" s="20" t="s">
        <v>134</v>
      </c>
      <c r="I213" s="20" t="s">
        <v>243</v>
      </c>
      <c r="J213" s="20" t="s">
        <v>313</v>
      </c>
      <c r="K213" s="20" t="s">
        <v>248</v>
      </c>
      <c r="L213" s="20" t="s">
        <v>137</v>
      </c>
      <c r="M213" s="20" t="s">
        <v>138</v>
      </c>
    </row>
    <row r="214" customFormat="false" ht="24" hidden="false" customHeight="true" outlineLevel="0" collapsed="false">
      <c r="A214" s="18" t="n">
        <v>2025</v>
      </c>
      <c r="B214" s="18" t="s">
        <v>316</v>
      </c>
      <c r="C214" s="19" t="n">
        <v>2026</v>
      </c>
      <c r="D214" s="19" t="n">
        <v>2026</v>
      </c>
      <c r="E214" s="18" t="s">
        <v>242</v>
      </c>
      <c r="F214" s="18" t="s">
        <v>174</v>
      </c>
      <c r="G214" s="18" t="s">
        <v>133</v>
      </c>
      <c r="H214" s="20" t="s">
        <v>134</v>
      </c>
      <c r="I214" s="20" t="s">
        <v>243</v>
      </c>
      <c r="J214" s="20" t="s">
        <v>317</v>
      </c>
      <c r="K214" s="20" t="s">
        <v>244</v>
      </c>
      <c r="L214" s="20" t="s">
        <v>137</v>
      </c>
      <c r="M214" s="20" t="s">
        <v>138</v>
      </c>
    </row>
    <row r="215" customFormat="false" ht="24" hidden="false" customHeight="true" outlineLevel="0" collapsed="false">
      <c r="A215" s="18" t="n">
        <v>2025</v>
      </c>
      <c r="B215" s="18" t="s">
        <v>318</v>
      </c>
      <c r="C215" s="19" t="n">
        <v>2026</v>
      </c>
      <c r="D215" s="19" t="n">
        <v>2026</v>
      </c>
      <c r="E215" s="18" t="s">
        <v>242</v>
      </c>
      <c r="F215" s="18" t="s">
        <v>174</v>
      </c>
      <c r="G215" s="18" t="s">
        <v>133</v>
      </c>
      <c r="H215" s="20" t="s">
        <v>134</v>
      </c>
      <c r="I215" s="20" t="s">
        <v>243</v>
      </c>
      <c r="J215" s="20" t="s">
        <v>317</v>
      </c>
      <c r="K215" s="20" t="s">
        <v>246</v>
      </c>
      <c r="L215" s="20" t="s">
        <v>137</v>
      </c>
      <c r="M215" s="20" t="s">
        <v>138</v>
      </c>
    </row>
    <row r="216" customFormat="false" ht="24" hidden="false" customHeight="true" outlineLevel="0" collapsed="false">
      <c r="A216" s="18" t="n">
        <v>2025</v>
      </c>
      <c r="B216" s="18" t="s">
        <v>319</v>
      </c>
      <c r="C216" s="19" t="n">
        <v>2026</v>
      </c>
      <c r="D216" s="19" t="n">
        <v>2026</v>
      </c>
      <c r="E216" s="18" t="s">
        <v>242</v>
      </c>
      <c r="F216" s="18" t="s">
        <v>174</v>
      </c>
      <c r="G216" s="18" t="s">
        <v>133</v>
      </c>
      <c r="H216" s="20" t="s">
        <v>134</v>
      </c>
      <c r="I216" s="20" t="s">
        <v>243</v>
      </c>
      <c r="J216" s="20" t="s">
        <v>317</v>
      </c>
      <c r="K216" s="20" t="s">
        <v>248</v>
      </c>
      <c r="L216" s="20" t="s">
        <v>137</v>
      </c>
      <c r="M216" s="20" t="s">
        <v>138</v>
      </c>
    </row>
    <row r="217" customFormat="false" ht="24" hidden="false" customHeight="true" outlineLevel="0" collapsed="false">
      <c r="A217" s="18" t="n">
        <v>2025</v>
      </c>
      <c r="B217" s="18" t="s">
        <v>320</v>
      </c>
      <c r="C217" s="19" t="n">
        <v>2028</v>
      </c>
      <c r="D217" s="19" t="n">
        <v>2028</v>
      </c>
      <c r="E217" s="18" t="s">
        <v>242</v>
      </c>
      <c r="F217" s="18" t="s">
        <v>174</v>
      </c>
      <c r="G217" s="18" t="s">
        <v>133</v>
      </c>
      <c r="H217" s="20" t="s">
        <v>134</v>
      </c>
      <c r="I217" s="20" t="s">
        <v>243</v>
      </c>
      <c r="J217" s="20" t="s">
        <v>321</v>
      </c>
      <c r="K217" s="20" t="s">
        <v>244</v>
      </c>
      <c r="L217" s="20" t="s">
        <v>137</v>
      </c>
      <c r="M217" s="20" t="s">
        <v>138</v>
      </c>
    </row>
    <row r="218" customFormat="false" ht="24" hidden="false" customHeight="true" outlineLevel="0" collapsed="false">
      <c r="A218" s="18" t="n">
        <v>2025</v>
      </c>
      <c r="B218" s="18" t="s">
        <v>322</v>
      </c>
      <c r="C218" s="19" t="n">
        <v>2027</v>
      </c>
      <c r="D218" s="19" t="n">
        <v>2027</v>
      </c>
      <c r="E218" s="18" t="s">
        <v>242</v>
      </c>
      <c r="F218" s="18" t="s">
        <v>174</v>
      </c>
      <c r="G218" s="18" t="s">
        <v>133</v>
      </c>
      <c r="H218" s="20" t="s">
        <v>134</v>
      </c>
      <c r="I218" s="20" t="s">
        <v>243</v>
      </c>
      <c r="J218" s="20" t="s">
        <v>321</v>
      </c>
      <c r="K218" s="20" t="s">
        <v>246</v>
      </c>
      <c r="L218" s="20" t="s">
        <v>137</v>
      </c>
      <c r="M218" s="20" t="s">
        <v>138</v>
      </c>
    </row>
    <row r="219" customFormat="false" ht="24" hidden="false" customHeight="true" outlineLevel="0" collapsed="false">
      <c r="A219" s="18" t="n">
        <v>2025</v>
      </c>
      <c r="B219" s="18" t="s">
        <v>323</v>
      </c>
      <c r="C219" s="19" t="n">
        <v>2029</v>
      </c>
      <c r="D219" s="19" t="n">
        <v>2029</v>
      </c>
      <c r="E219" s="18" t="s">
        <v>242</v>
      </c>
      <c r="F219" s="18" t="s">
        <v>174</v>
      </c>
      <c r="G219" s="18" t="s">
        <v>133</v>
      </c>
      <c r="H219" s="20" t="s">
        <v>134</v>
      </c>
      <c r="I219" s="20" t="s">
        <v>243</v>
      </c>
      <c r="J219" s="20" t="s">
        <v>321</v>
      </c>
      <c r="K219" s="20" t="s">
        <v>248</v>
      </c>
      <c r="L219" s="20" t="s">
        <v>137</v>
      </c>
      <c r="M219" s="20" t="s">
        <v>138</v>
      </c>
    </row>
    <row r="220" customFormat="false" ht="24" hidden="false" customHeight="true" outlineLevel="0" collapsed="false">
      <c r="A220" s="18" t="n">
        <v>2025</v>
      </c>
      <c r="B220" s="18" t="s">
        <v>324</v>
      </c>
      <c r="C220" s="19" t="n">
        <v>2025</v>
      </c>
      <c r="D220" s="19" t="n">
        <v>2025</v>
      </c>
      <c r="E220" s="18" t="s">
        <v>242</v>
      </c>
      <c r="F220" s="18" t="s">
        <v>174</v>
      </c>
      <c r="G220" s="18" t="s">
        <v>133</v>
      </c>
      <c r="H220" s="20" t="s">
        <v>134</v>
      </c>
      <c r="I220" s="20" t="s">
        <v>243</v>
      </c>
      <c r="J220" s="20" t="s">
        <v>59</v>
      </c>
      <c r="K220" s="20" t="s">
        <v>244</v>
      </c>
      <c r="L220" s="20" t="s">
        <v>137</v>
      </c>
      <c r="M220" s="20" t="s">
        <v>138</v>
      </c>
    </row>
    <row r="221" customFormat="false" ht="24" hidden="false" customHeight="true" outlineLevel="0" collapsed="false">
      <c r="A221" s="18" t="n">
        <v>2025</v>
      </c>
      <c r="B221" s="18" t="s">
        <v>325</v>
      </c>
      <c r="C221" s="19" t="n">
        <v>2028</v>
      </c>
      <c r="D221" s="19" t="n">
        <v>2028</v>
      </c>
      <c r="E221" s="18" t="s">
        <v>242</v>
      </c>
      <c r="F221" s="18" t="s">
        <v>174</v>
      </c>
      <c r="G221" s="18" t="s">
        <v>133</v>
      </c>
      <c r="H221" s="20" t="s">
        <v>134</v>
      </c>
      <c r="I221" s="20" t="s">
        <v>243</v>
      </c>
      <c r="J221" s="20" t="s">
        <v>59</v>
      </c>
      <c r="K221" s="20" t="s">
        <v>246</v>
      </c>
      <c r="L221" s="20" t="s">
        <v>137</v>
      </c>
      <c r="M221" s="20" t="s">
        <v>138</v>
      </c>
    </row>
    <row r="222" customFormat="false" ht="24" hidden="false" customHeight="true" outlineLevel="0" collapsed="false">
      <c r="A222" s="18" t="n">
        <v>2025</v>
      </c>
      <c r="B222" s="18" t="s">
        <v>326</v>
      </c>
      <c r="C222" s="19" t="n">
        <v>2026</v>
      </c>
      <c r="D222" s="19" t="n">
        <v>2026</v>
      </c>
      <c r="E222" s="18" t="s">
        <v>242</v>
      </c>
      <c r="F222" s="18" t="s">
        <v>174</v>
      </c>
      <c r="G222" s="18" t="s">
        <v>133</v>
      </c>
      <c r="H222" s="20" t="s">
        <v>134</v>
      </c>
      <c r="I222" s="20" t="s">
        <v>243</v>
      </c>
      <c r="J222" s="20" t="s">
        <v>59</v>
      </c>
      <c r="K222" s="20" t="s">
        <v>248</v>
      </c>
      <c r="L222" s="20" t="s">
        <v>137</v>
      </c>
      <c r="M222" s="20" t="s">
        <v>138</v>
      </c>
    </row>
    <row r="223" customFormat="false" ht="24" hidden="false" customHeight="true" outlineLevel="0" collapsed="false">
      <c r="A223" s="18" t="n">
        <v>2025</v>
      </c>
      <c r="B223" s="18" t="s">
        <v>327</v>
      </c>
      <c r="C223" s="19" t="n">
        <v>2027</v>
      </c>
      <c r="D223" s="19" t="n">
        <v>2027</v>
      </c>
      <c r="E223" s="18" t="s">
        <v>242</v>
      </c>
      <c r="F223" s="18" t="s">
        <v>174</v>
      </c>
      <c r="G223" s="18" t="s">
        <v>133</v>
      </c>
      <c r="H223" s="20" t="s">
        <v>134</v>
      </c>
      <c r="I223" s="20" t="s">
        <v>243</v>
      </c>
      <c r="J223" s="20" t="s">
        <v>328</v>
      </c>
      <c r="K223" s="20" t="s">
        <v>248</v>
      </c>
      <c r="L223" s="20" t="s">
        <v>137</v>
      </c>
      <c r="M223" s="20" t="s">
        <v>138</v>
      </c>
    </row>
    <row r="224" customFormat="false" ht="24" hidden="false" customHeight="true" outlineLevel="0" collapsed="false">
      <c r="A224" s="18" t="n">
        <v>2025</v>
      </c>
      <c r="B224" s="18" t="s">
        <v>329</v>
      </c>
      <c r="C224" s="19" t="n">
        <v>2031</v>
      </c>
      <c r="D224" s="19" t="n">
        <v>2031</v>
      </c>
      <c r="E224" s="18" t="s">
        <v>242</v>
      </c>
      <c r="F224" s="18" t="s">
        <v>174</v>
      </c>
      <c r="G224" s="18" t="s">
        <v>133</v>
      </c>
      <c r="H224" s="20" t="s">
        <v>134</v>
      </c>
      <c r="I224" s="20" t="s">
        <v>243</v>
      </c>
      <c r="J224" s="20" t="s">
        <v>330</v>
      </c>
      <c r="K224" s="20" t="s">
        <v>244</v>
      </c>
      <c r="L224" s="20" t="s">
        <v>137</v>
      </c>
      <c r="M224" s="20" t="s">
        <v>138</v>
      </c>
    </row>
    <row r="225" customFormat="false" ht="24" hidden="false" customHeight="true" outlineLevel="0" collapsed="false">
      <c r="A225" s="18" t="n">
        <v>2025</v>
      </c>
      <c r="B225" s="18" t="s">
        <v>331</v>
      </c>
      <c r="C225" s="19" t="n">
        <v>2031</v>
      </c>
      <c r="D225" s="19" t="n">
        <v>2031</v>
      </c>
      <c r="E225" s="18" t="s">
        <v>242</v>
      </c>
      <c r="F225" s="18" t="s">
        <v>174</v>
      </c>
      <c r="G225" s="18" t="s">
        <v>133</v>
      </c>
      <c r="H225" s="20" t="s">
        <v>134</v>
      </c>
      <c r="I225" s="20" t="s">
        <v>243</v>
      </c>
      <c r="J225" s="20" t="s">
        <v>330</v>
      </c>
      <c r="K225" s="20" t="s">
        <v>246</v>
      </c>
      <c r="L225" s="20" t="s">
        <v>137</v>
      </c>
      <c r="M225" s="20" t="s">
        <v>138</v>
      </c>
    </row>
    <row r="226" customFormat="false" ht="24" hidden="false" customHeight="true" outlineLevel="0" collapsed="false">
      <c r="A226" s="18" t="n">
        <v>2025</v>
      </c>
      <c r="B226" s="18" t="s">
        <v>332</v>
      </c>
      <c r="C226" s="19" t="n">
        <v>2031</v>
      </c>
      <c r="D226" s="19" t="n">
        <v>2031</v>
      </c>
      <c r="E226" s="18" t="s">
        <v>242</v>
      </c>
      <c r="F226" s="18" t="s">
        <v>174</v>
      </c>
      <c r="G226" s="18" t="s">
        <v>133</v>
      </c>
      <c r="H226" s="20" t="s">
        <v>134</v>
      </c>
      <c r="I226" s="20" t="s">
        <v>243</v>
      </c>
      <c r="J226" s="20" t="s">
        <v>330</v>
      </c>
      <c r="K226" s="20" t="s">
        <v>248</v>
      </c>
      <c r="L226" s="20" t="s">
        <v>137</v>
      </c>
      <c r="M226" s="20" t="s">
        <v>138</v>
      </c>
    </row>
    <row r="227" customFormat="false" ht="24" hidden="false" customHeight="true" outlineLevel="0" collapsed="false">
      <c r="A227" s="18" t="n">
        <v>2025</v>
      </c>
      <c r="B227" s="18" t="s">
        <v>333</v>
      </c>
      <c r="C227" s="19" t="n">
        <v>2039</v>
      </c>
      <c r="D227" s="19" t="n">
        <v>2039</v>
      </c>
      <c r="E227" s="18" t="s">
        <v>242</v>
      </c>
      <c r="F227" s="18" t="s">
        <v>174</v>
      </c>
      <c r="G227" s="18" t="s">
        <v>133</v>
      </c>
      <c r="H227" s="20" t="s">
        <v>134</v>
      </c>
      <c r="I227" s="20" t="s">
        <v>334</v>
      </c>
      <c r="J227" s="20" t="s">
        <v>61</v>
      </c>
      <c r="K227" s="20" t="s">
        <v>335</v>
      </c>
      <c r="L227" s="20" t="s">
        <v>137</v>
      </c>
      <c r="M227" s="20" t="s">
        <v>138</v>
      </c>
    </row>
    <row r="228" customFormat="false" ht="15" hidden="false" customHeight="true" outlineLevel="0" collapsed="false">
      <c r="A228" s="18" t="n">
        <v>2025</v>
      </c>
      <c r="B228" s="18" t="s">
        <v>336</v>
      </c>
      <c r="C228" s="19" t="n">
        <v>2037</v>
      </c>
      <c r="D228" s="19" t="n">
        <v>2037</v>
      </c>
      <c r="E228" s="18" t="s">
        <v>242</v>
      </c>
      <c r="F228" s="18" t="s">
        <v>174</v>
      </c>
      <c r="G228" s="18" t="s">
        <v>133</v>
      </c>
      <c r="H228" s="20" t="s">
        <v>134</v>
      </c>
      <c r="I228" s="20" t="s">
        <v>334</v>
      </c>
      <c r="J228" s="20" t="s">
        <v>61</v>
      </c>
      <c r="K228" s="20" t="s">
        <v>337</v>
      </c>
      <c r="L228" s="20" t="s">
        <v>137</v>
      </c>
      <c r="M228" s="20" t="s">
        <v>138</v>
      </c>
    </row>
    <row r="229" customFormat="false" ht="15" hidden="false" customHeight="true" outlineLevel="0" collapsed="false">
      <c r="A229" s="18" t="n">
        <v>2025</v>
      </c>
      <c r="B229" s="18" t="s">
        <v>338</v>
      </c>
      <c r="C229" s="19" t="n">
        <v>2031</v>
      </c>
      <c r="D229" s="19" t="n">
        <v>2031</v>
      </c>
      <c r="E229" s="18" t="s">
        <v>242</v>
      </c>
      <c r="F229" s="18" t="s">
        <v>174</v>
      </c>
      <c r="G229" s="18" t="s">
        <v>133</v>
      </c>
      <c r="H229" s="20" t="s">
        <v>134</v>
      </c>
      <c r="I229" s="20" t="s">
        <v>334</v>
      </c>
      <c r="J229" s="20" t="s">
        <v>252</v>
      </c>
      <c r="K229" s="20" t="s">
        <v>337</v>
      </c>
      <c r="L229" s="20" t="s">
        <v>137</v>
      </c>
      <c r="M229" s="20" t="s">
        <v>138</v>
      </c>
    </row>
    <row r="230" customFormat="false" ht="24" hidden="false" customHeight="true" outlineLevel="0" collapsed="false">
      <c r="A230" s="18" t="n">
        <v>2025</v>
      </c>
      <c r="B230" s="18" t="s">
        <v>339</v>
      </c>
      <c r="C230" s="19" t="n">
        <v>2038</v>
      </c>
      <c r="D230" s="19" t="n">
        <v>2038</v>
      </c>
      <c r="E230" s="18" t="s">
        <v>242</v>
      </c>
      <c r="F230" s="18" t="s">
        <v>174</v>
      </c>
      <c r="G230" s="18" t="s">
        <v>133</v>
      </c>
      <c r="H230" s="20" t="s">
        <v>134</v>
      </c>
      <c r="I230" s="20" t="s">
        <v>334</v>
      </c>
      <c r="J230" s="20" t="s">
        <v>264</v>
      </c>
      <c r="K230" s="20" t="s">
        <v>335</v>
      </c>
      <c r="L230" s="20" t="s">
        <v>137</v>
      </c>
      <c r="M230" s="20" t="s">
        <v>138</v>
      </c>
    </row>
    <row r="231" customFormat="false" ht="24" hidden="false" customHeight="true" outlineLevel="0" collapsed="false">
      <c r="A231" s="18" t="n">
        <v>2025</v>
      </c>
      <c r="B231" s="18" t="s">
        <v>340</v>
      </c>
      <c r="C231" s="19" t="n">
        <v>2038</v>
      </c>
      <c r="D231" s="19" t="n">
        <v>2038</v>
      </c>
      <c r="E231" s="18" t="s">
        <v>242</v>
      </c>
      <c r="F231" s="18" t="s">
        <v>174</v>
      </c>
      <c r="G231" s="18" t="s">
        <v>133</v>
      </c>
      <c r="H231" s="20" t="s">
        <v>134</v>
      </c>
      <c r="I231" s="20" t="s">
        <v>334</v>
      </c>
      <c r="J231" s="20" t="s">
        <v>264</v>
      </c>
      <c r="K231" s="20" t="s">
        <v>341</v>
      </c>
      <c r="L231" s="20" t="s">
        <v>137</v>
      </c>
      <c r="M231" s="20" t="s">
        <v>138</v>
      </c>
    </row>
    <row r="232" customFormat="false" ht="15" hidden="false" customHeight="true" outlineLevel="0" collapsed="false">
      <c r="A232" s="18" t="n">
        <v>2025</v>
      </c>
      <c r="B232" s="18" t="s">
        <v>342</v>
      </c>
      <c r="C232" s="19" t="n">
        <v>2037</v>
      </c>
      <c r="D232" s="19" t="n">
        <v>2037</v>
      </c>
      <c r="E232" s="18" t="s">
        <v>242</v>
      </c>
      <c r="F232" s="18" t="s">
        <v>174</v>
      </c>
      <c r="G232" s="18" t="s">
        <v>133</v>
      </c>
      <c r="H232" s="20" t="s">
        <v>134</v>
      </c>
      <c r="I232" s="20" t="s">
        <v>334</v>
      </c>
      <c r="J232" s="20" t="s">
        <v>264</v>
      </c>
      <c r="K232" s="20" t="s">
        <v>337</v>
      </c>
      <c r="L232" s="20" t="s">
        <v>137</v>
      </c>
      <c r="M232" s="20" t="s">
        <v>138</v>
      </c>
    </row>
    <row r="233" customFormat="false" ht="24" hidden="false" customHeight="true" outlineLevel="0" collapsed="false">
      <c r="A233" s="18" t="n">
        <v>2025</v>
      </c>
      <c r="B233" s="18" t="s">
        <v>343</v>
      </c>
      <c r="C233" s="19" t="n">
        <v>2041</v>
      </c>
      <c r="D233" s="19" t="n">
        <v>2041</v>
      </c>
      <c r="E233" s="18" t="s">
        <v>242</v>
      </c>
      <c r="F233" s="18" t="s">
        <v>174</v>
      </c>
      <c r="G233" s="18" t="s">
        <v>133</v>
      </c>
      <c r="H233" s="20" t="s">
        <v>134</v>
      </c>
      <c r="I233" s="20" t="s">
        <v>334</v>
      </c>
      <c r="J233" s="20" t="s">
        <v>268</v>
      </c>
      <c r="K233" s="20" t="s">
        <v>335</v>
      </c>
      <c r="L233" s="20" t="s">
        <v>137</v>
      </c>
      <c r="M233" s="20" t="s">
        <v>138</v>
      </c>
    </row>
    <row r="234" customFormat="false" ht="15" hidden="false" customHeight="true" outlineLevel="0" collapsed="false">
      <c r="A234" s="18" t="n">
        <v>2025</v>
      </c>
      <c r="B234" s="18" t="s">
        <v>344</v>
      </c>
      <c r="C234" s="19" t="n">
        <v>2038</v>
      </c>
      <c r="D234" s="19" t="n">
        <v>2038</v>
      </c>
      <c r="E234" s="18" t="s">
        <v>242</v>
      </c>
      <c r="F234" s="18" t="s">
        <v>174</v>
      </c>
      <c r="G234" s="18" t="s">
        <v>133</v>
      </c>
      <c r="H234" s="20" t="s">
        <v>134</v>
      </c>
      <c r="I234" s="20" t="s">
        <v>334</v>
      </c>
      <c r="J234" s="20" t="s">
        <v>268</v>
      </c>
      <c r="K234" s="20" t="s">
        <v>337</v>
      </c>
      <c r="L234" s="20" t="s">
        <v>137</v>
      </c>
      <c r="M234" s="20" t="s">
        <v>138</v>
      </c>
    </row>
    <row r="235" customFormat="false" ht="15" hidden="false" customHeight="true" outlineLevel="0" collapsed="false">
      <c r="A235" s="18" t="n">
        <v>2025</v>
      </c>
      <c r="B235" s="18" t="s">
        <v>345</v>
      </c>
      <c r="C235" s="19" t="n">
        <v>2037</v>
      </c>
      <c r="D235" s="19" t="n">
        <v>2037</v>
      </c>
      <c r="E235" s="18" t="s">
        <v>242</v>
      </c>
      <c r="F235" s="18" t="s">
        <v>174</v>
      </c>
      <c r="G235" s="18" t="s">
        <v>133</v>
      </c>
      <c r="H235" s="20" t="s">
        <v>134</v>
      </c>
      <c r="I235" s="20" t="s">
        <v>334</v>
      </c>
      <c r="J235" s="20" t="s">
        <v>274</v>
      </c>
      <c r="K235" s="20" t="s">
        <v>337</v>
      </c>
      <c r="L235" s="20" t="s">
        <v>137</v>
      </c>
      <c r="M235" s="20" t="s">
        <v>138</v>
      </c>
    </row>
    <row r="236" customFormat="false" ht="15" hidden="false" customHeight="true" outlineLevel="0" collapsed="false">
      <c r="A236" s="18" t="n">
        <v>2025</v>
      </c>
      <c r="B236" s="18" t="s">
        <v>346</v>
      </c>
      <c r="C236" s="19" t="n">
        <v>2027</v>
      </c>
      <c r="D236" s="19" t="n">
        <v>2027</v>
      </c>
      <c r="E236" s="18" t="s">
        <v>242</v>
      </c>
      <c r="F236" s="18" t="s">
        <v>174</v>
      </c>
      <c r="G236" s="18" t="s">
        <v>133</v>
      </c>
      <c r="H236" s="20" t="s">
        <v>134</v>
      </c>
      <c r="I236" s="20" t="s">
        <v>334</v>
      </c>
      <c r="J236" s="20" t="s">
        <v>281</v>
      </c>
      <c r="K236" s="20" t="s">
        <v>337</v>
      </c>
      <c r="L236" s="20" t="s">
        <v>137</v>
      </c>
      <c r="M236" s="20" t="s">
        <v>138</v>
      </c>
    </row>
    <row r="237" customFormat="false" ht="15" hidden="false" customHeight="true" outlineLevel="0" collapsed="false">
      <c r="A237" s="18" t="n">
        <v>2025</v>
      </c>
      <c r="B237" s="18" t="s">
        <v>347</v>
      </c>
      <c r="C237" s="19" t="n">
        <v>2032</v>
      </c>
      <c r="D237" s="19" t="n">
        <v>2032</v>
      </c>
      <c r="E237" s="18" t="s">
        <v>242</v>
      </c>
      <c r="F237" s="18" t="s">
        <v>174</v>
      </c>
      <c r="G237" s="18" t="s">
        <v>133</v>
      </c>
      <c r="H237" s="20" t="s">
        <v>134</v>
      </c>
      <c r="I237" s="20" t="s">
        <v>334</v>
      </c>
      <c r="J237" s="20" t="s">
        <v>303</v>
      </c>
      <c r="K237" s="20" t="s">
        <v>337</v>
      </c>
      <c r="L237" s="20" t="s">
        <v>137</v>
      </c>
      <c r="M237" s="20" t="s">
        <v>138</v>
      </c>
    </row>
    <row r="238" customFormat="false" ht="15" hidden="false" customHeight="true" outlineLevel="0" collapsed="false">
      <c r="A238" s="18" t="n">
        <v>2025</v>
      </c>
      <c r="B238" s="18" t="s">
        <v>348</v>
      </c>
      <c r="C238" s="19" t="n">
        <v>2034</v>
      </c>
      <c r="D238" s="19" t="n">
        <v>2034</v>
      </c>
      <c r="E238" s="18" t="s">
        <v>242</v>
      </c>
      <c r="F238" s="18" t="s">
        <v>174</v>
      </c>
      <c r="G238" s="18" t="s">
        <v>133</v>
      </c>
      <c r="H238" s="20" t="s">
        <v>134</v>
      </c>
      <c r="I238" s="20" t="s">
        <v>334</v>
      </c>
      <c r="J238" s="20" t="s">
        <v>309</v>
      </c>
      <c r="K238" s="20" t="s">
        <v>337</v>
      </c>
      <c r="L238" s="20" t="s">
        <v>137</v>
      </c>
      <c r="M238" s="20" t="s">
        <v>138</v>
      </c>
    </row>
    <row r="239" customFormat="false" ht="15" hidden="false" customHeight="true" outlineLevel="0" collapsed="false">
      <c r="A239" s="18" t="n">
        <v>2025</v>
      </c>
      <c r="B239" s="18" t="s">
        <v>349</v>
      </c>
      <c r="C239" s="19" t="n">
        <v>2035</v>
      </c>
      <c r="D239" s="19" t="n">
        <v>2035</v>
      </c>
      <c r="E239" s="18" t="s">
        <v>242</v>
      </c>
      <c r="F239" s="18" t="s">
        <v>174</v>
      </c>
      <c r="G239" s="18" t="s">
        <v>133</v>
      </c>
      <c r="H239" s="20" t="s">
        <v>134</v>
      </c>
      <c r="I239" s="20" t="s">
        <v>334</v>
      </c>
      <c r="J239" s="20" t="s">
        <v>313</v>
      </c>
      <c r="K239" s="20" t="s">
        <v>337</v>
      </c>
      <c r="L239" s="20" t="s">
        <v>137</v>
      </c>
      <c r="M239" s="20" t="s">
        <v>138</v>
      </c>
    </row>
    <row r="240" customFormat="false" ht="15" hidden="false" customHeight="true" outlineLevel="0" collapsed="false">
      <c r="A240" s="18" t="n">
        <v>2025</v>
      </c>
      <c r="B240" s="18" t="s">
        <v>350</v>
      </c>
      <c r="C240" s="19" t="n">
        <v>2028</v>
      </c>
      <c r="D240" s="19" t="n">
        <v>2028</v>
      </c>
      <c r="E240" s="18" t="s">
        <v>242</v>
      </c>
      <c r="F240" s="18" t="s">
        <v>174</v>
      </c>
      <c r="G240" s="18" t="s">
        <v>133</v>
      </c>
      <c r="H240" s="20" t="s">
        <v>134</v>
      </c>
      <c r="I240" s="20" t="s">
        <v>334</v>
      </c>
      <c r="J240" s="20" t="s">
        <v>317</v>
      </c>
      <c r="K240" s="20" t="s">
        <v>337</v>
      </c>
      <c r="L240" s="20" t="s">
        <v>137</v>
      </c>
      <c r="M240" s="20" t="s">
        <v>138</v>
      </c>
    </row>
    <row r="241" customFormat="false" ht="15" hidden="false" customHeight="true" outlineLevel="0" collapsed="false">
      <c r="A241" s="18" t="n">
        <v>2025</v>
      </c>
      <c r="B241" s="18" t="s">
        <v>351</v>
      </c>
      <c r="C241" s="19" t="n">
        <v>2034</v>
      </c>
      <c r="D241" s="19" t="n">
        <v>2034</v>
      </c>
      <c r="E241" s="18" t="s">
        <v>242</v>
      </c>
      <c r="F241" s="18" t="s">
        <v>174</v>
      </c>
      <c r="G241" s="18" t="s">
        <v>133</v>
      </c>
      <c r="H241" s="20" t="s">
        <v>134</v>
      </c>
      <c r="I241" s="20" t="s">
        <v>334</v>
      </c>
      <c r="J241" s="20" t="s">
        <v>330</v>
      </c>
      <c r="K241" s="20" t="s">
        <v>337</v>
      </c>
      <c r="L241" s="20" t="s">
        <v>137</v>
      </c>
      <c r="M241" s="20" t="s">
        <v>138</v>
      </c>
    </row>
    <row r="242" customFormat="false" ht="36" hidden="false" customHeight="true" outlineLevel="0" collapsed="false">
      <c r="A242" s="18" t="s">
        <v>352</v>
      </c>
      <c r="B242" s="18" t="s">
        <v>353</v>
      </c>
      <c r="C242" s="18"/>
      <c r="D242" s="18"/>
      <c r="E242" s="18"/>
      <c r="F242" s="18"/>
      <c r="G242" s="18" t="s">
        <v>354</v>
      </c>
      <c r="H242" s="20" t="s">
        <v>355</v>
      </c>
      <c r="I242" s="20"/>
      <c r="J242" s="20"/>
      <c r="K242" s="20"/>
      <c r="L242" s="20"/>
      <c r="M242" s="20"/>
    </row>
    <row r="243" customFormat="false" ht="36" hidden="false" customHeight="true" outlineLevel="0" collapsed="false">
      <c r="A243" s="18" t="s">
        <v>352</v>
      </c>
      <c r="B243" s="18" t="s">
        <v>356</v>
      </c>
      <c r="C243" s="18"/>
      <c r="D243" s="18"/>
      <c r="E243" s="18"/>
      <c r="F243" s="18"/>
      <c r="G243" s="18" t="s">
        <v>354</v>
      </c>
      <c r="H243" s="20" t="s">
        <v>357</v>
      </c>
      <c r="I243" s="20"/>
      <c r="J243" s="20"/>
      <c r="K243" s="20"/>
      <c r="L243" s="20"/>
      <c r="M243" s="20"/>
    </row>
    <row r="244" customFormat="false" ht="24" hidden="false" customHeight="true" outlineLevel="0" collapsed="false">
      <c r="A244" s="18" t="s">
        <v>352</v>
      </c>
      <c r="B244" s="18" t="s">
        <v>358</v>
      </c>
      <c r="C244" s="18"/>
      <c r="D244" s="18"/>
      <c r="E244" s="18"/>
      <c r="F244" s="18"/>
      <c r="G244" s="18" t="s">
        <v>354</v>
      </c>
      <c r="H244" s="20" t="s">
        <v>359</v>
      </c>
      <c r="I244" s="20"/>
      <c r="J244" s="20"/>
      <c r="K244" s="20"/>
      <c r="L244" s="20"/>
      <c r="M244" s="20"/>
    </row>
    <row r="245" customFormat="false" ht="24" hidden="false" customHeight="true" outlineLevel="0" collapsed="false">
      <c r="A245" s="18" t="s">
        <v>352</v>
      </c>
      <c r="B245" s="18" t="s">
        <v>360</v>
      </c>
      <c r="C245" s="18"/>
      <c r="D245" s="18"/>
      <c r="E245" s="18"/>
      <c r="F245" s="18"/>
      <c r="G245" s="18" t="s">
        <v>354</v>
      </c>
      <c r="H245" s="20" t="s">
        <v>361</v>
      </c>
      <c r="I245" s="20"/>
      <c r="J245" s="20"/>
      <c r="K245" s="20"/>
      <c r="L245" s="20"/>
      <c r="M245" s="20"/>
    </row>
    <row r="246" customFormat="false" ht="36" hidden="false" customHeight="true" outlineLevel="0" collapsed="false">
      <c r="A246" s="18" t="s">
        <v>352</v>
      </c>
      <c r="B246" s="18" t="s">
        <v>362</v>
      </c>
      <c r="C246" s="18"/>
      <c r="D246" s="18"/>
      <c r="E246" s="18"/>
      <c r="F246" s="18"/>
      <c r="G246" s="18" t="s">
        <v>354</v>
      </c>
      <c r="H246" s="20" t="s">
        <v>363</v>
      </c>
      <c r="I246" s="20"/>
      <c r="J246" s="20"/>
      <c r="K246" s="20"/>
      <c r="L246" s="20"/>
      <c r="M246" s="20"/>
    </row>
    <row r="247" customFormat="false" ht="24" hidden="false" customHeight="true" outlineLevel="0" collapsed="false">
      <c r="A247" s="18" t="s">
        <v>352</v>
      </c>
      <c r="B247" s="18" t="s">
        <v>364</v>
      </c>
      <c r="C247" s="18"/>
      <c r="D247" s="18"/>
      <c r="E247" s="18"/>
      <c r="F247" s="18"/>
      <c r="G247" s="18" t="s">
        <v>354</v>
      </c>
      <c r="H247" s="20" t="s">
        <v>365</v>
      </c>
      <c r="I247" s="20"/>
      <c r="J247" s="20"/>
      <c r="K247" s="20"/>
      <c r="L247" s="20"/>
      <c r="M247" s="20"/>
    </row>
    <row r="248" customFormat="false" ht="36" hidden="false" customHeight="true" outlineLevel="0" collapsed="false">
      <c r="A248" s="18" t="s">
        <v>352</v>
      </c>
      <c r="B248" s="18" t="s">
        <v>366</v>
      </c>
      <c r="C248" s="18"/>
      <c r="D248" s="18"/>
      <c r="E248" s="18"/>
      <c r="F248" s="18"/>
      <c r="G248" s="18" t="s">
        <v>354</v>
      </c>
      <c r="H248" s="20" t="s">
        <v>367</v>
      </c>
      <c r="I248" s="20"/>
      <c r="J248" s="20"/>
      <c r="K248" s="20"/>
      <c r="L248" s="20"/>
      <c r="M248" s="20"/>
    </row>
    <row r="249" customFormat="false" ht="15" hidden="false" customHeight="true" outlineLevel="0" collapsed="false">
      <c r="A249" s="18" t="s">
        <v>352</v>
      </c>
      <c r="B249" s="18" t="s">
        <v>368</v>
      </c>
      <c r="C249" s="18"/>
      <c r="D249" s="18"/>
      <c r="E249" s="18"/>
      <c r="F249" s="18"/>
      <c r="G249" s="18" t="s">
        <v>354</v>
      </c>
      <c r="H249" s="20" t="s">
        <v>369</v>
      </c>
      <c r="I249" s="20"/>
      <c r="J249" s="20"/>
      <c r="K249" s="20"/>
      <c r="L249" s="20"/>
      <c r="M249" s="20"/>
    </row>
    <row r="250" customFormat="false" ht="15" hidden="false" customHeight="true" outlineLevel="0" collapsed="false">
      <c r="A250" s="18" t="s">
        <v>352</v>
      </c>
      <c r="B250" s="18" t="s">
        <v>370</v>
      </c>
      <c r="C250" s="18"/>
      <c r="D250" s="18"/>
      <c r="E250" s="18"/>
      <c r="F250" s="18"/>
      <c r="G250" s="18" t="s">
        <v>354</v>
      </c>
      <c r="H250" s="20" t="s">
        <v>371</v>
      </c>
      <c r="I250" s="20"/>
      <c r="J250" s="20"/>
      <c r="K250" s="20"/>
      <c r="L250" s="20"/>
      <c r="M250" s="20"/>
    </row>
    <row r="251" customFormat="false" ht="24" hidden="false" customHeight="true" outlineLevel="0" collapsed="false">
      <c r="A251" s="18" t="s">
        <v>352</v>
      </c>
      <c r="B251" s="18" t="s">
        <v>372</v>
      </c>
      <c r="C251" s="18"/>
      <c r="D251" s="18"/>
      <c r="E251" s="18"/>
      <c r="F251" s="18"/>
      <c r="G251" s="18" t="s">
        <v>354</v>
      </c>
      <c r="H251" s="20" t="s">
        <v>373</v>
      </c>
      <c r="I251" s="20"/>
      <c r="J251" s="20"/>
      <c r="K251" s="20"/>
      <c r="L251" s="20"/>
      <c r="M251" s="20"/>
    </row>
    <row r="252" customFormat="false" ht="36" hidden="false" customHeight="true" outlineLevel="0" collapsed="false">
      <c r="A252" s="18" t="s">
        <v>352</v>
      </c>
      <c r="B252" s="18" t="s">
        <v>374</v>
      </c>
      <c r="C252" s="18"/>
      <c r="D252" s="18"/>
      <c r="E252" s="18"/>
      <c r="F252" s="18"/>
      <c r="G252" s="18" t="s">
        <v>354</v>
      </c>
      <c r="H252" s="20" t="s">
        <v>375</v>
      </c>
      <c r="I252" s="20"/>
      <c r="J252" s="20"/>
      <c r="K252" s="20"/>
      <c r="L252" s="20"/>
      <c r="M252" s="20"/>
    </row>
    <row r="253" customFormat="false" ht="24" hidden="false" customHeight="true" outlineLevel="0" collapsed="false">
      <c r="A253" s="18" t="s">
        <v>352</v>
      </c>
      <c r="B253" s="18" t="s">
        <v>376</v>
      </c>
      <c r="C253" s="18"/>
      <c r="D253" s="18"/>
      <c r="E253" s="18"/>
      <c r="F253" s="18"/>
      <c r="G253" s="18" t="s">
        <v>354</v>
      </c>
      <c r="H253" s="20" t="s">
        <v>377</v>
      </c>
      <c r="I253" s="20"/>
      <c r="J253" s="20"/>
      <c r="K253" s="20"/>
      <c r="L253" s="20"/>
      <c r="M253" s="20"/>
    </row>
    <row r="254" customFormat="false" ht="36" hidden="false" customHeight="true" outlineLevel="0" collapsed="false">
      <c r="A254" s="18" t="s">
        <v>352</v>
      </c>
      <c r="B254" s="18" t="s">
        <v>378</v>
      </c>
      <c r="C254" s="18"/>
      <c r="D254" s="18"/>
      <c r="E254" s="18"/>
      <c r="F254" s="18"/>
      <c r="G254" s="18" t="s">
        <v>354</v>
      </c>
      <c r="H254" s="20" t="s">
        <v>379</v>
      </c>
      <c r="I254" s="20"/>
      <c r="J254" s="20"/>
      <c r="K254" s="20"/>
      <c r="L254" s="20"/>
      <c r="M254" s="20"/>
    </row>
    <row r="255" customFormat="false" ht="60" hidden="false" customHeight="true" outlineLevel="0" collapsed="false">
      <c r="A255" s="18" t="s">
        <v>352</v>
      </c>
      <c r="B255" s="18" t="s">
        <v>380</v>
      </c>
      <c r="C255" s="19" t="n">
        <v>2036</v>
      </c>
      <c r="D255" s="18"/>
      <c r="E255" s="18" t="s">
        <v>242</v>
      </c>
      <c r="F255" s="18" t="s">
        <v>381</v>
      </c>
      <c r="G255" s="18" t="s">
        <v>381</v>
      </c>
      <c r="H255" s="20" t="s">
        <v>382</v>
      </c>
      <c r="I255" s="20"/>
      <c r="J255" s="20" t="s">
        <v>61</v>
      </c>
      <c r="K255" s="20"/>
      <c r="L255" s="20"/>
      <c r="M255" s="20"/>
    </row>
    <row r="256" customFormat="false" ht="60" hidden="false" customHeight="true" outlineLevel="0" collapsed="false">
      <c r="A256" s="18" t="s">
        <v>352</v>
      </c>
      <c r="B256" s="18" t="s">
        <v>383</v>
      </c>
      <c r="C256" s="19" t="n">
        <v>2026</v>
      </c>
      <c r="D256" s="18"/>
      <c r="E256" s="18" t="s">
        <v>242</v>
      </c>
      <c r="F256" s="18" t="s">
        <v>381</v>
      </c>
      <c r="G256" s="18" t="s">
        <v>381</v>
      </c>
      <c r="H256" s="20" t="s">
        <v>384</v>
      </c>
      <c r="I256" s="20"/>
      <c r="J256" s="20" t="s">
        <v>67</v>
      </c>
      <c r="K256" s="20"/>
      <c r="L256" s="20"/>
      <c r="M256" s="20"/>
    </row>
    <row r="257" customFormat="false" ht="48" hidden="false" customHeight="true" outlineLevel="0" collapsed="false">
      <c r="A257" s="18" t="s">
        <v>352</v>
      </c>
      <c r="B257" s="18" t="s">
        <v>385</v>
      </c>
      <c r="C257" s="18"/>
      <c r="D257" s="18"/>
      <c r="E257" s="18" t="s">
        <v>242</v>
      </c>
      <c r="F257" s="18" t="s">
        <v>381</v>
      </c>
      <c r="G257" s="18" t="s">
        <v>381</v>
      </c>
      <c r="H257" s="20" t="s">
        <v>386</v>
      </c>
      <c r="I257" s="20"/>
      <c r="J257" s="20" t="s">
        <v>46</v>
      </c>
      <c r="K257" s="20"/>
      <c r="L257" s="20"/>
      <c r="M257" s="20"/>
    </row>
    <row r="258" customFormat="false" ht="48" hidden="false" customHeight="true" outlineLevel="0" collapsed="false">
      <c r="A258" s="18" t="s">
        <v>352</v>
      </c>
      <c r="B258" s="18" t="s">
        <v>387</v>
      </c>
      <c r="C258" s="18"/>
      <c r="D258" s="18"/>
      <c r="E258" s="18" t="s">
        <v>242</v>
      </c>
      <c r="F258" s="18" t="s">
        <v>381</v>
      </c>
      <c r="G258" s="18" t="s">
        <v>381</v>
      </c>
      <c r="H258" s="20" t="s">
        <v>386</v>
      </c>
      <c r="I258" s="20"/>
      <c r="J258" s="20" t="s">
        <v>48</v>
      </c>
      <c r="K258" s="20"/>
      <c r="L258" s="20"/>
      <c r="M258" s="20"/>
    </row>
    <row r="259" customFormat="false" ht="48" hidden="false" customHeight="true" outlineLevel="0" collapsed="false">
      <c r="A259" s="18" t="s">
        <v>352</v>
      </c>
      <c r="B259" s="18" t="s">
        <v>388</v>
      </c>
      <c r="C259" s="18"/>
      <c r="D259" s="18"/>
      <c r="E259" s="18" t="s">
        <v>242</v>
      </c>
      <c r="F259" s="18" t="s">
        <v>381</v>
      </c>
      <c r="G259" s="18" t="s">
        <v>381</v>
      </c>
      <c r="H259" s="20" t="s">
        <v>386</v>
      </c>
      <c r="I259" s="20"/>
      <c r="J259" s="20" t="s">
        <v>55</v>
      </c>
      <c r="K259" s="20"/>
      <c r="L259" s="20"/>
      <c r="M259" s="20"/>
    </row>
    <row r="260" customFormat="false" ht="48" hidden="false" customHeight="true" outlineLevel="0" collapsed="false">
      <c r="A260" s="18" t="s">
        <v>352</v>
      </c>
      <c r="B260" s="18" t="s">
        <v>389</v>
      </c>
      <c r="C260" s="18"/>
      <c r="D260" s="18"/>
      <c r="E260" s="18" t="s">
        <v>242</v>
      </c>
      <c r="F260" s="18" t="s">
        <v>381</v>
      </c>
      <c r="G260" s="18" t="s">
        <v>381</v>
      </c>
      <c r="H260" s="20" t="s">
        <v>386</v>
      </c>
      <c r="I260" s="20"/>
      <c r="J260" s="20" t="s">
        <v>78</v>
      </c>
      <c r="K260" s="20"/>
      <c r="L260" s="20"/>
      <c r="M260" s="20"/>
    </row>
    <row r="261" customFormat="false" ht="60" hidden="false" customHeight="true" outlineLevel="0" collapsed="false">
      <c r="A261" s="18" t="s">
        <v>352</v>
      </c>
      <c r="B261" s="18" t="s">
        <v>390</v>
      </c>
      <c r="C261" s="19" t="n">
        <v>2026</v>
      </c>
      <c r="D261" s="18"/>
      <c r="E261" s="18" t="s">
        <v>242</v>
      </c>
      <c r="F261" s="18" t="s">
        <v>381</v>
      </c>
      <c r="G261" s="18" t="s">
        <v>381</v>
      </c>
      <c r="H261" s="20" t="s">
        <v>391</v>
      </c>
      <c r="I261" s="20"/>
      <c r="J261" s="20" t="s">
        <v>69</v>
      </c>
      <c r="K261" s="20"/>
      <c r="L261" s="20"/>
      <c r="M261" s="20"/>
    </row>
    <row r="262" customFormat="false" ht="60" hidden="false" customHeight="true" outlineLevel="0" collapsed="false">
      <c r="A262" s="18" t="s">
        <v>352</v>
      </c>
      <c r="B262" s="18" t="s">
        <v>392</v>
      </c>
      <c r="C262" s="19" t="n">
        <v>2036</v>
      </c>
      <c r="D262" s="18"/>
      <c r="E262" s="18" t="s">
        <v>242</v>
      </c>
      <c r="F262" s="18" t="s">
        <v>381</v>
      </c>
      <c r="G262" s="18" t="s">
        <v>381</v>
      </c>
      <c r="H262" s="20" t="s">
        <v>393</v>
      </c>
      <c r="I262" s="20"/>
      <c r="J262" s="20" t="s">
        <v>89</v>
      </c>
      <c r="K262" s="20"/>
      <c r="L262" s="20"/>
      <c r="M262" s="20"/>
    </row>
    <row r="263" customFormat="false" ht="60" hidden="false" customHeight="true" outlineLevel="0" collapsed="false">
      <c r="A263" s="18" t="s">
        <v>352</v>
      </c>
      <c r="B263" s="18" t="s">
        <v>394</v>
      </c>
      <c r="C263" s="19" t="n">
        <v>2041</v>
      </c>
      <c r="D263" s="18"/>
      <c r="E263" s="18" t="s">
        <v>242</v>
      </c>
      <c r="F263" s="18" t="s">
        <v>381</v>
      </c>
      <c r="G263" s="18" t="s">
        <v>381</v>
      </c>
      <c r="H263" s="20" t="s">
        <v>395</v>
      </c>
      <c r="I263" s="20"/>
      <c r="J263" s="20" t="s">
        <v>42</v>
      </c>
      <c r="K263" s="20"/>
      <c r="L263" s="20"/>
      <c r="M263" s="20"/>
    </row>
    <row r="264" customFormat="false" ht="48" hidden="false" customHeight="true" outlineLevel="0" collapsed="false">
      <c r="A264" s="18" t="s">
        <v>352</v>
      </c>
      <c r="B264" s="18" t="s">
        <v>396</v>
      </c>
      <c r="C264" s="18"/>
      <c r="D264" s="18"/>
      <c r="E264" s="18" t="s">
        <v>242</v>
      </c>
      <c r="F264" s="18" t="s">
        <v>381</v>
      </c>
      <c r="G264" s="18" t="s">
        <v>381</v>
      </c>
      <c r="H264" s="20" t="s">
        <v>386</v>
      </c>
      <c r="I264" s="20"/>
      <c r="J264" s="20" t="s">
        <v>85</v>
      </c>
      <c r="K264" s="20"/>
      <c r="L264" s="20"/>
      <c r="M264" s="20"/>
    </row>
    <row r="265" customFormat="false" ht="60" hidden="false" customHeight="true" outlineLevel="0" collapsed="false">
      <c r="A265" s="18" t="s">
        <v>352</v>
      </c>
      <c r="B265" s="18" t="s">
        <v>397</v>
      </c>
      <c r="C265" s="19" t="n">
        <v>2027</v>
      </c>
      <c r="D265" s="18"/>
      <c r="E265" s="18" t="s">
        <v>242</v>
      </c>
      <c r="F265" s="18" t="s">
        <v>381</v>
      </c>
      <c r="G265" s="18" t="s">
        <v>381</v>
      </c>
      <c r="H265" s="20" t="s">
        <v>398</v>
      </c>
      <c r="I265" s="20"/>
      <c r="J265" s="20" t="s">
        <v>36</v>
      </c>
      <c r="K265" s="20"/>
      <c r="L265" s="20"/>
      <c r="M265" s="20"/>
    </row>
    <row r="266" customFormat="false" ht="48" hidden="false" customHeight="true" outlineLevel="0" collapsed="false">
      <c r="A266" s="18" t="s">
        <v>352</v>
      </c>
      <c r="B266" s="18" t="s">
        <v>399</v>
      </c>
      <c r="C266" s="18"/>
      <c r="D266" s="18"/>
      <c r="E266" s="18" t="s">
        <v>242</v>
      </c>
      <c r="F266" s="18" t="s">
        <v>381</v>
      </c>
      <c r="G266" s="18" t="s">
        <v>381</v>
      </c>
      <c r="H266" s="20" t="s">
        <v>386</v>
      </c>
      <c r="I266" s="20"/>
      <c r="J266" s="20" t="s">
        <v>76</v>
      </c>
      <c r="K266" s="20"/>
      <c r="L266" s="20"/>
      <c r="M266" s="20"/>
    </row>
    <row r="267" customFormat="false" ht="48" hidden="false" customHeight="true" outlineLevel="0" collapsed="false">
      <c r="A267" s="18" t="s">
        <v>352</v>
      </c>
      <c r="B267" s="18" t="s">
        <v>400</v>
      </c>
      <c r="C267" s="18"/>
      <c r="D267" s="18"/>
      <c r="E267" s="18" t="s">
        <v>242</v>
      </c>
      <c r="F267" s="18" t="s">
        <v>381</v>
      </c>
      <c r="G267" s="18" t="s">
        <v>381</v>
      </c>
      <c r="H267" s="20" t="s">
        <v>386</v>
      </c>
      <c r="I267" s="20"/>
      <c r="J267" s="20" t="s">
        <v>87</v>
      </c>
      <c r="K267" s="20"/>
      <c r="L267" s="20"/>
      <c r="M267" s="20"/>
    </row>
    <row r="268" customFormat="false" ht="48" hidden="false" customHeight="true" outlineLevel="0" collapsed="false">
      <c r="A268" s="18" t="s">
        <v>352</v>
      </c>
      <c r="B268" s="18" t="s">
        <v>401</v>
      </c>
      <c r="C268" s="18"/>
      <c r="D268" s="18"/>
      <c r="E268" s="18" t="s">
        <v>242</v>
      </c>
      <c r="F268" s="18" t="s">
        <v>381</v>
      </c>
      <c r="G268" s="18" t="s">
        <v>381</v>
      </c>
      <c r="H268" s="20" t="s">
        <v>386</v>
      </c>
      <c r="I268" s="20"/>
      <c r="J268" s="20" t="s">
        <v>80</v>
      </c>
      <c r="K268" s="20"/>
      <c r="L268" s="20"/>
      <c r="M268" s="20"/>
    </row>
    <row r="269" customFormat="false" ht="60" hidden="false" customHeight="true" outlineLevel="0" collapsed="false">
      <c r="A269" s="18" t="s">
        <v>352</v>
      </c>
      <c r="B269" s="18" t="s">
        <v>402</v>
      </c>
      <c r="C269" s="19" t="n">
        <v>2027</v>
      </c>
      <c r="D269" s="18"/>
      <c r="E269" s="18" t="s">
        <v>242</v>
      </c>
      <c r="F269" s="18" t="s">
        <v>381</v>
      </c>
      <c r="G269" s="18" t="s">
        <v>381</v>
      </c>
      <c r="H269" s="20" t="s">
        <v>398</v>
      </c>
      <c r="I269" s="20"/>
      <c r="J269" s="20" t="s">
        <v>44</v>
      </c>
      <c r="K269" s="20"/>
      <c r="L269" s="20"/>
      <c r="M269" s="20"/>
    </row>
    <row r="270" customFormat="false" ht="48" hidden="false" customHeight="true" outlineLevel="0" collapsed="false">
      <c r="A270" s="18" t="s">
        <v>352</v>
      </c>
      <c r="B270" s="18" t="s">
        <v>403</v>
      </c>
      <c r="C270" s="18"/>
      <c r="D270" s="18"/>
      <c r="E270" s="18" t="s">
        <v>242</v>
      </c>
      <c r="F270" s="18" t="s">
        <v>381</v>
      </c>
      <c r="G270" s="18" t="s">
        <v>381</v>
      </c>
      <c r="H270" s="20" t="s">
        <v>386</v>
      </c>
      <c r="I270" s="20"/>
      <c r="J270" s="20" t="s">
        <v>73</v>
      </c>
      <c r="K270" s="20"/>
      <c r="L270" s="20"/>
      <c r="M270" s="20"/>
    </row>
    <row r="271" customFormat="false" ht="48" hidden="false" customHeight="true" outlineLevel="0" collapsed="false">
      <c r="A271" s="18" t="s">
        <v>352</v>
      </c>
      <c r="B271" s="18" t="s">
        <v>404</v>
      </c>
      <c r="C271" s="18"/>
      <c r="D271" s="18"/>
      <c r="E271" s="18" t="s">
        <v>242</v>
      </c>
      <c r="F271" s="18" t="s">
        <v>381</v>
      </c>
      <c r="G271" s="18" t="s">
        <v>381</v>
      </c>
      <c r="H271" s="20" t="s">
        <v>386</v>
      </c>
      <c r="I271" s="20"/>
      <c r="J271" s="20" t="s">
        <v>65</v>
      </c>
      <c r="K271" s="20"/>
      <c r="L271" s="20"/>
      <c r="M271" s="20"/>
    </row>
    <row r="272" customFormat="false" ht="60" hidden="false" customHeight="true" outlineLevel="0" collapsed="false">
      <c r="A272" s="18" t="s">
        <v>352</v>
      </c>
      <c r="B272" s="18" t="s">
        <v>405</v>
      </c>
      <c r="C272" s="19" t="n">
        <v>2033</v>
      </c>
      <c r="D272" s="18"/>
      <c r="E272" s="18" t="s">
        <v>242</v>
      </c>
      <c r="F272" s="18" t="s">
        <v>381</v>
      </c>
      <c r="G272" s="18" t="s">
        <v>381</v>
      </c>
      <c r="H272" s="20" t="s">
        <v>406</v>
      </c>
      <c r="I272" s="20"/>
      <c r="J272" s="20" t="s">
        <v>63</v>
      </c>
      <c r="K272" s="20"/>
      <c r="L272" s="20"/>
      <c r="M272" s="20"/>
    </row>
    <row r="273" customFormat="false" ht="60" hidden="false" customHeight="true" outlineLevel="0" collapsed="false">
      <c r="A273" s="18" t="s">
        <v>352</v>
      </c>
      <c r="B273" s="18" t="s">
        <v>407</v>
      </c>
      <c r="C273" s="19" t="n">
        <v>2034</v>
      </c>
      <c r="D273" s="18"/>
      <c r="E273" s="18" t="s">
        <v>242</v>
      </c>
      <c r="F273" s="18" t="s">
        <v>381</v>
      </c>
      <c r="G273" s="18" t="s">
        <v>381</v>
      </c>
      <c r="H273" s="20" t="s">
        <v>408</v>
      </c>
      <c r="I273" s="20"/>
      <c r="J273" s="20" t="s">
        <v>56</v>
      </c>
      <c r="K273" s="20"/>
      <c r="L273" s="20"/>
      <c r="M273" s="20"/>
    </row>
    <row r="274" customFormat="false" ht="60" hidden="false" customHeight="true" outlineLevel="0" collapsed="false">
      <c r="A274" s="18" t="s">
        <v>352</v>
      </c>
      <c r="B274" s="18" t="s">
        <v>409</v>
      </c>
      <c r="C274" s="18"/>
      <c r="D274" s="18"/>
      <c r="E274" s="18" t="s">
        <v>242</v>
      </c>
      <c r="F274" s="18" t="s">
        <v>381</v>
      </c>
      <c r="G274" s="18" t="s">
        <v>381</v>
      </c>
      <c r="H274" s="20" t="s">
        <v>410</v>
      </c>
      <c r="I274" s="20"/>
      <c r="J274" s="20" t="s">
        <v>82</v>
      </c>
      <c r="K274" s="20"/>
      <c r="L274" s="20"/>
      <c r="M274" s="20"/>
    </row>
    <row r="275" customFormat="false" ht="60" hidden="false" customHeight="true" outlineLevel="0" collapsed="false">
      <c r="A275" s="18" t="s">
        <v>352</v>
      </c>
      <c r="B275" s="18" t="s">
        <v>411</v>
      </c>
      <c r="C275" s="18"/>
      <c r="D275" s="18"/>
      <c r="E275" s="18" t="s">
        <v>242</v>
      </c>
      <c r="F275" s="18" t="s">
        <v>381</v>
      </c>
      <c r="G275" s="18" t="s">
        <v>381</v>
      </c>
      <c r="H275" s="20" t="s">
        <v>410</v>
      </c>
      <c r="I275" s="20"/>
      <c r="J275" s="20" t="s">
        <v>58</v>
      </c>
      <c r="K275" s="20"/>
      <c r="L275" s="20"/>
      <c r="M275" s="20"/>
    </row>
    <row r="276" customFormat="false" ht="60" hidden="false" customHeight="true" outlineLevel="0" collapsed="false">
      <c r="A276" s="18" t="s">
        <v>352</v>
      </c>
      <c r="B276" s="18" t="s">
        <v>412</v>
      </c>
      <c r="C276" s="19" t="n">
        <v>2033</v>
      </c>
      <c r="D276" s="18"/>
      <c r="E276" s="18" t="s">
        <v>242</v>
      </c>
      <c r="F276" s="18" t="s">
        <v>381</v>
      </c>
      <c r="G276" s="18" t="s">
        <v>381</v>
      </c>
      <c r="H276" s="20" t="s">
        <v>413</v>
      </c>
      <c r="I276" s="20"/>
      <c r="J276" s="20" t="s">
        <v>53</v>
      </c>
      <c r="K276" s="20"/>
      <c r="L276" s="20"/>
      <c r="M276" s="20"/>
    </row>
    <row r="277" customFormat="false" ht="60" hidden="false" customHeight="true" outlineLevel="0" collapsed="false">
      <c r="A277" s="18" t="s">
        <v>352</v>
      </c>
      <c r="B277" s="18" t="s">
        <v>414</v>
      </c>
      <c r="C277" s="19" t="n">
        <v>2041</v>
      </c>
      <c r="D277" s="18"/>
      <c r="E277" s="18" t="s">
        <v>242</v>
      </c>
      <c r="F277" s="18" t="s">
        <v>381</v>
      </c>
      <c r="G277" s="18" t="s">
        <v>381</v>
      </c>
      <c r="H277" s="20" t="s">
        <v>395</v>
      </c>
      <c r="I277" s="20"/>
      <c r="J277" s="20" t="s">
        <v>49</v>
      </c>
      <c r="K277" s="20"/>
      <c r="L277" s="20"/>
      <c r="M277" s="20"/>
    </row>
    <row r="278" customFormat="false" ht="60" hidden="false" customHeight="true" outlineLevel="0" collapsed="false">
      <c r="A278" s="18" t="s">
        <v>352</v>
      </c>
      <c r="B278" s="18" t="s">
        <v>415</v>
      </c>
      <c r="C278" s="19" t="n">
        <v>2026</v>
      </c>
      <c r="D278" s="18"/>
      <c r="E278" s="18" t="s">
        <v>242</v>
      </c>
      <c r="F278" s="18" t="s">
        <v>381</v>
      </c>
      <c r="G278" s="18" t="s">
        <v>381</v>
      </c>
      <c r="H278" s="20" t="s">
        <v>416</v>
      </c>
      <c r="I278" s="20"/>
      <c r="J278" s="20" t="s">
        <v>38</v>
      </c>
      <c r="K278" s="20"/>
      <c r="L278" s="20"/>
      <c r="M278" s="20"/>
    </row>
    <row r="279" customFormat="false" ht="48" hidden="false" customHeight="true" outlineLevel="0" collapsed="false">
      <c r="A279" s="18" t="s">
        <v>352</v>
      </c>
      <c r="B279" s="18" t="s">
        <v>417</v>
      </c>
      <c r="C279" s="18"/>
      <c r="D279" s="18"/>
      <c r="E279" s="18" t="s">
        <v>242</v>
      </c>
      <c r="F279" s="18" t="s">
        <v>381</v>
      </c>
      <c r="G279" s="18" t="s">
        <v>381</v>
      </c>
      <c r="H279" s="20" t="s">
        <v>386</v>
      </c>
      <c r="I279" s="20"/>
      <c r="J279" s="20" t="s">
        <v>71</v>
      </c>
      <c r="K279" s="20"/>
      <c r="L279" s="20"/>
      <c r="M279" s="20"/>
    </row>
    <row r="280" customFormat="false" ht="60" hidden="false" customHeight="true" outlineLevel="0" collapsed="false">
      <c r="A280" s="18" t="s">
        <v>352</v>
      </c>
      <c r="B280" s="18" t="s">
        <v>418</v>
      </c>
      <c r="C280" s="19" t="n">
        <v>2026</v>
      </c>
      <c r="D280" s="18"/>
      <c r="E280" s="18" t="s">
        <v>242</v>
      </c>
      <c r="F280" s="18" t="s">
        <v>381</v>
      </c>
      <c r="G280" s="18" t="s">
        <v>381</v>
      </c>
      <c r="H280" s="20" t="s">
        <v>419</v>
      </c>
      <c r="I280" s="20"/>
      <c r="J280" s="20" t="s">
        <v>40</v>
      </c>
      <c r="K280" s="20"/>
      <c r="L280" s="20"/>
      <c r="M280" s="20"/>
    </row>
    <row r="281" customFormat="false" ht="60" hidden="false" customHeight="true" outlineLevel="0" collapsed="false">
      <c r="A281" s="18" t="s">
        <v>352</v>
      </c>
      <c r="B281" s="18" t="s">
        <v>420</v>
      </c>
      <c r="C281" s="19" t="n">
        <v>2026</v>
      </c>
      <c r="D281" s="18"/>
      <c r="E281" s="18" t="s">
        <v>242</v>
      </c>
      <c r="F281" s="18" t="s">
        <v>381</v>
      </c>
      <c r="G281" s="18" t="s">
        <v>381</v>
      </c>
      <c r="H281" s="20" t="s">
        <v>421</v>
      </c>
      <c r="I281" s="20"/>
      <c r="J281" s="20" t="s">
        <v>59</v>
      </c>
      <c r="K281" s="20"/>
      <c r="L281" s="20"/>
      <c r="M281" s="20"/>
    </row>
    <row r="282" customFormat="false" ht="60" hidden="false" customHeight="true" outlineLevel="0" collapsed="false">
      <c r="A282" s="18" t="s">
        <v>352</v>
      </c>
      <c r="B282" s="18" t="s">
        <v>422</v>
      </c>
      <c r="C282" s="19" t="n">
        <v>2027</v>
      </c>
      <c r="D282" s="18"/>
      <c r="E282" s="18" t="s">
        <v>242</v>
      </c>
      <c r="F282" s="18" t="s">
        <v>381</v>
      </c>
      <c r="G282" s="18" t="s">
        <v>381</v>
      </c>
      <c r="H282" s="20" t="s">
        <v>398</v>
      </c>
      <c r="I282" s="20"/>
      <c r="J282" s="20" t="s">
        <v>51</v>
      </c>
      <c r="K282" s="20"/>
      <c r="L282" s="20"/>
      <c r="M282" s="20"/>
    </row>
    <row r="283" customFormat="false" ht="48" hidden="false" customHeight="true" outlineLevel="0" collapsed="false">
      <c r="A283" s="18" t="s">
        <v>352</v>
      </c>
      <c r="B283" s="18" t="s">
        <v>423</v>
      </c>
      <c r="C283" s="18"/>
      <c r="D283" s="18"/>
      <c r="E283" s="18" t="s">
        <v>242</v>
      </c>
      <c r="F283" s="18" t="s">
        <v>381</v>
      </c>
      <c r="G283" s="18" t="s">
        <v>381</v>
      </c>
      <c r="H283" s="20" t="s">
        <v>386</v>
      </c>
      <c r="I283" s="20"/>
      <c r="J283" s="20" t="s">
        <v>75</v>
      </c>
      <c r="K283" s="20"/>
      <c r="L283" s="20"/>
      <c r="M283" s="20"/>
    </row>
    <row r="284" customFormat="false" ht="48" hidden="false" customHeight="true" outlineLevel="0" collapsed="false">
      <c r="A284" s="18" t="s">
        <v>352</v>
      </c>
      <c r="B284" s="18" t="s">
        <v>424</v>
      </c>
      <c r="C284" s="18"/>
      <c r="D284" s="18"/>
      <c r="E284" s="18" t="s">
        <v>242</v>
      </c>
      <c r="F284" s="18" t="s">
        <v>381</v>
      </c>
      <c r="G284" s="18" t="s">
        <v>381</v>
      </c>
      <c r="H284" s="20" t="s">
        <v>386</v>
      </c>
      <c r="I284" s="20"/>
      <c r="J284" s="20" t="s">
        <v>84</v>
      </c>
      <c r="K284" s="20"/>
      <c r="L284" s="20"/>
      <c r="M284" s="20"/>
    </row>
  </sheetData>
  <autoFilter ref="A1:M28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2026-10-03T22:41:27Z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