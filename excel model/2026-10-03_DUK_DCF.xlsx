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tility Model" sheetId="1" state="visible" r:id="rId3"/>
    <sheet name="Input Required" sheetId="2" state="visible" r:id="rId4"/>
    <sheet name="Data Review" sheetId="3" state="visible" r:id="rId5"/>
  </sheets>
  <definedNames>
    <definedName function="false" hidden="true" localSheetId="2" name="_xlnm._FilterDatabase" vbProcedure="false">'Data Review'!$A$4:$I$19</definedName>
    <definedName function="false" hidden="true" localSheetId="1" name="_xlnm._FilterDatabase" vbProcedure="false">'Input Required'!$A$5:$H$20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<sst xmlns="http://schemas.openxmlformats.org/spreadsheetml/2006/main" count="257" uniqueCount="108">
  <si>
    <t xml:space="preserve">Regulated Utility Rate-Base DDM — DUK</t>
  </si>
  <si>
    <t xml:space="preserve">Duke Energy CORP</t>
  </si>
  <si>
    <t xml:space="preserve">Direct common-equity dividend DCF. Rate-base additions, depreciation, authorized returns, and payout inputs are visible below; no enterprise value or corporate FCFF is calculated.</t>
  </si>
  <si>
    <t xml:space="preserve">Model status</t>
  </si>
  <si>
    <t xml:space="preserve">Current Market Inputs</t>
  </si>
  <si>
    <t xml:space="preserve">Value</t>
  </si>
  <si>
    <t xml:space="preserve">Source / as-of date</t>
  </si>
  <si>
    <t xml:space="preserve">Current risk-free rate</t>
  </si>
  <si>
    <t xml:space="preserve">live as of 2026-10-03</t>
  </si>
  <si>
    <t xml:space="preserve">FY2025 regulated rate base</t>
  </si>
  <si>
    <t xml:space="preserve">Current equity-risk premium</t>
  </si>
  <si>
    <t xml:space="preserve">Current utility beta</t>
  </si>
  <si>
    <t xml:space="preserve">openbb_yfinance as of 2026-10-03</t>
  </si>
  <si>
    <t xml:space="preserve">Rate-base roll-forward</t>
  </si>
  <si>
    <t xml:space="preserve">Opening regulated rate base</t>
  </si>
  <si>
    <t xml:space="preserve">SEC accession 0001326160-26-000014, filed 2026-02-26</t>
  </si>
  <si>
    <t xml:space="preserve">Approved additions entering rate base</t>
  </si>
  <si>
    <t xml:space="preserve">Rate-base depreciation and retirements</t>
  </si>
  <si>
    <t xml:space="preserve">Closing regulated rate base</t>
  </si>
  <si>
    <t xml:space="preserve">Average regulated rate base</t>
  </si>
  <si>
    <t xml:space="preserve">Authorized common-equity ratio</t>
  </si>
  <si>
    <t xml:space="preserve">Allowed return on common equity</t>
  </si>
  <si>
    <t xml:space="preserve">Allowed equity earnings proxy</t>
  </si>
  <si>
    <t xml:space="preserve">Common dividend payout ratio</t>
  </si>
  <si>
    <t xml:space="preserve">Forecast common dividends</t>
  </si>
  <si>
    <t xml:space="preserve">Dividend discount factor</t>
  </si>
  <si>
    <t xml:space="preserve">Present value of common dividends</t>
  </si>
  <si>
    <t xml:space="preserve">Common-equity dividend DCF</t>
  </si>
  <si>
    <t xml:space="preserve">Cost of equity (CAPM)</t>
  </si>
  <si>
    <t xml:space="preserve">Terminal dividend growth</t>
  </si>
  <si>
    <t xml:space="preserve">Terminal value</t>
  </si>
  <si>
    <t xml:space="preserve">Present value of terminal value</t>
  </si>
  <si>
    <t xml:space="preserve">Present value of forecast dividends</t>
  </si>
  <si>
    <t xml:space="preserve">Common-equity value</t>
  </si>
  <si>
    <t xml:space="preserve">Diluted shares (millions)</t>
  </si>
  <si>
    <t xml:space="preserve">Implied value per share</t>
  </si>
  <si>
    <t xml:space="preserve">Current share price</t>
  </si>
  <si>
    <t xml:space="preserve">Implied upside / (downside)</t>
  </si>
  <si>
    <t xml:space="preserve">Per-share sensitivity — cost of equity vs. terminal growth</t>
  </si>
  <si>
    <t xml:space="preserve">Cost of equity / terminal growth</t>
  </si>
  <si>
    <t xml:space="preserve">INCOMPLETE MODEL — Duke Energy CORP (DUK)</t>
  </si>
  <si>
    <t xml:space="preserve">Model family: utility_dcf. No valuation has been calculated because required inputs are missing.</t>
  </si>
  <si>
    <t xml:space="preserve">Input key</t>
  </si>
  <si>
    <t xml:space="preserve">Required input</t>
  </si>
  <si>
    <t xml:space="preserve">Period</t>
  </si>
  <si>
    <t xml:space="preserve">Unit</t>
  </si>
  <si>
    <t xml:space="preserve">Why required</t>
  </si>
  <si>
    <t xml:space="preserve">Enter value</t>
  </si>
  <si>
    <t xml:space="preserve">Source / reference</t>
  </si>
  <si>
    <t xml:space="preserve">Source required</t>
  </si>
  <si>
    <t xml:space="preserve">jurisdictional_rate_base</t>
  </si>
  <si>
    <t xml:space="preserve">Latest regulated jurisdictional rate base</t>
  </si>
  <si>
    <t xml:space="preserve">FY2025</t>
  </si>
  <si>
    <t xml:space="preserve">USD actual</t>
  </si>
  <si>
    <t xml:space="preserve">Regulated utility valuation needs source-backed jurisdictional rate base, allowed ROE, authorized equity ratio, and approved rate-base additions. Enter the missing regulatory facts and forecast inputs in the utility workbook. Fiscal year 2025. Use the regulated operating-company scope stated in the source reference.</t>
  </si>
  <si>
    <t xml:space="preserve">Yes</t>
  </si>
  <si>
    <t xml:space="preserve">allowed_roe</t>
  </si>
  <si>
    <t xml:space="preserve">Current authorized return on common equity</t>
  </si>
  <si>
    <t xml:space="preserve">ratio</t>
  </si>
  <si>
    <t xml:space="preserve">Regulated utility valuation needs source-backed jurisdictional rate base, allowed ROE, authorized equity ratio, and approved rate-base additions. Enter the missing regulatory facts and forecast inputs in the utility workbook.</t>
  </si>
  <si>
    <t xml:space="preserve">authorized_equity_ratio</t>
  </si>
  <si>
    <t xml:space="preserve">Authorized common-equity share of capital structure</t>
  </si>
  <si>
    <t xml:space="preserve">rate_base_additions</t>
  </si>
  <si>
    <t xml:space="preserve">FY2026</t>
  </si>
  <si>
    <t xml:space="preserve">Regulated utility valuation needs source-backed jurisdictional rate base, allowed ROE, authorized equity ratio, and approved rate-base additions. Enter the missing regulatory facts and forecast inputs in the utility workbook. Enter each forecast-year value and its source or forecast basis. Fiscal year 2026.</t>
  </si>
  <si>
    <t xml:space="preserve">FY2027</t>
  </si>
  <si>
    <t xml:space="preserve">Regulated utility valuation needs source-backed jurisdictional rate base, allowed ROE, authorized equity ratio, and approved rate-base additions. Enter the missing regulatory facts and forecast inputs in the utility workbook. Enter each forecast-year value and its source or forecast basis. Fiscal year 2027.</t>
  </si>
  <si>
    <t xml:space="preserve">FY2028</t>
  </si>
  <si>
    <t xml:space="preserve">Regulated utility valuation needs source-backed jurisdictional rate base, allowed ROE, authorized equity ratio, and approved rate-base additions. Enter the missing regulatory facts and forecast inputs in the utility workbook. Enter each forecast-year value and its source or forecast basis. Fiscal year 2028.</t>
  </si>
  <si>
    <t xml:space="preserve">FY2029</t>
  </si>
  <si>
    <t xml:space="preserve">Regulated utility valuation needs source-backed jurisdictional rate base, allowed ROE, authorized equity ratio, and approved rate-base additions. Enter the missing regulatory facts and forecast inputs in the utility workbook. Enter each forecast-year value and its source or forecast basis. Fiscal year 2029.</t>
  </si>
  <si>
    <t xml:space="preserve">FY2030</t>
  </si>
  <si>
    <t xml:space="preserve">Regulated utility valuation needs source-backed jurisdictional rate base, allowed ROE, authorized equity ratio, and approved rate-base additions. Enter the missing regulatory facts and forecast inputs in the utility workbook. Enter each forecast-year value and its source or forecast basis. Fiscal year 2030.</t>
  </si>
  <si>
    <t xml:space="preserve">rate_base_depreciation</t>
  </si>
  <si>
    <t xml:space="preserve">Regulated utility valuation needs source-backed jurisdictional rate base, allowed ROE, authorized equity ratio, and approved rate-base additions. Enter the missing regulatory facts and forecast inputs in the utility workbook. Enter each forecast-year value and its source or forecast basis. Fiscal year 2026; label the forecast basis in the workbook.</t>
  </si>
  <si>
    <t xml:space="preserve">No</t>
  </si>
  <si>
    <t xml:space="preserve">Regulated utility valuation needs source-backed jurisdictional rate base, allowed ROE, authorized equity ratio, and approved rate-base additions. Enter the missing regulatory facts and forecast inputs in the utility workbook. Enter each forecast-year value and its source or forecast basis. Fiscal year 2027; label the forecast basis in the workbook.</t>
  </si>
  <si>
    <t xml:space="preserve">Regulated utility valuation needs source-backed jurisdictional rate base, allowed ROE, authorized equity ratio, and approved rate-base additions. Enter the missing regulatory facts and forecast inputs in the utility workbook. Enter each forecast-year value and its source or forecast basis. Fiscal year 2028; label the forecast basis in the workbook.</t>
  </si>
  <si>
    <t xml:space="preserve">Regulated utility valuation needs source-backed jurisdictional rate base, allowed ROE, authorized equity ratio, and approved rate-base additions. Enter the missing regulatory facts and forecast inputs in the utility workbook. Enter each forecast-year value and its source or forecast basis. Fiscal year 2029; label the forecast basis in the workbook.</t>
  </si>
  <si>
    <t xml:space="preserve">Regulated utility valuation needs source-backed jurisdictional rate base, allowed ROE, authorized equity ratio, and approved rate-base additions. Enter the missing regulatory facts and forecast inputs in the utility workbook. Enter each forecast-year value and its source or forecast basis. Fiscal year 2030; label the forecast basis in the workbook.</t>
  </si>
  <si>
    <t xml:space="preserve">dividend_payout_ratio</t>
  </si>
  <si>
    <t xml:space="preserve">Forecast common-dividend payout ratio</t>
  </si>
  <si>
    <t xml:space="preserve">Regulated utility valuation needs source-backed jurisdictional rate base, allowed ROE, authorized equity ratio, and approved rate-base additions. Enter the missing regulatory facts and forecast inputs in the utility workbook. State the intended payout policy or attach the source basis.</t>
  </si>
  <si>
    <t xml:space="preserve">terminal_growth_rate</t>
  </si>
  <si>
    <t xml:space="preserve">Long-run regulated dividend growth</t>
  </si>
  <si>
    <t xml:space="preserve">Regulated utility valuation needs source-backed jurisdictional rate base, allowed ROE, authorized equity ratio, and approved rate-base additions. Enter the missing regulatory facts and forecast inputs in the utility workbook. Keep terminal growth below cost of equity (8.33%).</t>
  </si>
  <si>
    <t xml:space="preserve">Required input review</t>
  </si>
  <si>
    <t xml:space="preserve">Fill blue input cells on Input Required. Reported facts require a source reference; missing values are not zero.</t>
  </si>
  <si>
    <t xml:space="preserve">Status</t>
  </si>
  <si>
    <t xml:space="preserve">Source status</t>
  </si>
  <si>
    <t xml:space="preserve">Reason</t>
  </si>
  <si>
    <t xml:space="preserve">Workbook cell</t>
  </si>
  <si>
    <t xml:space="preserve">missing</t>
  </si>
  <si>
    <t xml:space="preserve">Input Required!F6</t>
  </si>
  <si>
    <t xml:space="preserve">Input Required!F7</t>
  </si>
  <si>
    <t xml:space="preserve">Input Required!F8</t>
  </si>
  <si>
    <t xml:space="preserve">Input Required!F9</t>
  </si>
  <si>
    <t xml:space="preserve">Input Required!F10</t>
  </si>
  <si>
    <t xml:space="preserve">Input Required!F11</t>
  </si>
  <si>
    <t xml:space="preserve">Input Required!F12</t>
  </si>
  <si>
    <t xml:space="preserve">Input Required!F13</t>
  </si>
  <si>
    <t xml:space="preserve">Input Required!F14</t>
  </si>
  <si>
    <t xml:space="preserve">Input Required!F15</t>
  </si>
  <si>
    <t xml:space="preserve">Input Required!F16</t>
  </si>
  <si>
    <t xml:space="preserve">Input Required!F17</t>
  </si>
  <si>
    <t xml:space="preserve">Input Required!F18</t>
  </si>
  <si>
    <t xml:space="preserve">Input Required!F19</t>
  </si>
  <si>
    <t xml:space="preserve">Input Required!F20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</si>
</sst>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(0.0%\);\-"/>
    <numFmt numFmtId="166" formatCode="#,##0.0;\(#,##0.0\);\-"/>
    <numFmt numFmtId="167" formatCode="&quot;FY&quot;0"/>
    <numFmt numFmtId="168" formatCode="0.0\x"/>
    <numFmt numFmtId="169" formatCode="0.000\x"/>
    <numFmt numFmtId="170" formatCode="\$0.00;&quot;($&quot;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17365D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365F91"/>
        <bgColor rgb="FF333399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365F9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5F91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9"/>
    <col collapsed="false" customWidth="true" hidden="false" outlineLevel="0" max="7" min="3" style="0" width="15"/>
    <col collapsed="false" customWidth="true" hidden="false" outlineLevel="0" max="9" min="9" style="0" width="32"/>
    <col collapsed="false" customWidth="true" hidden="false" outlineLevel="0" max="10" min="10" style="0" width="15"/>
    <col collapsed="false" customWidth="true" hidden="false" outlineLevel="0" max="11" min="11" style="0" width="5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</row>
    <row r="3" customFormat="false" ht="33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0" t="s">
        <v>3</v>
      </c>
      <c r="B4" s="4" t="str">
        <f aca="false">'Input Required'!$B$3</f>
        <v>INCOMPLETE — fill required inputs</v>
      </c>
      <c r="I4" s="5" t="s">
        <v>4</v>
      </c>
      <c r="J4" s="5" t="s">
        <v>5</v>
      </c>
      <c r="K4" s="5" t="s">
        <v>6</v>
      </c>
    </row>
    <row r="5" customFormat="false" ht="15" hidden="false" customHeight="false" outlineLevel="0" collapsed="false">
      <c r="I5" s="0" t="s">
        <v>7</v>
      </c>
      <c r="J5" s="6" t="n">
        <v>0.0527699995040894</v>
      </c>
      <c r="K5" s="7" t="s">
        <v>8</v>
      </c>
    </row>
    <row r="6" customFormat="false" ht="15" hidden="false" customHeight="false" outlineLevel="0" collapsed="false">
      <c r="A6" s="8" t="s">
        <v>9</v>
      </c>
      <c r="B6" s="9" t="str">
        <f aca="false">IF('Input Required'!$B$3&lt;&gt;"READY","",'Input Required'!F6/1000000)</f>
        <v/>
      </c>
      <c r="I6" s="0" t="s">
        <v>10</v>
      </c>
      <c r="J6" s="6" t="n">
        <v>0.0838371068129586</v>
      </c>
      <c r="K6" s="7" t="s">
        <v>8</v>
      </c>
    </row>
    <row r="7" customFormat="false" ht="15" hidden="false" customHeight="false" outlineLevel="0" collapsed="false">
      <c r="A7" s="8"/>
      <c r="B7" s="8"/>
      <c r="C7" s="10" t="n">
        <v>2026</v>
      </c>
      <c r="D7" s="10" t="n">
        <v>2027</v>
      </c>
      <c r="E7" s="10" t="n">
        <v>2028</v>
      </c>
      <c r="F7" s="10" t="n">
        <v>2029</v>
      </c>
      <c r="G7" s="10" t="n">
        <v>2030</v>
      </c>
      <c r="I7" s="0" t="s">
        <v>11</v>
      </c>
      <c r="J7" s="11" t="n">
        <v>0.364</v>
      </c>
      <c r="K7" s="7" t="s">
        <v>12</v>
      </c>
    </row>
    <row r="8" customFormat="false" ht="15" hidden="false" customHeight="false" outlineLevel="0" collapsed="false">
      <c r="A8" s="12" t="s">
        <v>13</v>
      </c>
      <c r="B8" s="8"/>
      <c r="K8" s="0" t="s">
        <v>12</v>
      </c>
    </row>
    <row r="9" customFormat="false" ht="15" hidden="false" customHeight="false" outlineLevel="0" collapsed="false">
      <c r="A9" s="8" t="s">
        <v>14</v>
      </c>
      <c r="B9" s="8"/>
      <c r="C9" s="13" t="str">
        <f aca="false">$B$6</f>
        <v/>
      </c>
      <c r="D9" s="13" t="str">
        <f aca="false">C12</f>
        <v/>
      </c>
      <c r="E9" s="13" t="str">
        <f aca="false">D12</f>
        <v/>
      </c>
      <c r="F9" s="13" t="str">
        <f aca="false">E12</f>
        <v/>
      </c>
      <c r="G9" s="13" t="str">
        <f aca="false">F12</f>
        <v/>
      </c>
      <c r="K9" s="0" t="s">
        <v>15</v>
      </c>
    </row>
    <row r="10" customFormat="false" ht="15" hidden="false" customHeight="false" outlineLevel="0" collapsed="false">
      <c r="A10" s="8" t="s">
        <v>16</v>
      </c>
      <c r="B10" s="8"/>
      <c r="C10" s="13" t="str">
        <f aca="false">IF('Input Required'!$B$3&lt;&gt;"READY","",'Input Required'!F9/1000000)</f>
        <v/>
      </c>
      <c r="D10" s="13" t="str">
        <f aca="false">IF('Input Required'!$B$3&lt;&gt;"READY","",'Input Required'!F10/1000000)</f>
        <v/>
      </c>
      <c r="E10" s="13" t="str">
        <f aca="false">IF('Input Required'!$B$3&lt;&gt;"READY","",'Input Required'!F11/1000000)</f>
        <v/>
      </c>
      <c r="F10" s="13" t="str">
        <f aca="false">IF('Input Required'!$B$3&lt;&gt;"READY","",'Input Required'!F12/1000000)</f>
        <v/>
      </c>
      <c r="G10" s="13" t="str">
        <f aca="false">IF('Input Required'!$B$3&lt;&gt;"READY","",'Input Required'!F13/1000000)</f>
        <v/>
      </c>
    </row>
    <row r="11" customFormat="false" ht="15" hidden="false" customHeight="false" outlineLevel="0" collapsed="false">
      <c r="A11" s="8" t="s">
        <v>17</v>
      </c>
      <c r="B11" s="8"/>
      <c r="C11" s="13" t="str">
        <f aca="false">IF('Input Required'!$B$3&lt;&gt;"READY","",'Input Required'!F14/1000000)</f>
        <v/>
      </c>
      <c r="D11" s="13" t="str">
        <f aca="false">IF('Input Required'!$B$3&lt;&gt;"READY","",'Input Required'!F15/1000000)</f>
        <v/>
      </c>
      <c r="E11" s="13" t="str">
        <f aca="false">IF('Input Required'!$B$3&lt;&gt;"READY","",'Input Required'!F16/1000000)</f>
        <v/>
      </c>
      <c r="F11" s="13" t="str">
        <f aca="false">IF('Input Required'!$B$3&lt;&gt;"READY","",'Input Required'!F17/1000000)</f>
        <v/>
      </c>
      <c r="G11" s="13" t="str">
        <f aca="false">IF('Input Required'!$B$3&lt;&gt;"READY","",'Input Required'!F18/1000000)</f>
        <v/>
      </c>
    </row>
    <row r="12" customFormat="false" ht="15" hidden="false" customHeight="false" outlineLevel="0" collapsed="false">
      <c r="A12" s="14" t="s">
        <v>18</v>
      </c>
      <c r="B12" s="14"/>
      <c r="C12" s="13" t="str">
        <f aca="false">IF('Input Required'!$B$3&lt;&gt;"READY","",C9+C10-C11)</f>
        <v/>
      </c>
      <c r="D12" s="13" t="str">
        <f aca="false">IF('Input Required'!$B$3&lt;&gt;"READY","",D9+D10-D11)</f>
        <v/>
      </c>
      <c r="E12" s="13" t="str">
        <f aca="false">IF('Input Required'!$B$3&lt;&gt;"READY","",E9+E10-E11)</f>
        <v/>
      </c>
      <c r="F12" s="13" t="str">
        <f aca="false">IF('Input Required'!$B$3&lt;&gt;"READY","",F9+F10-F11)</f>
        <v/>
      </c>
      <c r="G12" s="13" t="str">
        <f aca="false">IF('Input Required'!$B$3&lt;&gt;"READY","",G9+G10-G11)</f>
        <v/>
      </c>
    </row>
    <row r="13" customFormat="false" ht="15" hidden="false" customHeight="false" outlineLevel="0" collapsed="false">
      <c r="A13" s="8" t="s">
        <v>19</v>
      </c>
      <c r="B13" s="8"/>
      <c r="C13" s="13" t="str">
        <f aca="false">IF('Input Required'!$B$3&lt;&gt;"READY","",AVERAGE(C9,C12))</f>
        <v/>
      </c>
      <c r="D13" s="13" t="str">
        <f aca="false">IF('Input Required'!$B$3&lt;&gt;"READY","",AVERAGE(D9,D12))</f>
        <v/>
      </c>
      <c r="E13" s="13" t="str">
        <f aca="false">IF('Input Required'!$B$3&lt;&gt;"READY","",AVERAGE(E9,E12))</f>
        <v/>
      </c>
      <c r="F13" s="13" t="str">
        <f aca="false">IF('Input Required'!$B$3&lt;&gt;"READY","",AVERAGE(F9,F12))</f>
        <v/>
      </c>
      <c r="G13" s="13" t="str">
        <f aca="false">IF('Input Required'!$B$3&lt;&gt;"READY","",AVERAGE(G9,G12))</f>
        <v/>
      </c>
    </row>
    <row r="14" customFormat="false" ht="15" hidden="false" customHeight="false" outlineLevel="0" collapsed="false">
      <c r="A14" s="8"/>
      <c r="B14" s="8"/>
    </row>
    <row r="15" customFormat="false" ht="15" hidden="false" customHeight="false" outlineLevel="0" collapsed="false">
      <c r="A15" s="8" t="s">
        <v>20</v>
      </c>
      <c r="B15" s="8"/>
      <c r="C15" s="6" t="str">
        <f aca="false">IF('Input Required'!$B$3&lt;&gt;"READY","",'Input Required'!F8/1)</f>
        <v/>
      </c>
      <c r="D15" s="6" t="str">
        <f aca="false">IF('Input Required'!$B$3&lt;&gt;"READY","",'Input Required'!F8/1)</f>
        <v/>
      </c>
      <c r="E15" s="6" t="str">
        <f aca="false">IF('Input Required'!$B$3&lt;&gt;"READY","",'Input Required'!F8/1)</f>
        <v/>
      </c>
      <c r="F15" s="6" t="str">
        <f aca="false">IF('Input Required'!$B$3&lt;&gt;"READY","",'Input Required'!F8/1)</f>
        <v/>
      </c>
      <c r="G15" s="6" t="str">
        <f aca="false">IF('Input Required'!$B$3&lt;&gt;"READY","",'Input Required'!F8/1)</f>
        <v/>
      </c>
    </row>
    <row r="16" customFormat="false" ht="15" hidden="false" customHeight="false" outlineLevel="0" collapsed="false">
      <c r="A16" s="8" t="s">
        <v>21</v>
      </c>
      <c r="B16" s="8"/>
      <c r="C16" s="6" t="str">
        <f aca="false">IF('Input Required'!$B$3&lt;&gt;"READY","",'Input Required'!F7/1)</f>
        <v/>
      </c>
      <c r="D16" s="6" t="str">
        <f aca="false">IF('Input Required'!$B$3&lt;&gt;"READY","",'Input Required'!F7/1)</f>
        <v/>
      </c>
      <c r="E16" s="6" t="str">
        <f aca="false">IF('Input Required'!$B$3&lt;&gt;"READY","",'Input Required'!F7/1)</f>
        <v/>
      </c>
      <c r="F16" s="6" t="str">
        <f aca="false">IF('Input Required'!$B$3&lt;&gt;"READY","",'Input Required'!F7/1)</f>
        <v/>
      </c>
      <c r="G16" s="6" t="str">
        <f aca="false">IF('Input Required'!$B$3&lt;&gt;"READY","",'Input Required'!F7/1)</f>
        <v/>
      </c>
    </row>
    <row r="17" customFormat="false" ht="15" hidden="false" customHeight="false" outlineLevel="0" collapsed="false">
      <c r="A17" s="14" t="s">
        <v>22</v>
      </c>
      <c r="B17" s="14"/>
      <c r="C17" s="13" t="str">
        <f aca="false">IF('Input Required'!$B$3&lt;&gt;"READY","",C13*C15*C16)</f>
        <v/>
      </c>
      <c r="D17" s="13" t="str">
        <f aca="false">IF('Input Required'!$B$3&lt;&gt;"READY","",D13*D15*D16)</f>
        <v/>
      </c>
      <c r="E17" s="13" t="str">
        <f aca="false">IF('Input Required'!$B$3&lt;&gt;"READY","",E13*E15*E16)</f>
        <v/>
      </c>
      <c r="F17" s="13" t="str">
        <f aca="false">IF('Input Required'!$B$3&lt;&gt;"READY","",F13*F15*F16)</f>
        <v/>
      </c>
      <c r="G17" s="13" t="str">
        <f aca="false">IF('Input Required'!$B$3&lt;&gt;"READY","",G13*G15*G16)</f>
        <v/>
      </c>
    </row>
    <row r="18" customFormat="false" ht="15" hidden="false" customHeight="false" outlineLevel="0" collapsed="false">
      <c r="A18" s="8" t="s">
        <v>23</v>
      </c>
      <c r="B18" s="8"/>
      <c r="C18" s="6" t="str">
        <f aca="false">IF('Input Required'!$B$3&lt;&gt;"READY","",'Input Required'!F19/1)</f>
        <v/>
      </c>
      <c r="D18" s="6" t="str">
        <f aca="false">IF('Input Required'!$B$3&lt;&gt;"READY","",'Input Required'!F19/1)</f>
        <v/>
      </c>
      <c r="E18" s="6" t="str">
        <f aca="false">IF('Input Required'!$B$3&lt;&gt;"READY","",'Input Required'!F19/1)</f>
        <v/>
      </c>
      <c r="F18" s="6" t="str">
        <f aca="false">IF('Input Required'!$B$3&lt;&gt;"READY","",'Input Required'!F19/1)</f>
        <v/>
      </c>
      <c r="G18" s="6" t="str">
        <f aca="false">IF('Input Required'!$B$3&lt;&gt;"READY","",'Input Required'!F19/1)</f>
        <v/>
      </c>
    </row>
    <row r="19" customFormat="false" ht="15" hidden="false" customHeight="false" outlineLevel="0" collapsed="false">
      <c r="A19" s="14" t="s">
        <v>24</v>
      </c>
      <c r="B19" s="14"/>
      <c r="C19" s="13" t="str">
        <f aca="false">IF('Input Required'!$B$3&lt;&gt;"READY","",C17*C18)</f>
        <v/>
      </c>
      <c r="D19" s="13" t="str">
        <f aca="false">IF('Input Required'!$B$3&lt;&gt;"READY","",D17*D18)</f>
        <v/>
      </c>
      <c r="E19" s="13" t="str">
        <f aca="false">IF('Input Required'!$B$3&lt;&gt;"READY","",E17*E18)</f>
        <v/>
      </c>
      <c r="F19" s="13" t="str">
        <f aca="false">IF('Input Required'!$B$3&lt;&gt;"READY","",F17*F18)</f>
        <v/>
      </c>
      <c r="G19" s="13" t="str">
        <f aca="false">IF('Input Required'!$B$3&lt;&gt;"READY","",G17*G18)</f>
        <v/>
      </c>
    </row>
    <row r="20" customFormat="false" ht="15" hidden="false" customHeight="false" outlineLevel="0" collapsed="false">
      <c r="A20" s="8" t="s">
        <v>25</v>
      </c>
      <c r="B20" s="8"/>
      <c r="C20" s="15" t="str">
        <f aca="false">IF('Input Required'!$B$3&lt;&gt;"READY","",1/(1+$B$24)^1)</f>
        <v/>
      </c>
      <c r="D20" s="15" t="str">
        <f aca="false">IF('Input Required'!$B$3&lt;&gt;"READY","",1/(1+$B$24)^2)</f>
        <v/>
      </c>
      <c r="E20" s="15" t="str">
        <f aca="false">IF('Input Required'!$B$3&lt;&gt;"READY","",1/(1+$B$24)^3)</f>
        <v/>
      </c>
      <c r="F20" s="15" t="str">
        <f aca="false">IF('Input Required'!$B$3&lt;&gt;"READY","",1/(1+$B$24)^4)</f>
        <v/>
      </c>
      <c r="G20" s="15" t="str">
        <f aca="false">IF('Input Required'!$B$3&lt;&gt;"READY","",1/(1+$B$24)^5)</f>
        <v/>
      </c>
    </row>
    <row r="21" customFormat="false" ht="15" hidden="false" customHeight="false" outlineLevel="0" collapsed="false">
      <c r="A21" s="14" t="s">
        <v>26</v>
      </c>
      <c r="B21" s="14"/>
      <c r="C21" s="13" t="str">
        <f aca="false">IF('Input Required'!$B$3&lt;&gt;"READY","",C19*C20)</f>
        <v/>
      </c>
      <c r="D21" s="13" t="str">
        <f aca="false">IF('Input Required'!$B$3&lt;&gt;"READY","",D19*D20)</f>
        <v/>
      </c>
      <c r="E21" s="13" t="str">
        <f aca="false">IF('Input Required'!$B$3&lt;&gt;"READY","",E19*E20)</f>
        <v/>
      </c>
      <c r="F21" s="13" t="str">
        <f aca="false">IF('Input Required'!$B$3&lt;&gt;"READY","",F19*F20)</f>
        <v/>
      </c>
      <c r="G21" s="13" t="str">
        <f aca="false">IF('Input Required'!$B$3&lt;&gt;"READY","",G19*G20)</f>
        <v/>
      </c>
    </row>
    <row r="22" customFormat="false" ht="15" hidden="false" customHeight="false" outlineLevel="0" collapsed="false">
      <c r="A22" s="8"/>
      <c r="B22" s="8"/>
    </row>
    <row r="23" customFormat="false" ht="15" hidden="false" customHeight="false" outlineLevel="0" collapsed="false">
      <c r="A23" s="12" t="s">
        <v>27</v>
      </c>
      <c r="B23" s="8"/>
    </row>
    <row r="24" customFormat="false" ht="15" hidden="false" customHeight="false" outlineLevel="0" collapsed="false">
      <c r="A24" s="8" t="s">
        <v>28</v>
      </c>
      <c r="B24" s="16" t="str">
        <f aca="false">IF('Input Required'!$B$3&lt;&gt;"READY","",J5+J7*J6)</f>
        <v/>
      </c>
    </row>
    <row r="25" customFormat="false" ht="15" hidden="false" customHeight="false" outlineLevel="0" collapsed="false">
      <c r="A25" s="8" t="s">
        <v>29</v>
      </c>
      <c r="B25" s="17" t="str">
        <f aca="false">IF('Input Required'!$B$3&lt;&gt;"READY","",'Input Required'!F20/1)</f>
        <v/>
      </c>
    </row>
    <row r="26" customFormat="false" ht="15" hidden="false" customHeight="false" outlineLevel="0" collapsed="false">
      <c r="A26" s="8" t="s">
        <v>30</v>
      </c>
      <c r="B26" s="18" t="str">
        <f aca="false">IF('Input Required'!$B$3&lt;&gt;"READY","",IF(B24&lt;=B25,"",G19*(1+B25)/(B24-B25)))</f>
        <v/>
      </c>
    </row>
    <row r="27" customFormat="false" ht="15" hidden="false" customHeight="false" outlineLevel="0" collapsed="false">
      <c r="A27" s="8" t="s">
        <v>31</v>
      </c>
      <c r="B27" s="18" t="str">
        <f aca="false">IF('Input Required'!$B$3&lt;&gt;"READY","",IF(B24&lt;=B25,"",B26/(1+B24)^5))</f>
        <v/>
      </c>
    </row>
    <row r="28" customFormat="false" ht="15" hidden="false" customHeight="false" outlineLevel="0" collapsed="false">
      <c r="A28" s="8" t="s">
        <v>32</v>
      </c>
      <c r="B28" s="18" t="str">
        <f aca="false">IF('Input Required'!$B$3&lt;&gt;"READY","",SUM(C21:G21))</f>
        <v/>
      </c>
    </row>
    <row r="29" customFormat="false" ht="15" hidden="false" customHeight="false" outlineLevel="0" collapsed="false">
      <c r="A29" s="14" t="s">
        <v>33</v>
      </c>
      <c r="B29" s="19" t="str">
        <f aca="false">IF('Input Required'!$B$3&lt;&gt;"READY","",IF(B24&lt;=B25,"",B27+B28))</f>
        <v/>
      </c>
    </row>
    <row r="30" customFormat="false" ht="15" hidden="false" customHeight="false" outlineLevel="0" collapsed="false">
      <c r="A30" s="8" t="s">
        <v>34</v>
      </c>
      <c r="B30" s="18" t="n">
        <v>777</v>
      </c>
    </row>
    <row r="31" customFormat="false" ht="15" hidden="false" customHeight="false" outlineLevel="0" collapsed="false">
      <c r="A31" s="14" t="s">
        <v>35</v>
      </c>
      <c r="B31" s="20" t="str">
        <f aca="false">IF('Input Required'!$B$3&lt;&gt;"READY","",IF(B24&lt;=B25,"",IFERROR(B29/B30,0)))</f>
        <v/>
      </c>
    </row>
    <row r="32" customFormat="false" ht="15" hidden="false" customHeight="false" outlineLevel="0" collapsed="false">
      <c r="A32" s="8" t="s">
        <v>36</v>
      </c>
      <c r="B32" s="21" t="n">
        <v>114.13</v>
      </c>
    </row>
    <row r="33" customFormat="false" ht="15" hidden="false" customHeight="false" outlineLevel="0" collapsed="false">
      <c r="A33" s="14" t="s">
        <v>37</v>
      </c>
      <c r="B33" s="22" t="str">
        <f aca="false">IF('Input Required'!$B$3&lt;&gt;"READY","",IF(B24&lt;=B25,"",IFERROR(B31/B32-1,0)))</f>
        <v/>
      </c>
    </row>
    <row r="35" customFormat="false" ht="15" hidden="false" customHeight="false" outlineLevel="0" collapsed="false">
      <c r="A35" s="2" t="s">
        <v>38</v>
      </c>
    </row>
    <row r="36" customFormat="false" ht="15" hidden="false" customHeight="false" outlineLevel="0" collapsed="false">
      <c r="B36" s="0" t="s">
        <v>39</v>
      </c>
      <c r="C36" s="23" t="n">
        <v>-0.02</v>
      </c>
      <c r="D36" s="23" t="n">
        <v>-0.01</v>
      </c>
      <c r="E36" s="23" t="n">
        <v>0</v>
      </c>
      <c r="F36" s="23" t="n">
        <v>0.01</v>
      </c>
      <c r="G36" s="23" t="n">
        <v>0.02</v>
      </c>
    </row>
    <row r="37" customFormat="false" ht="15" hidden="false" customHeight="false" outlineLevel="0" collapsed="false">
      <c r="B37" s="23" t="n">
        <v>-0.02</v>
      </c>
      <c r="C37" s="24" t="str">
        <f aca="false">IF('Input Required'!$B$3&lt;&gt;"READY","",IF($B$24+$B37&lt;=($B$25+C$36),"",IFERROR((C19/(1+$B$24+$B37)^1+D19/(1+$B$24+$B37)^2+E19/(1+$B$24+$B37)^3+F19/(1+$B$24+$B37)^4+G19/(1+$B$24+$B37)^5+($G$19*(1+($B$25+C$36))/($B$24+$B37-($B$25+C$36)))/(1+$B$24+$B37)^5)/$B$30,"")))</f>
        <v/>
      </c>
      <c r="D37" s="24" t="str">
        <f aca="false">IF('Input Required'!$B$3&lt;&gt;"READY","",IF($B$24+$B37&lt;=($B$25+D$36),"",IFERROR((C19/(1+$B$24+$B37)^1+D19/(1+$B$24+$B37)^2+E19/(1+$B$24+$B37)^3+F19/(1+$B$24+$B37)^4+G19/(1+$B$24+$B37)^5+($G$19*(1+($B$25+D$36))/($B$24+$B37-($B$25+D$36)))/(1+$B$24+$B37)^5)/$B$30,"")))</f>
        <v/>
      </c>
      <c r="E37" s="24" t="str">
        <f aca="false">IF('Input Required'!$B$3&lt;&gt;"READY","",IF($B$24+$B37&lt;=($B$25+E$36),"",IFERROR((C19/(1+$B$24+$B37)^1+D19/(1+$B$24+$B37)^2+E19/(1+$B$24+$B37)^3+F19/(1+$B$24+$B37)^4+G19/(1+$B$24+$B37)^5+($G$19*(1+($B$25+E$36))/($B$24+$B37-($B$25+E$36)))/(1+$B$24+$B37)^5)/$B$30,"")))</f>
        <v/>
      </c>
      <c r="F37" s="24" t="str">
        <f aca="false">IF('Input Required'!$B$3&lt;&gt;"READY","",IF($B$24+$B37&lt;=($B$25+F$36),"",IFERROR((C19/(1+$B$24+$B37)^1+D19/(1+$B$24+$B37)^2+E19/(1+$B$24+$B37)^3+F19/(1+$B$24+$B37)^4+G19/(1+$B$24+$B37)^5+($G$19*(1+($B$25+F$36))/($B$24+$B37-($B$25+F$36)))/(1+$B$24+$B37)^5)/$B$30,"")))</f>
        <v/>
      </c>
      <c r="G37" s="24" t="str">
        <f aca="false">IF('Input Required'!$B$3&lt;&gt;"READY","",IF($B$24+$B37&lt;=($B$25+G$36),"",IFERROR((C19/(1+$B$24+$B37)^1+D19/(1+$B$24+$B37)^2+E19/(1+$B$24+$B37)^3+F19/(1+$B$24+$B37)^4+G19/(1+$B$24+$B37)^5+($G$19*(1+($B$25+G$36))/($B$24+$B37-($B$25+G$36)))/(1+$B$24+$B37)^5)/$B$30,"")))</f>
        <v/>
      </c>
    </row>
    <row r="38" customFormat="false" ht="15" hidden="false" customHeight="false" outlineLevel="0" collapsed="false">
      <c r="B38" s="23" t="n">
        <v>-0.01</v>
      </c>
      <c r="C38" s="24" t="str">
        <f aca="false">IF('Input Required'!$B$3&lt;&gt;"READY","",IF($B$24+$B38&lt;=($B$25+C$36),"",IFERROR((C19/(1+$B$24+$B38)^1+D19/(1+$B$24+$B38)^2+E19/(1+$B$24+$B38)^3+F19/(1+$B$24+$B38)^4+G19/(1+$B$24+$B38)^5+($G$19*(1+($B$25+C$36))/($B$24+$B38-($B$25+C$36)))/(1+$B$24+$B38)^5)/$B$30,"")))</f>
        <v/>
      </c>
      <c r="D38" s="24" t="str">
        <f aca="false">IF('Input Required'!$B$3&lt;&gt;"READY","",IF($B$24+$B38&lt;=($B$25+D$36),"",IFERROR((C19/(1+$B$24+$B38)^1+D19/(1+$B$24+$B38)^2+E19/(1+$B$24+$B38)^3+F19/(1+$B$24+$B38)^4+G19/(1+$B$24+$B38)^5+($G$19*(1+($B$25+D$36))/($B$24+$B38-($B$25+D$36)))/(1+$B$24+$B38)^5)/$B$30,"")))</f>
        <v/>
      </c>
      <c r="E38" s="24" t="str">
        <f aca="false">IF('Input Required'!$B$3&lt;&gt;"READY","",IF($B$24+$B38&lt;=($B$25+E$36),"",IFERROR((C19/(1+$B$24+$B38)^1+D19/(1+$B$24+$B38)^2+E19/(1+$B$24+$B38)^3+F19/(1+$B$24+$B38)^4+G19/(1+$B$24+$B38)^5+($G$19*(1+($B$25+E$36))/($B$24+$B38-($B$25+E$36)))/(1+$B$24+$B38)^5)/$B$30,"")))</f>
        <v/>
      </c>
      <c r="F38" s="24" t="str">
        <f aca="false">IF('Input Required'!$B$3&lt;&gt;"READY","",IF($B$24+$B38&lt;=($B$25+F$36),"",IFERROR((C19/(1+$B$24+$B38)^1+D19/(1+$B$24+$B38)^2+E19/(1+$B$24+$B38)^3+F19/(1+$B$24+$B38)^4+G19/(1+$B$24+$B38)^5+($G$19*(1+($B$25+F$36))/($B$24+$B38-($B$25+F$36)))/(1+$B$24+$B38)^5)/$B$30,"")))</f>
        <v/>
      </c>
      <c r="G38" s="24" t="str">
        <f aca="false">IF('Input Required'!$B$3&lt;&gt;"READY","",IF($B$24+$B38&lt;=($B$25+G$36),"",IFERROR((C19/(1+$B$24+$B38)^1+D19/(1+$B$24+$B38)^2+E19/(1+$B$24+$B38)^3+F19/(1+$B$24+$B38)^4+G19/(1+$B$24+$B38)^5+($G$19*(1+($B$25+G$36))/($B$24+$B38-($B$25+G$36)))/(1+$B$24+$B38)^5)/$B$30,"")))</f>
        <v/>
      </c>
    </row>
    <row r="39" customFormat="false" ht="15" hidden="false" customHeight="false" outlineLevel="0" collapsed="false">
      <c r="B39" s="23" t="n">
        <v>0</v>
      </c>
      <c r="C39" s="24" t="str">
        <f aca="false">IF('Input Required'!$B$3&lt;&gt;"READY","",IF($B$24+$B39&lt;=($B$25+C$36),"",IFERROR((C19/(1+$B$24+$B39)^1+D19/(1+$B$24+$B39)^2+E19/(1+$B$24+$B39)^3+F19/(1+$B$24+$B39)^4+G19/(1+$B$24+$B39)^5+($G$19*(1+($B$25+C$36))/($B$24+$B39-($B$25+C$36)))/(1+$B$24+$B39)^5)/$B$30,"")))</f>
        <v/>
      </c>
      <c r="D39" s="24" t="str">
        <f aca="false">IF('Input Required'!$B$3&lt;&gt;"READY","",IF($B$24+$B39&lt;=($B$25+D$36),"",IFERROR((C19/(1+$B$24+$B39)^1+D19/(1+$B$24+$B39)^2+E19/(1+$B$24+$B39)^3+F19/(1+$B$24+$B39)^4+G19/(1+$B$24+$B39)^5+($G$19*(1+($B$25+D$36))/($B$24+$B39-($B$25+D$36)))/(1+$B$24+$B39)^5)/$B$30,"")))</f>
        <v/>
      </c>
      <c r="E39" s="24" t="str">
        <f aca="false">IF('Input Required'!$B$3&lt;&gt;"READY","",IF($B$24+$B39&lt;=($B$25+E$36),"",IFERROR((C19/(1+$B$24+$B39)^1+D19/(1+$B$24+$B39)^2+E19/(1+$B$24+$B39)^3+F19/(1+$B$24+$B39)^4+G19/(1+$B$24+$B39)^5+($G$19*(1+($B$25+E$36))/($B$24+$B39-($B$25+E$36)))/(1+$B$24+$B39)^5)/$B$30,"")))</f>
        <v/>
      </c>
      <c r="F39" s="24" t="str">
        <f aca="false">IF('Input Required'!$B$3&lt;&gt;"READY","",IF($B$24+$B39&lt;=($B$25+F$36),"",IFERROR((C19/(1+$B$24+$B39)^1+D19/(1+$B$24+$B39)^2+E19/(1+$B$24+$B39)^3+F19/(1+$B$24+$B39)^4+G19/(1+$B$24+$B39)^5+($G$19*(1+($B$25+F$36))/($B$24+$B39-($B$25+F$36)))/(1+$B$24+$B39)^5)/$B$30,"")))</f>
        <v/>
      </c>
      <c r="G39" s="24" t="str">
        <f aca="false">IF('Input Required'!$B$3&lt;&gt;"READY","",IF($B$24+$B39&lt;=($B$25+G$36),"",IFERROR((C19/(1+$B$24+$B39)^1+D19/(1+$B$24+$B39)^2+E19/(1+$B$24+$B39)^3+F19/(1+$B$24+$B39)^4+G19/(1+$B$24+$B39)^5+($G$19*(1+($B$25+G$36))/($B$24+$B39-($B$25+G$36)))/(1+$B$24+$B39)^5)/$B$30,"")))</f>
        <v/>
      </c>
    </row>
    <row r="40" customFormat="false" ht="15" hidden="false" customHeight="false" outlineLevel="0" collapsed="false">
      <c r="B40" s="23" t="n">
        <v>0.01</v>
      </c>
      <c r="C40" s="24" t="str">
        <f aca="false">IF('Input Required'!$B$3&lt;&gt;"READY","",IF($B$24+$B40&lt;=($B$25+C$36),"",IFERROR((C19/(1+$B$24+$B40)^1+D19/(1+$B$24+$B40)^2+E19/(1+$B$24+$B40)^3+F19/(1+$B$24+$B40)^4+G19/(1+$B$24+$B40)^5+($G$19*(1+($B$25+C$36))/($B$24+$B40-($B$25+C$36)))/(1+$B$24+$B40)^5)/$B$30,"")))</f>
        <v/>
      </c>
      <c r="D40" s="24" t="str">
        <f aca="false">IF('Input Required'!$B$3&lt;&gt;"READY","",IF($B$24+$B40&lt;=($B$25+D$36),"",IFERROR((C19/(1+$B$24+$B40)^1+D19/(1+$B$24+$B40)^2+E19/(1+$B$24+$B40)^3+F19/(1+$B$24+$B40)^4+G19/(1+$B$24+$B40)^5+($G$19*(1+($B$25+D$36))/($B$24+$B40-($B$25+D$36)))/(1+$B$24+$B40)^5)/$B$30,"")))</f>
        <v/>
      </c>
      <c r="E40" s="24" t="str">
        <f aca="false">IF('Input Required'!$B$3&lt;&gt;"READY","",IF($B$24+$B40&lt;=($B$25+E$36),"",IFERROR((C19/(1+$B$24+$B40)^1+D19/(1+$B$24+$B40)^2+E19/(1+$B$24+$B40)^3+F19/(1+$B$24+$B40)^4+G19/(1+$B$24+$B40)^5+($G$19*(1+($B$25+E$36))/($B$24+$B40-($B$25+E$36)))/(1+$B$24+$B40)^5)/$B$30,"")))</f>
        <v/>
      </c>
      <c r="F40" s="24" t="str">
        <f aca="false">IF('Input Required'!$B$3&lt;&gt;"READY","",IF($B$24+$B40&lt;=($B$25+F$36),"",IFERROR((C19/(1+$B$24+$B40)^1+D19/(1+$B$24+$B40)^2+E19/(1+$B$24+$B40)^3+F19/(1+$B$24+$B40)^4+G19/(1+$B$24+$B40)^5+($G$19*(1+($B$25+F$36))/($B$24+$B40-($B$25+F$36)))/(1+$B$24+$B40)^5)/$B$30,"")))</f>
        <v/>
      </c>
      <c r="G40" s="24" t="str">
        <f aca="false">IF('Input Required'!$B$3&lt;&gt;"READY","",IF($B$24+$B40&lt;=($B$25+G$36),"",IFERROR((C19/(1+$B$24+$B40)^1+D19/(1+$B$24+$B40)^2+E19/(1+$B$24+$B40)^3+F19/(1+$B$24+$B40)^4+G19/(1+$B$24+$B40)^5+($G$19*(1+($B$25+G$36))/($B$24+$B40-($B$25+G$36)))/(1+$B$24+$B40)^5)/$B$30,"")))</f>
        <v/>
      </c>
    </row>
    <row r="41" customFormat="false" ht="15" hidden="false" customHeight="false" outlineLevel="0" collapsed="false">
      <c r="B41" s="23" t="n">
        <v>0.02</v>
      </c>
      <c r="C41" s="24" t="str">
        <f aca="false">IF('Input Required'!$B$3&lt;&gt;"READY","",IF($B$24+$B41&lt;=($B$25+C$36),"",IFERROR((C19/(1+$B$24+$B41)^1+D19/(1+$B$24+$B41)^2+E19/(1+$B$24+$B41)^3+F19/(1+$B$24+$B41)^4+G19/(1+$B$24+$B41)^5+($G$19*(1+($B$25+C$36))/($B$24+$B41-($B$25+C$36)))/(1+$B$24+$B41)^5)/$B$30,"")))</f>
        <v/>
      </c>
      <c r="D41" s="24" t="str">
        <f aca="false">IF('Input Required'!$B$3&lt;&gt;"READY","",IF($B$24+$B41&lt;=($B$25+D$36),"",IFERROR((C19/(1+$B$24+$B41)^1+D19/(1+$B$24+$B41)^2+E19/(1+$B$24+$B41)^3+F19/(1+$B$24+$B41)^4+G19/(1+$B$24+$B41)^5+($G$19*(1+($B$25+D$36))/($B$24+$B41-($B$25+D$36)))/(1+$B$24+$B41)^5)/$B$30,"")))</f>
        <v/>
      </c>
      <c r="E41" s="24" t="str">
        <f aca="false">IF('Input Required'!$B$3&lt;&gt;"READY","",IF($B$24+$B41&lt;=($B$25+E$36),"",IFERROR((C19/(1+$B$24+$B41)^1+D19/(1+$B$24+$B41)^2+E19/(1+$B$24+$B41)^3+F19/(1+$B$24+$B41)^4+G19/(1+$B$24+$B41)^5+($G$19*(1+($B$25+E$36))/($B$24+$B41-($B$25+E$36)))/(1+$B$24+$B41)^5)/$B$30,"")))</f>
        <v/>
      </c>
      <c r="F41" s="24" t="str">
        <f aca="false">IF('Input Required'!$B$3&lt;&gt;"READY","",IF($B$24+$B41&lt;=($B$25+F$36),"",IFERROR((C19/(1+$B$24+$B41)^1+D19/(1+$B$24+$B41)^2+E19/(1+$B$24+$B41)^3+F19/(1+$B$24+$B41)^4+G19/(1+$B$24+$B41)^5+($G$19*(1+($B$25+F$36))/($B$24+$B41-($B$25+F$36)))/(1+$B$24+$B41)^5)/$B$30,"")))</f>
        <v/>
      </c>
      <c r="G41" s="24" t="str">
        <f aca="false">IF('Input Required'!$B$3&lt;&gt;"READY","",IF($B$24+$B41&lt;=($B$25+G$36),"",IFERROR((C19/(1+$B$24+$B41)^1+D19/(1+$B$24+$B41)^2+E19/(1+$B$24+$B41)^3+F19/(1+$B$24+$B41)^4+G19/(1+$B$24+$B41)^5+($G$19*(1+($B$25+G$36))/($B$24+$B41-($B$25+G$36)))/(1+$B$24+$B41)^5)/$B$30,"")))</f>
        <v/>
      </c>
    </row>
  </sheetData>
  <mergeCells count="2">
    <mergeCell ref="A1:G1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64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1" t="s">
        <v>40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5" t="s">
        <v>41</v>
      </c>
      <c r="B2" s="25"/>
      <c r="C2" s="25"/>
      <c r="D2" s="25"/>
      <c r="E2" s="25"/>
      <c r="F2" s="25"/>
      <c r="G2" s="25"/>
      <c r="H2" s="25"/>
    </row>
    <row r="3" customFormat="false" ht="23.85" hidden="false" customHeight="false" outlineLevel="0" collapsed="false">
      <c r="A3" s="26" t="s">
        <v>3</v>
      </c>
      <c r="B3" s="27" t="str">
        <f aca="false">IF(COUNTIF('Data Review'!$C$5:$C$19,"INPUT ERROR")&gt;0,"INPUT ERROR — check required inputs",IF(COUNTIF('Data Review'!$C$5:$C$19,"INPUT REQUIRED")+COUNTIF('Data Review'!$C$5:$C$19,"SOURCE REQUIRED")&gt;0,"INCOMPLETE — fill required inputs","READY"))</f>
        <v>INCOMPLETE — fill required inputs</v>
      </c>
    </row>
    <row r="5" customFormat="false" ht="15" hidden="false" customHeight="false" outlineLevel="0" collapsed="false">
      <c r="A5" s="28" t="s">
        <v>42</v>
      </c>
      <c r="B5" s="28" t="s">
        <v>43</v>
      </c>
      <c r="C5" s="28" t="s">
        <v>44</v>
      </c>
      <c r="D5" s="28" t="s">
        <v>45</v>
      </c>
      <c r="E5" s="28" t="s">
        <v>46</v>
      </c>
      <c r="F5" s="28" t="s">
        <v>47</v>
      </c>
      <c r="G5" s="28" t="s">
        <v>48</v>
      </c>
      <c r="H5" s="28" t="s">
        <v>49</v>
      </c>
    </row>
    <row r="6" customFormat="false" ht="57.45" hidden="false" customHeight="false" outlineLevel="0" collapsed="false">
      <c r="A6" s="29" t="s">
        <v>50</v>
      </c>
      <c r="B6" s="29" t="s">
        <v>51</v>
      </c>
      <c r="C6" s="29" t="s">
        <v>52</v>
      </c>
      <c r="D6" s="29" t="s">
        <v>53</v>
      </c>
      <c r="E6" s="29" t="s">
        <v>54</v>
      </c>
      <c r="F6" s="30"/>
      <c r="G6" s="30"/>
      <c r="H6" s="29" t="s">
        <v>55</v>
      </c>
    </row>
    <row r="7" customFormat="false" ht="35.05" hidden="false" customHeight="false" outlineLevel="0" collapsed="false">
      <c r="A7" s="29" t="s">
        <v>56</v>
      </c>
      <c r="B7" s="29" t="s">
        <v>57</v>
      </c>
      <c r="C7" s="29" t="s">
        <v>52</v>
      </c>
      <c r="D7" s="29" t="s">
        <v>58</v>
      </c>
      <c r="E7" s="29" t="s">
        <v>59</v>
      </c>
      <c r="F7" s="30"/>
      <c r="G7" s="30"/>
      <c r="H7" s="29" t="s">
        <v>55</v>
      </c>
    </row>
    <row r="8" customFormat="false" ht="35.05" hidden="false" customHeight="false" outlineLevel="0" collapsed="false">
      <c r="A8" s="29" t="s">
        <v>60</v>
      </c>
      <c r="B8" s="29" t="s">
        <v>61</v>
      </c>
      <c r="C8" s="29" t="s">
        <v>52</v>
      </c>
      <c r="D8" s="29" t="s">
        <v>58</v>
      </c>
      <c r="E8" s="29" t="s">
        <v>59</v>
      </c>
      <c r="F8" s="30"/>
      <c r="G8" s="30"/>
      <c r="H8" s="29" t="s">
        <v>55</v>
      </c>
    </row>
    <row r="9" customFormat="false" ht="46.25" hidden="false" customHeight="false" outlineLevel="0" collapsed="false">
      <c r="A9" s="29" t="s">
        <v>62</v>
      </c>
      <c r="B9" s="29" t="s">
        <v>16</v>
      </c>
      <c r="C9" s="29" t="s">
        <v>63</v>
      </c>
      <c r="D9" s="29" t="s">
        <v>53</v>
      </c>
      <c r="E9" s="29" t="s">
        <v>64</v>
      </c>
      <c r="F9" s="30"/>
      <c r="G9" s="30"/>
      <c r="H9" s="29" t="s">
        <v>55</v>
      </c>
    </row>
    <row r="10" customFormat="false" ht="46.25" hidden="false" customHeight="false" outlineLevel="0" collapsed="false">
      <c r="A10" s="29" t="s">
        <v>62</v>
      </c>
      <c r="B10" s="29" t="s">
        <v>16</v>
      </c>
      <c r="C10" s="29" t="s">
        <v>65</v>
      </c>
      <c r="D10" s="29" t="s">
        <v>53</v>
      </c>
      <c r="E10" s="29" t="s">
        <v>66</v>
      </c>
      <c r="F10" s="30"/>
      <c r="G10" s="30"/>
      <c r="H10" s="29" t="s">
        <v>55</v>
      </c>
    </row>
    <row r="11" customFormat="false" ht="46.25" hidden="false" customHeight="false" outlineLevel="0" collapsed="false">
      <c r="A11" s="29" t="s">
        <v>62</v>
      </c>
      <c r="B11" s="29" t="s">
        <v>16</v>
      </c>
      <c r="C11" s="29" t="s">
        <v>67</v>
      </c>
      <c r="D11" s="29" t="s">
        <v>53</v>
      </c>
      <c r="E11" s="29" t="s">
        <v>68</v>
      </c>
      <c r="F11" s="30"/>
      <c r="G11" s="30"/>
      <c r="H11" s="29" t="s">
        <v>55</v>
      </c>
    </row>
    <row r="12" customFormat="false" ht="46.25" hidden="false" customHeight="false" outlineLevel="0" collapsed="false">
      <c r="A12" s="29" t="s">
        <v>62</v>
      </c>
      <c r="B12" s="29" t="s">
        <v>16</v>
      </c>
      <c r="C12" s="29" t="s">
        <v>69</v>
      </c>
      <c r="D12" s="29" t="s">
        <v>53</v>
      </c>
      <c r="E12" s="29" t="s">
        <v>70</v>
      </c>
      <c r="F12" s="30"/>
      <c r="G12" s="30"/>
      <c r="H12" s="29" t="s">
        <v>55</v>
      </c>
    </row>
    <row r="13" customFormat="false" ht="46.25" hidden="false" customHeight="false" outlineLevel="0" collapsed="false">
      <c r="A13" s="29" t="s">
        <v>62</v>
      </c>
      <c r="B13" s="29" t="s">
        <v>16</v>
      </c>
      <c r="C13" s="29" t="s">
        <v>71</v>
      </c>
      <c r="D13" s="29" t="s">
        <v>53</v>
      </c>
      <c r="E13" s="29" t="s">
        <v>72</v>
      </c>
      <c r="F13" s="30"/>
      <c r="G13" s="30"/>
      <c r="H13" s="29" t="s">
        <v>55</v>
      </c>
    </row>
    <row r="14" customFormat="false" ht="57.45" hidden="false" customHeight="false" outlineLevel="0" collapsed="false">
      <c r="A14" s="29" t="s">
        <v>73</v>
      </c>
      <c r="B14" s="29" t="s">
        <v>17</v>
      </c>
      <c r="C14" s="29" t="s">
        <v>63</v>
      </c>
      <c r="D14" s="29" t="s">
        <v>53</v>
      </c>
      <c r="E14" s="29" t="s">
        <v>74</v>
      </c>
      <c r="F14" s="30"/>
      <c r="G14" s="30"/>
      <c r="H14" s="29" t="s">
        <v>75</v>
      </c>
    </row>
    <row r="15" customFormat="false" ht="57.45" hidden="false" customHeight="false" outlineLevel="0" collapsed="false">
      <c r="A15" s="29" t="s">
        <v>73</v>
      </c>
      <c r="B15" s="29" t="s">
        <v>17</v>
      </c>
      <c r="C15" s="29" t="s">
        <v>65</v>
      </c>
      <c r="D15" s="29" t="s">
        <v>53</v>
      </c>
      <c r="E15" s="29" t="s">
        <v>76</v>
      </c>
      <c r="F15" s="30"/>
      <c r="G15" s="30"/>
      <c r="H15" s="29" t="s">
        <v>75</v>
      </c>
    </row>
    <row r="16" customFormat="false" ht="57.45" hidden="false" customHeight="false" outlineLevel="0" collapsed="false">
      <c r="A16" s="29" t="s">
        <v>73</v>
      </c>
      <c r="B16" s="29" t="s">
        <v>17</v>
      </c>
      <c r="C16" s="29" t="s">
        <v>67</v>
      </c>
      <c r="D16" s="29" t="s">
        <v>53</v>
      </c>
      <c r="E16" s="29" t="s">
        <v>77</v>
      </c>
      <c r="F16" s="30"/>
      <c r="G16" s="30"/>
      <c r="H16" s="29" t="s">
        <v>75</v>
      </c>
    </row>
    <row r="17" customFormat="false" ht="57.45" hidden="false" customHeight="false" outlineLevel="0" collapsed="false">
      <c r="A17" s="29" t="s">
        <v>73</v>
      </c>
      <c r="B17" s="29" t="s">
        <v>17</v>
      </c>
      <c r="C17" s="29" t="s">
        <v>69</v>
      </c>
      <c r="D17" s="29" t="s">
        <v>53</v>
      </c>
      <c r="E17" s="29" t="s">
        <v>78</v>
      </c>
      <c r="F17" s="30"/>
      <c r="G17" s="30"/>
      <c r="H17" s="29" t="s">
        <v>75</v>
      </c>
    </row>
    <row r="18" customFormat="false" ht="57.45" hidden="false" customHeight="false" outlineLevel="0" collapsed="false">
      <c r="A18" s="29" t="s">
        <v>73</v>
      </c>
      <c r="B18" s="29" t="s">
        <v>17</v>
      </c>
      <c r="C18" s="29" t="s">
        <v>71</v>
      </c>
      <c r="D18" s="29" t="s">
        <v>53</v>
      </c>
      <c r="E18" s="29" t="s">
        <v>79</v>
      </c>
      <c r="F18" s="30"/>
      <c r="G18" s="30"/>
      <c r="H18" s="29" t="s">
        <v>75</v>
      </c>
    </row>
    <row r="19" customFormat="false" ht="46.25" hidden="false" customHeight="false" outlineLevel="0" collapsed="false">
      <c r="A19" s="29" t="s">
        <v>80</v>
      </c>
      <c r="B19" s="29" t="s">
        <v>81</v>
      </c>
      <c r="C19" s="29" t="s">
        <v>52</v>
      </c>
      <c r="D19" s="29" t="s">
        <v>58</v>
      </c>
      <c r="E19" s="29" t="s">
        <v>82</v>
      </c>
      <c r="F19" s="30"/>
      <c r="G19" s="30"/>
      <c r="H19" s="29" t="s">
        <v>75</v>
      </c>
    </row>
    <row r="20" customFormat="false" ht="46.25" hidden="false" customHeight="false" outlineLevel="0" collapsed="false">
      <c r="A20" s="29" t="s">
        <v>83</v>
      </c>
      <c r="B20" s="29" t="s">
        <v>84</v>
      </c>
      <c r="C20" s="29"/>
      <c r="D20" s="29" t="s">
        <v>58</v>
      </c>
      <c r="E20" s="29" t="s">
        <v>85</v>
      </c>
      <c r="F20" s="30"/>
      <c r="G20" s="30"/>
      <c r="H20" s="29" t="s">
        <v>75</v>
      </c>
    </row>
  </sheetData>
  <autoFilter ref="A5:H20"/>
  <mergeCells count="2">
    <mergeCell ref="A1:H1"/>
    <mergeCell ref="A2:H2"/>
  </mergeCells>
  <dataValidations count="15">
    <dataValidation allowBlank="true" error="Enter a numeric value within the stated model bounds." errorStyle="stop" errorTitle="Invalid model input" operator="greaterThanOrEqual" showDropDown="false" showErrorMessage="true" showInputMessage="false" sqref="F6" type="decimal">
      <formula1>1</formula1>
      <formula2>0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7" type="decimal">
      <formula1>0.001</formula1>
      <formula2>0.5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8" type="decimal">
      <formula1>0.01</formula1>
      <formula2>0.99</formula2>
    </dataValidation>
    <dataValidation allowBlank="true" error="Enter a numeric value within the stated model bounds." errorStyle="stop" errorTitle="Invalid model input" operator="greaterThanOrEqual" showDropDown="false" showErrorMessage="true" showInputMessage="false" sqref="F9" type="decimal">
      <formula1>0</formula1>
      <formula2>0</formula2>
    </dataValidation>
    <dataValidation allowBlank="true" error="Enter a numeric value within the stated model bounds." errorStyle="stop" errorTitle="Invalid model input" operator="greaterThanOrEqual" showDropDown="false" showErrorMessage="true" showInputMessage="false" sqref="F10" type="decimal">
      <formula1>0</formula1>
      <formula2>0</formula2>
    </dataValidation>
    <dataValidation allowBlank="true" error="Enter a numeric value within the stated model bounds." errorStyle="stop" errorTitle="Invalid model input" operator="greaterThanOrEqual" showDropDown="false" showErrorMessage="true" showInputMessage="false" sqref="F11" type="decimal">
      <formula1>0</formula1>
      <formula2>0</formula2>
    </dataValidation>
    <dataValidation allowBlank="true" error="Enter a numeric value within the stated model bounds." errorStyle="stop" errorTitle="Invalid model input" operator="greaterThanOrEqual" showDropDown="false" showErrorMessage="true" showInputMessage="false" sqref="F12" type="decimal">
      <formula1>0</formula1>
      <formula2>0</formula2>
    </dataValidation>
    <dataValidation allowBlank="true" error="Enter a numeric value within the stated model bounds." errorStyle="stop" errorTitle="Invalid model input" operator="greaterThanOrEqual" showDropDown="false" showErrorMessage="true" showInputMessage="false" sqref="F13" type="decimal">
      <formula1>0</formula1>
      <formula2>0</formula2>
    </dataValidation>
    <dataValidation allowBlank="true" error="Enter a numeric value within the stated model bounds." errorStyle="stop" errorTitle="Invalid model input" operator="greaterThanOrEqual" showDropDown="false" showErrorMessage="true" showInputMessage="false" sqref="F14" type="decimal">
      <formula1>0</formula1>
      <formula2>0</formula2>
    </dataValidation>
    <dataValidation allowBlank="true" error="Enter a numeric value within the stated model bounds." errorStyle="stop" errorTitle="Invalid model input" operator="greaterThanOrEqual" showDropDown="false" showErrorMessage="true" showInputMessage="false" sqref="F15" type="decimal">
      <formula1>0</formula1>
      <formula2>0</formula2>
    </dataValidation>
    <dataValidation allowBlank="true" error="Enter a numeric value within the stated model bounds." errorStyle="stop" errorTitle="Invalid model input" operator="greaterThanOrEqual" showDropDown="false" showErrorMessage="true" showInputMessage="false" sqref="F16" type="decimal">
      <formula1>0</formula1>
      <formula2>0</formula2>
    </dataValidation>
    <dataValidation allowBlank="true" error="Enter a numeric value within the stated model bounds." errorStyle="stop" errorTitle="Invalid model input" operator="greaterThanOrEqual" showDropDown="false" showErrorMessage="true" showInputMessage="false" sqref="F17" type="decimal">
      <formula1>0</formula1>
      <formula2>0</formula2>
    </dataValidation>
    <dataValidation allowBlank="true" error="Enter a numeric value within the stated model bounds." errorStyle="stop" errorTitle="Invalid model input" operator="greaterThanOrEqual" showDropDown="false" showErrorMessage="true" showInputMessage="false" sqref="F18" type="decimal">
      <formula1>0</formula1>
      <formula2>0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19" type="decimal">
      <formula1>0</formula1>
      <formula2>1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20" type="decimal">
      <formula1>0</formula1>
      <formula2>0.0782867063840063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64"/>
    <col collapsed="false" customWidth="true" hidden="false" outlineLevel="0" max="8" min="8" style="0" width="28"/>
    <col collapsed="false" customWidth="true" hidden="false" outlineLevel="0" max="9" min="9" style="0" width="36"/>
  </cols>
  <sheetData>
    <row r="1" customFormat="false" ht="19.7" hidden="false" customHeight="false" outlineLevel="0" collapsed="false">
      <c r="A1" s="1" t="s">
        <v>86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5" t="s">
        <v>87</v>
      </c>
      <c r="B2" s="25"/>
      <c r="C2" s="25"/>
      <c r="D2" s="25"/>
      <c r="E2" s="25"/>
      <c r="F2" s="25"/>
      <c r="G2" s="25"/>
      <c r="H2" s="25"/>
      <c r="I2" s="25"/>
    </row>
    <row r="4" customFormat="false" ht="15" hidden="false" customHeight="false" outlineLevel="0" collapsed="false">
      <c r="A4" s="28" t="s">
        <v>42</v>
      </c>
      <c r="B4" s="28" t="s">
        <v>43</v>
      </c>
      <c r="C4" s="28" t="s">
        <v>88</v>
      </c>
      <c r="D4" s="28" t="s">
        <v>89</v>
      </c>
      <c r="E4" s="28" t="s">
        <v>44</v>
      </c>
      <c r="F4" s="28" t="s">
        <v>45</v>
      </c>
      <c r="G4" s="28" t="s">
        <v>90</v>
      </c>
      <c r="H4" s="28" t="s">
        <v>91</v>
      </c>
      <c r="I4" s="28" t="s">
        <v>48</v>
      </c>
    </row>
    <row r="5" customFormat="false" ht="57.45" hidden="false" customHeight="false" outlineLevel="0" collapsed="false">
      <c r="A5" s="29" t="s">
        <v>50</v>
      </c>
      <c r="B5" s="29" t="s">
        <v>51</v>
      </c>
      <c r="C5" s="31" t="str">
        <f aca="false">IF('Input Required'!F6="","INPUT REQUIRED",IF(AND('Input Required'!H6="Yes",'Input Required'!G6=""),"SOURCE REQUIRED",IF(OR(AND('Input Required'!F6&lt;&gt;"",NOT(ISNUMBER('Input Required'!F6))),AND(ISNUMBER('Input Required'!F6),'Input Required'!F6&lt;1)),"INPUT ERROR","READY")))</f>
        <v>INPUT REQUIRED</v>
      </c>
      <c r="D5" s="29" t="s">
        <v>92</v>
      </c>
      <c r="E5" s="29" t="s">
        <v>52</v>
      </c>
      <c r="F5" s="29" t="s">
        <v>53</v>
      </c>
      <c r="G5" s="29" t="s">
        <v>54</v>
      </c>
      <c r="H5" s="29" t="s">
        <v>93</v>
      </c>
      <c r="I5" s="31" t="n">
        <f aca="false">'Input Required'!G6</f>
        <v>0</v>
      </c>
    </row>
    <row r="6" customFormat="false" ht="35.05" hidden="false" customHeight="false" outlineLevel="0" collapsed="false">
      <c r="A6" s="29" t="s">
        <v>56</v>
      </c>
      <c r="B6" s="29" t="s">
        <v>57</v>
      </c>
      <c r="C6" s="31" t="str">
        <f aca="false">IF('Input Required'!F7="","INPUT REQUIRED",IF(AND('Input Required'!H7="Yes",'Input Required'!G7=""),"SOURCE REQUIRED",IF(OR(AND('Input Required'!F7&lt;&gt;"",NOT(ISNUMBER('Input Required'!F7))),AND(ISNUMBER('Input Required'!F7),'Input Required'!F7&lt;0.001),AND(ISNUMBER('Input Required'!F7),'Input Required'!F7&gt;0.5)),"INPUT ERROR","READY")))</f>
        <v>INPUT REQUIRED</v>
      </c>
      <c r="D6" s="29" t="s">
        <v>92</v>
      </c>
      <c r="E6" s="29" t="s">
        <v>52</v>
      </c>
      <c r="F6" s="29" t="s">
        <v>58</v>
      </c>
      <c r="G6" s="29" t="s">
        <v>59</v>
      </c>
      <c r="H6" s="29" t="s">
        <v>94</v>
      </c>
      <c r="I6" s="31" t="n">
        <f aca="false">'Input Required'!G7</f>
        <v>0</v>
      </c>
    </row>
    <row r="7" customFormat="false" ht="35.05" hidden="false" customHeight="false" outlineLevel="0" collapsed="false">
      <c r="A7" s="29" t="s">
        <v>60</v>
      </c>
      <c r="B7" s="29" t="s">
        <v>61</v>
      </c>
      <c r="C7" s="31" t="str">
        <f aca="false">IF('Input Required'!F8="","INPUT REQUIRED",IF(AND('Input Required'!H8="Yes",'Input Required'!G8=""),"SOURCE REQUIRED",IF(OR(AND('Input Required'!F8&lt;&gt;"",NOT(ISNUMBER('Input Required'!F8))),AND(ISNUMBER('Input Required'!F8),'Input Required'!F8&lt;0.01),AND(ISNUMBER('Input Required'!F8),'Input Required'!F8&gt;0.99)),"INPUT ERROR","READY")))</f>
        <v>INPUT REQUIRED</v>
      </c>
      <c r="D7" s="29" t="s">
        <v>92</v>
      </c>
      <c r="E7" s="29" t="s">
        <v>52</v>
      </c>
      <c r="F7" s="29" t="s">
        <v>58</v>
      </c>
      <c r="G7" s="29" t="s">
        <v>59</v>
      </c>
      <c r="H7" s="29" t="s">
        <v>95</v>
      </c>
      <c r="I7" s="31" t="n">
        <f aca="false">'Input Required'!G8</f>
        <v>0</v>
      </c>
    </row>
    <row r="8" customFormat="false" ht="46.25" hidden="false" customHeight="false" outlineLevel="0" collapsed="false">
      <c r="A8" s="29" t="s">
        <v>62</v>
      </c>
      <c r="B8" s="29" t="s">
        <v>16</v>
      </c>
      <c r="C8" s="31" t="str">
        <f aca="false">IF('Input Required'!F9="","INPUT REQUIRED",IF(AND('Input Required'!H9="Yes",'Input Required'!G9=""),"SOURCE REQUIRED",IF(OR(AND('Input Required'!F9&lt;&gt;"",NOT(ISNUMBER('Input Required'!F9))),AND(ISNUMBER('Input Required'!F9),'Input Required'!F9&lt;0)),"INPUT ERROR","READY")))</f>
        <v>INPUT REQUIRED</v>
      </c>
      <c r="D8" s="29" t="s">
        <v>92</v>
      </c>
      <c r="E8" s="29" t="s">
        <v>63</v>
      </c>
      <c r="F8" s="29" t="s">
        <v>53</v>
      </c>
      <c r="G8" s="29" t="s">
        <v>64</v>
      </c>
      <c r="H8" s="29" t="s">
        <v>96</v>
      </c>
      <c r="I8" s="31" t="n">
        <f aca="false">'Input Required'!G9</f>
        <v>0</v>
      </c>
    </row>
    <row r="9" customFormat="false" ht="46.25" hidden="false" customHeight="false" outlineLevel="0" collapsed="false">
      <c r="A9" s="29" t="s">
        <v>62</v>
      </c>
      <c r="B9" s="29" t="s">
        <v>16</v>
      </c>
      <c r="C9" s="31" t="str">
        <f aca="false">IF('Input Required'!F10="","INPUT REQUIRED",IF(AND('Input Required'!H10="Yes",'Input Required'!G10=""),"SOURCE REQUIRED",IF(OR(AND('Input Required'!F10&lt;&gt;"",NOT(ISNUMBER('Input Required'!F10))),AND(ISNUMBER('Input Required'!F10),'Input Required'!F10&lt;0)),"INPUT ERROR","READY")))</f>
        <v>INPUT REQUIRED</v>
      </c>
      <c r="D9" s="29" t="s">
        <v>92</v>
      </c>
      <c r="E9" s="29" t="s">
        <v>65</v>
      </c>
      <c r="F9" s="29" t="s">
        <v>53</v>
      </c>
      <c r="G9" s="29" t="s">
        <v>66</v>
      </c>
      <c r="H9" s="29" t="s">
        <v>97</v>
      </c>
      <c r="I9" s="31" t="n">
        <f aca="false">'Input Required'!G10</f>
        <v>0</v>
      </c>
    </row>
    <row r="10" customFormat="false" ht="46.25" hidden="false" customHeight="false" outlineLevel="0" collapsed="false">
      <c r="A10" s="29" t="s">
        <v>62</v>
      </c>
      <c r="B10" s="29" t="s">
        <v>16</v>
      </c>
      <c r="C10" s="31" t="str">
        <f aca="false">IF('Input Required'!F11="","INPUT REQUIRED",IF(AND('Input Required'!H11="Yes",'Input Required'!G11=""),"SOURCE REQUIRED",IF(OR(AND('Input Required'!F11&lt;&gt;"",NOT(ISNUMBER('Input Required'!F11))),AND(ISNUMBER('Input Required'!F11),'Input Required'!F11&lt;0)),"INPUT ERROR","READY")))</f>
        <v>INPUT REQUIRED</v>
      </c>
      <c r="D10" s="29" t="s">
        <v>92</v>
      </c>
      <c r="E10" s="29" t="s">
        <v>67</v>
      </c>
      <c r="F10" s="29" t="s">
        <v>53</v>
      </c>
      <c r="G10" s="29" t="s">
        <v>68</v>
      </c>
      <c r="H10" s="29" t="s">
        <v>98</v>
      </c>
      <c r="I10" s="31" t="n">
        <f aca="false">'Input Required'!G11</f>
        <v>0</v>
      </c>
    </row>
    <row r="11" customFormat="false" ht="46.25" hidden="false" customHeight="false" outlineLevel="0" collapsed="false">
      <c r="A11" s="29" t="s">
        <v>62</v>
      </c>
      <c r="B11" s="29" t="s">
        <v>16</v>
      </c>
      <c r="C11" s="31" t="str">
        <f aca="false">IF('Input Required'!F12="","INPUT REQUIRED",IF(AND('Input Required'!H12="Yes",'Input Required'!G12=""),"SOURCE REQUIRED",IF(OR(AND('Input Required'!F12&lt;&gt;"",NOT(ISNUMBER('Input Required'!F12))),AND(ISNUMBER('Input Required'!F12),'Input Required'!F12&lt;0)),"INPUT ERROR","READY")))</f>
        <v>INPUT REQUIRED</v>
      </c>
      <c r="D11" s="29" t="s">
        <v>92</v>
      </c>
      <c r="E11" s="29" t="s">
        <v>69</v>
      </c>
      <c r="F11" s="29" t="s">
        <v>53</v>
      </c>
      <c r="G11" s="29" t="s">
        <v>70</v>
      </c>
      <c r="H11" s="29" t="s">
        <v>99</v>
      </c>
      <c r="I11" s="31" t="n">
        <f aca="false">'Input Required'!G12</f>
        <v>0</v>
      </c>
    </row>
    <row r="12" customFormat="false" ht="46.25" hidden="false" customHeight="false" outlineLevel="0" collapsed="false">
      <c r="A12" s="29" t="s">
        <v>62</v>
      </c>
      <c r="B12" s="29" t="s">
        <v>16</v>
      </c>
      <c r="C12" s="31" t="str">
        <f aca="false">IF('Input Required'!F13="","INPUT REQUIRED",IF(AND('Input Required'!H13="Yes",'Input Required'!G13=""),"SOURCE REQUIRED",IF(OR(AND('Input Required'!F13&lt;&gt;"",NOT(ISNUMBER('Input Required'!F13))),AND(ISNUMBER('Input Required'!F13),'Input Required'!F13&lt;0)),"INPUT ERROR","READY")))</f>
        <v>INPUT REQUIRED</v>
      </c>
      <c r="D12" s="29" t="s">
        <v>92</v>
      </c>
      <c r="E12" s="29" t="s">
        <v>71</v>
      </c>
      <c r="F12" s="29" t="s">
        <v>53</v>
      </c>
      <c r="G12" s="29" t="s">
        <v>72</v>
      </c>
      <c r="H12" s="29" t="s">
        <v>100</v>
      </c>
      <c r="I12" s="31" t="n">
        <f aca="false">'Input Required'!G13</f>
        <v>0</v>
      </c>
    </row>
    <row r="13" customFormat="false" ht="57.45" hidden="false" customHeight="false" outlineLevel="0" collapsed="false">
      <c r="A13" s="29" t="s">
        <v>73</v>
      </c>
      <c r="B13" s="29" t="s">
        <v>17</v>
      </c>
      <c r="C13" s="31" t="str">
        <f aca="false">IF('Input Required'!F14="","INPUT REQUIRED",IF(AND('Input Required'!H14="Yes",'Input Required'!G14=""),"SOURCE REQUIRED",IF(OR(AND('Input Required'!F14&lt;&gt;"",NOT(ISNUMBER('Input Required'!F14))),AND(ISNUMBER('Input Required'!F14),'Input Required'!F14&lt;0)),"INPUT ERROR","READY")))</f>
        <v>INPUT REQUIRED</v>
      </c>
      <c r="D13" s="29" t="s">
        <v>92</v>
      </c>
      <c r="E13" s="29" t="s">
        <v>63</v>
      </c>
      <c r="F13" s="29" t="s">
        <v>53</v>
      </c>
      <c r="G13" s="29" t="s">
        <v>74</v>
      </c>
      <c r="H13" s="29" t="s">
        <v>101</v>
      </c>
      <c r="I13" s="31" t="n">
        <f aca="false">'Input Required'!G14</f>
        <v>0</v>
      </c>
    </row>
    <row r="14" customFormat="false" ht="57.45" hidden="false" customHeight="false" outlineLevel="0" collapsed="false">
      <c r="A14" s="29" t="s">
        <v>73</v>
      </c>
      <c r="B14" s="29" t="s">
        <v>17</v>
      </c>
      <c r="C14" s="31" t="str">
        <f aca="false">IF('Input Required'!F15="","INPUT REQUIRED",IF(AND('Input Required'!H15="Yes",'Input Required'!G15=""),"SOURCE REQUIRED",IF(OR(AND('Input Required'!F15&lt;&gt;"",NOT(ISNUMBER('Input Required'!F15))),AND(ISNUMBER('Input Required'!F15),'Input Required'!F15&lt;0)),"INPUT ERROR","READY")))</f>
        <v>INPUT REQUIRED</v>
      </c>
      <c r="D14" s="29" t="s">
        <v>92</v>
      </c>
      <c r="E14" s="29" t="s">
        <v>65</v>
      </c>
      <c r="F14" s="29" t="s">
        <v>53</v>
      </c>
      <c r="G14" s="29" t="s">
        <v>76</v>
      </c>
      <c r="H14" s="29" t="s">
        <v>102</v>
      </c>
      <c r="I14" s="31" t="n">
        <f aca="false">'Input Required'!G15</f>
        <v>0</v>
      </c>
    </row>
    <row r="15" customFormat="false" ht="57.45" hidden="false" customHeight="false" outlineLevel="0" collapsed="false">
      <c r="A15" s="29" t="s">
        <v>73</v>
      </c>
      <c r="B15" s="29" t="s">
        <v>17</v>
      </c>
      <c r="C15" s="31" t="str">
        <f aca="false">IF('Input Required'!F16="","INPUT REQUIRED",IF(AND('Input Required'!H16="Yes",'Input Required'!G16=""),"SOURCE REQUIRED",IF(OR(AND('Input Required'!F16&lt;&gt;"",NOT(ISNUMBER('Input Required'!F16))),AND(ISNUMBER('Input Required'!F16),'Input Required'!F16&lt;0)),"INPUT ERROR","READY")))</f>
        <v>INPUT REQUIRED</v>
      </c>
      <c r="D15" s="29" t="s">
        <v>92</v>
      </c>
      <c r="E15" s="29" t="s">
        <v>67</v>
      </c>
      <c r="F15" s="29" t="s">
        <v>53</v>
      </c>
      <c r="G15" s="29" t="s">
        <v>77</v>
      </c>
      <c r="H15" s="29" t="s">
        <v>103</v>
      </c>
      <c r="I15" s="31" t="n">
        <f aca="false">'Input Required'!G16</f>
        <v>0</v>
      </c>
    </row>
    <row r="16" customFormat="false" ht="57.45" hidden="false" customHeight="false" outlineLevel="0" collapsed="false">
      <c r="A16" s="29" t="s">
        <v>73</v>
      </c>
      <c r="B16" s="29" t="s">
        <v>17</v>
      </c>
      <c r="C16" s="31" t="str">
        <f aca="false">IF('Input Required'!F17="","INPUT REQUIRED",IF(AND('Input Required'!H17="Yes",'Input Required'!G17=""),"SOURCE REQUIRED",IF(OR(AND('Input Required'!F17&lt;&gt;"",NOT(ISNUMBER('Input Required'!F17))),AND(ISNUMBER('Input Required'!F17),'Input Required'!F17&lt;0)),"INPUT ERROR","READY")))</f>
        <v>INPUT REQUIRED</v>
      </c>
      <c r="D16" s="29" t="s">
        <v>92</v>
      </c>
      <c r="E16" s="29" t="s">
        <v>69</v>
      </c>
      <c r="F16" s="29" t="s">
        <v>53</v>
      </c>
      <c r="G16" s="29" t="s">
        <v>78</v>
      </c>
      <c r="H16" s="29" t="s">
        <v>104</v>
      </c>
      <c r="I16" s="31" t="n">
        <f aca="false">'Input Required'!G17</f>
        <v>0</v>
      </c>
    </row>
    <row r="17" customFormat="false" ht="57.45" hidden="false" customHeight="false" outlineLevel="0" collapsed="false">
      <c r="A17" s="29" t="s">
        <v>73</v>
      </c>
      <c r="B17" s="29" t="s">
        <v>17</v>
      </c>
      <c r="C17" s="31" t="str">
        <f aca="false">IF('Input Required'!F18="","INPUT REQUIRED",IF(AND('Input Required'!H18="Yes",'Input Required'!G18=""),"SOURCE REQUIRED",IF(OR(AND('Input Required'!F18&lt;&gt;"",NOT(ISNUMBER('Input Required'!F18))),AND(ISNUMBER('Input Required'!F18),'Input Required'!F18&lt;0)),"INPUT ERROR","READY")))</f>
        <v>INPUT REQUIRED</v>
      </c>
      <c r="D17" s="29" t="s">
        <v>92</v>
      </c>
      <c r="E17" s="29" t="s">
        <v>71</v>
      </c>
      <c r="F17" s="29" t="s">
        <v>53</v>
      </c>
      <c r="G17" s="29" t="s">
        <v>79</v>
      </c>
      <c r="H17" s="29" t="s">
        <v>105</v>
      </c>
      <c r="I17" s="31" t="n">
        <f aca="false">'Input Required'!G18</f>
        <v>0</v>
      </c>
    </row>
    <row r="18" customFormat="false" ht="46.25" hidden="false" customHeight="false" outlineLevel="0" collapsed="false">
      <c r="A18" s="29" t="s">
        <v>80</v>
      </c>
      <c r="B18" s="29" t="s">
        <v>81</v>
      </c>
      <c r="C18" s="31" t="str">
        <f aca="false">IF('Input Required'!F19="","INPUT REQUIRED",IF(AND('Input Required'!H19="Yes",'Input Required'!G19=""),"SOURCE REQUIRED",IF(OR(AND('Input Required'!F19&lt;&gt;"",NOT(ISNUMBER('Input Required'!F19))),AND(ISNUMBER('Input Required'!F19),'Input Required'!F19&lt;0),AND(ISNUMBER('Input Required'!F19),'Input Required'!F19&gt;1)),"INPUT ERROR","READY")))</f>
        <v>INPUT REQUIRED</v>
      </c>
      <c r="D18" s="29" t="s">
        <v>92</v>
      </c>
      <c r="E18" s="29" t="s">
        <v>52</v>
      </c>
      <c r="F18" s="29" t="s">
        <v>58</v>
      </c>
      <c r="G18" s="29" t="s">
        <v>82</v>
      </c>
      <c r="H18" s="29" t="s">
        <v>106</v>
      </c>
      <c r="I18" s="31" t="n">
        <f aca="false">'Input Required'!G19</f>
        <v>0</v>
      </c>
    </row>
    <row r="19" customFormat="false" ht="46.25" hidden="false" customHeight="false" outlineLevel="0" collapsed="false">
      <c r="A19" s="29" t="s">
        <v>83</v>
      </c>
      <c r="B19" s="29" t="s">
        <v>84</v>
      </c>
      <c r="C19" s="31" t="str">
        <f aca="false">IF('Input Required'!F20="","INPUT REQUIRED",IF(AND('Input Required'!H20="Yes",'Input Required'!G20=""),"SOURCE REQUIRED",IF(OR(AND('Input Required'!F20&lt;&gt;"",NOT(ISNUMBER('Input Required'!F20))),AND(ISNUMBER('Input Required'!F20),'Input Required'!F20&lt;0),AND(ISNUMBER('Input Required'!F20),'Input Required'!F20&gt;0.0782867063840063)),"INPUT ERROR","READY")))</f>
        <v>INPUT REQUIRED</v>
      </c>
      <c r="D19" s="29" t="s">
        <v>92</v>
      </c>
      <c r="E19" s="29"/>
      <c r="F19" s="29" t="s">
        <v>58</v>
      </c>
      <c r="G19" s="29" t="s">
        <v>85</v>
      </c>
      <c r="H19" s="29" t="s">
        <v>107</v>
      </c>
      <c r="I19" s="31" t="n">
        <f aca="false">'Input Required'!G20</f>
        <v>0</v>
      </c>
    </row>
  </sheetData>
  <autoFilter ref="A4:I19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2026-10-03T20:47:52Z</dcterms:created>
  <dc:creator>openpyxl</dc:creator>
  <dc:description/>
  <dc:language>en-AE</dc:language>
  <cp:lastModifiedBy/>
  <dcterms:modified xsi:type="dcterms:W3CDTF">2026-10-03T20:47:52Z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