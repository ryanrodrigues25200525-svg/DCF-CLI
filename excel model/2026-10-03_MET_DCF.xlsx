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fe Insurance Model" sheetId="1" state="visible" r:id="rId3"/>
    <sheet name="Input Required" sheetId="2" state="visible" r:id="rId4"/>
    <sheet name="Data Review" sheetId="3" state="visible" r:id="rId5"/>
  </sheets>
  <definedNames>
    <definedName function="false" hidden="true" localSheetId="2" name="_xlnm._FilterDatabase" vbProcedure="false">'Data Review'!$A$4:$I$55</definedName>
    <definedName function="false" hidden="true" localSheetId="1" name="_xlnm._FilterDatabase" vbProcedure="false">'Input Required'!$A$5:$H$56</definedName>
    <definedName function="false" hidden="true" localSheetId="0" name="_xlnm._FilterDatabase" vbProcedure="false">'Life Insurance Model'!$A$9:$I$25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<sst xmlns="http://schemas.openxmlformats.org/spreadsheetml/2006/main" count="1283" uniqueCount="277">
  <si>
    <t xml:space="preserve">Life-Insurance Distributable-Earnings DCF — MET</t>
  </si>
  <si>
    <t xml:space="preserve">METLIFE INC</t>
  </si>
  <si>
    <t xml:space="preserve">Common-equity DCF: filed segment earnings less analyst-entered statutory-capital retention, capped by source-supported upstream capacity. No insurer enterprise value or operating liabilities as corporate debt.</t>
  </si>
  <si>
    <t xml:space="preserve">Model status</t>
  </si>
  <si>
    <t xml:space="preserve">CAPM and equity-bridge inputs</t>
  </si>
  <si>
    <t xml:space="preserve">Value</t>
  </si>
  <si>
    <t xml:space="preserve">Source / basis</t>
  </si>
  <si>
    <t xml:space="preserve">Amounts: USD millions; diluted shares in millions; per-share value in USD.</t>
  </si>
  <si>
    <t xml:space="preserve">Risk-free rate</t>
  </si>
  <si>
    <t xml:space="preserve">live as of 2026-10-03</t>
  </si>
  <si>
    <t xml:space="preserve">Equity-risk premium</t>
  </si>
  <si>
    <t xml:space="preserve">Historical actuals and five-year segment forecast</t>
  </si>
  <si>
    <t xml:space="preserve">Beta</t>
  </si>
  <si>
    <t xml:space="preserve">openbb_yfinance as of 2026-10-03</t>
  </si>
  <si>
    <t xml:space="preserve">USD millions unless shown otherwise</t>
  </si>
  <si>
    <t xml:space="preserve">Cost of equity (CAPM)</t>
  </si>
  <si>
    <t xml:space="preserve">Risk-free rate + beta × equity-risk premium</t>
  </si>
  <si>
    <t xml:space="preserve">Reported fiscal year</t>
  </si>
  <si>
    <t xml:space="preserve">Normalized tax rate</t>
  </si>
  <si>
    <t xml:space="preserve">Not applied</t>
  </si>
  <si>
    <t xml:space="preserve">MET adjusted earnings available to common are already after tax.</t>
  </si>
  <si>
    <t xml:space="preserve">Asia — after-tax adjusted earnings</t>
  </si>
  <si>
    <t xml:space="preserve">Terminal growth</t>
  </si>
  <si>
    <t xml:space="preserve">Source-required assumption; must be at least 0.5% below cost of equity and no greater than 10%.</t>
  </si>
  <si>
    <t xml:space="preserve">Asia growth assumption</t>
  </si>
  <si>
    <t xml:space="preserve">Current common share price</t>
  </si>
  <si>
    <t xml:space="preserve">Corporate &amp; Other — after-tax adjusted earnings</t>
  </si>
  <si>
    <t xml:space="preserve">Diluted shares outstanding</t>
  </si>
  <si>
    <t xml:space="preserve">SEC accession 0001099219-26-000013, filed 2026-02-19; latest filed diluted share count</t>
  </si>
  <si>
    <t xml:space="preserve">Corporate &amp; Other growth assumption</t>
  </si>
  <si>
    <t xml:space="preserve">Market context as of</t>
  </si>
  <si>
    <t xml:space="preserve">2026-10-03</t>
  </si>
  <si>
    <t xml:space="preserve">Dated market observations are retained with their source references.</t>
  </si>
  <si>
    <t xml:space="preserve">EMEA — after-tax adjusted earnings</t>
  </si>
  <si>
    <t xml:space="preserve">EMEA growth assumption</t>
  </si>
  <si>
    <t xml:space="preserve">Holding-company equity bridge</t>
  </si>
  <si>
    <t xml:space="preserve">Group Benefits — after-tax adjusted earnings</t>
  </si>
  <si>
    <t xml:space="preserve">Parent cash and liquid assets</t>
  </si>
  <si>
    <t xml:space="preserve">Blue input on Input Required; use holding-company amounts and a source or rationale.</t>
  </si>
  <si>
    <t xml:space="preserve">Group Benefits growth assumption</t>
  </si>
  <si>
    <t xml:space="preserve">Required parent cash reserve</t>
  </si>
  <si>
    <t xml:space="preserve">Latin America — after-tax adjusted earnings</t>
  </si>
  <si>
    <t xml:space="preserve">Parent-company debt</t>
  </si>
  <si>
    <t xml:space="preserve">Latin America growth assumption</t>
  </si>
  <si>
    <t xml:space="preserve">Preferred equity claims</t>
  </si>
  <si>
    <t xml:space="preserve">MIM — after-tax adjusted earnings</t>
  </si>
  <si>
    <t xml:space="preserve">Noncontrolling interest</t>
  </si>
  <si>
    <t xml:space="preserve">MIM growth assumption</t>
  </si>
  <si>
    <t xml:space="preserve">RIS — after-tax adjusted earnings</t>
  </si>
  <si>
    <t xml:space="preserve">RIS growth assumption</t>
  </si>
  <si>
    <t xml:space="preserve">Total adjusted earnings on filed source basis</t>
  </si>
  <si>
    <t xml:space="preserve">Adjusted earnings available to common (after tax)</t>
  </si>
  <si>
    <t xml:space="preserve">MET filed adjusted earnings are already after tax and are not taxed again.</t>
  </si>
  <si>
    <t xml:space="preserve">Statutory-capital retention and distributable-earnings schedule</t>
  </si>
  <si>
    <t xml:space="preserve">Net statutory-capital addition / (release)</t>
  </si>
  <si>
    <t xml:space="preserve">Cash available before upstream limit</t>
  </si>
  <si>
    <t xml:space="preserve">Permitted upstream dividend capacity</t>
  </si>
  <si>
    <t xml:space="preserve">Distributable earnings</t>
  </si>
  <si>
    <t xml:space="preserve">Equity discount factor</t>
  </si>
  <si>
    <t xml:space="preserve">Present value of distributable earnings</t>
  </si>
  <si>
    <t xml:space="preserve">Common-equity DCF valuation</t>
  </si>
  <si>
    <t xml:space="preserve">Terminal value</t>
  </si>
  <si>
    <t xml:space="preserve">Present value of terminal value</t>
  </si>
  <si>
    <t xml:space="preserve">Present value of forecast distributable earnings</t>
  </si>
  <si>
    <t xml:space="preserve">Excess parent cash above reserve</t>
  </si>
  <si>
    <t xml:space="preserve">Less: parent debt</t>
  </si>
  <si>
    <t xml:space="preserve">Less: preferred equity</t>
  </si>
  <si>
    <t xml:space="preserve">Less: noncontrolling interest</t>
  </si>
  <si>
    <t xml:space="preserve">Common-equity value</t>
  </si>
  <si>
    <t xml:space="preserve">Implied value per share</t>
  </si>
  <si>
    <t xml:space="preserve">Current share price</t>
  </si>
  <si>
    <t xml:space="preserve">Implied upside / (downside)</t>
  </si>
  <si>
    <t xml:space="preserve">Per-share sensitivity — cost of equity and terminal growth</t>
  </si>
  <si>
    <t xml:space="preserve">Cost of equity ↓  /  Terminal growth →</t>
  </si>
  <si>
    <t xml:space="preserve">Sensitivity cells recalculate the five forecast cash flows at each displayed cost of equity and terminal growth.</t>
  </si>
  <si>
    <t xml:space="preserve">Filed capital and distribution disclosures (scope retained)</t>
  </si>
  <si>
    <t xml:space="preserve">Metric</t>
  </si>
  <si>
    <t xml:space="preserve">Entity / jurisdiction</t>
  </si>
  <si>
    <t xml:space="preserve">Fiscal year</t>
  </si>
  <si>
    <t xml:space="preserve">Reported value</t>
  </si>
  <si>
    <t xml:space="preserve">Unit / scale</t>
  </si>
  <si>
    <t xml:space="preserve">Comparison</t>
  </si>
  <si>
    <t xml:space="preserve">Accession</t>
  </si>
  <si>
    <t xml:space="preserve">Filing / source scope</t>
  </si>
  <si>
    <t xml:space="preserve">statement_based_combined_rbc_ratio_floor</t>
  </si>
  <si>
    <t xml:space="preserve">U.S. principal insurance subsidiaries; statement-based company measure</t>
  </si>
  <si>
    <t xml:space="preserve">ratio</t>
  </si>
  <si>
    <t xml:space="preserve">greater_than</t>
  </si>
  <si>
    <t xml:space="preserve">0001099219-26-000013</t>
  </si>
  <si>
    <t xml:space="preserve">e subsidiaries, excluding American Life Insurance Company (“American Life”), by the sum of company action level RBC for such subsidiaries, including annual Special Considerations Letters (“SCL"), as discussed below. Our Statement-Based Combined RBC Ratio was in excess of 350% and in excess of 360% at December 31, 2025 and 2024, respectively. By contrast, we calculate an “NAIC-Based Combined RBC Ratio” bas</t>
  </si>
  <si>
    <t xml:space="preserve">naic_based_combined_rbc_ratio_floor</t>
  </si>
  <si>
    <t xml:space="preserve">U.S. principal insurance subsidiaries; NAIC-based</t>
  </si>
  <si>
    <t xml:space="preserve">% at December 31, 2025 and 2024, respectively. By contrast, we calculate an “NAIC-Based Combined RBC Ratio” based on such subsidiaries’ statutory-based financial statements and NAIC capital and reserving standards. This NAIC-Based Combined RBC Ratio was in excess of 370% and in excess of 380% at December 31, 2025 and 2024, respectively. NAIC developments related to the RBC framework are described bel</t>
  </si>
  <si>
    <t xml:space="preserve">permitted_ordinary_dividend_without_approval</t>
  </si>
  <si>
    <t xml:space="preserve">Metropolitan Life Insurance Company</t>
  </si>
  <si>
    <t xml:space="preserve">USD millions</t>
  </si>
  <si>
    <t xml:space="preserve">SEC 10-K MD&amp;A, 2026 permitted without approval; source row: Metropolitan Life Insurance Company  $ 2,121   $ 2,332   $ 2,732   $ 3,476   $ 3,476 </t>
  </si>
  <si>
    <t xml:space="preserve">paid_upstream_dividend</t>
  </si>
  <si>
    <t xml:space="preserve">SEC 10-K MD&amp;A, 2025 paid; source row: Metropolitan Life Insurance Company  $ 2,121   $ 2,332   $ 2,732   $ 3,476   $ 3,476 </t>
  </si>
  <si>
    <t xml:space="preserve">SEC 10-K MD&amp;A, 2025 permitted without approval; source row: Metropolitan Life Insurance Company  $ 2,121   $ 2,332   $ 2,732   $ 3,476   $ 3,476 </t>
  </si>
  <si>
    <t xml:space="preserve">SEC 10-K MD&amp;A, 2024 paid; source row: Metropolitan Life Insurance Company  $ 2,121   $ 2,332   $ 2,732   $ 3,476   $ 3,476 </t>
  </si>
  <si>
    <t xml:space="preserve">SEC 10-K MD&amp;A, 2024 permitted without approval; source row: Metropolitan Life Insurance Company  $ 2,121   $ 2,332   $ 2,732   $ 3,476   $ 3,476 </t>
  </si>
  <si>
    <t xml:space="preserve">American Life Insurance Company</t>
  </si>
  <si>
    <t xml:space="preserve">SEC 10-K MD&amp;A, 2026 permitted without approval; source row: American Life Insurance Company  $ 2,219   $ 400   $ 751   $ 1,485   $ 945 </t>
  </si>
  <si>
    <t xml:space="preserve">SEC 10-K MD&amp;A, 2025 paid; source row: American Life Insurance Company  $ 2,219   $ 400   $ 751   $ 1,485   $ 945 </t>
  </si>
  <si>
    <t xml:space="preserve">SEC 10-K MD&amp;A, 2025 permitted without approval; source row: American Life Insurance Company  $ 2,219   $ 400   $ 751   $ 1,485   $ 945 </t>
  </si>
  <si>
    <t xml:space="preserve">SEC 10-K MD&amp;A, 2024 paid; source row: American Life Insurance Company  $ 2,219   $ 400   $ 751   $ 1,485   $ 945 </t>
  </si>
  <si>
    <t xml:space="preserve">SEC 10-K MD&amp;A, 2024 permitted without approval; source row: American Life Insurance Company  $ 2,219   $ 400   $ 751   $ 1,485   $ 945 </t>
  </si>
  <si>
    <t xml:space="preserve">Metropolitan Tower Life Insurance Company</t>
  </si>
  <si>
    <t xml:space="preserve">SEC 10-K MD&amp;A, 2026 permitted without approval; source row: Metropolitan Tower Life Insurance Company  $ 547   $ 760   $ 358   $ 373   $ 373 </t>
  </si>
  <si>
    <t xml:space="preserve">SEC 10-K MD&amp;A, 2025 paid; source row: Metropolitan Tower Life Insurance Company  $ 547   $ 760   $ 358   $ 373   $ 373 </t>
  </si>
  <si>
    <t xml:space="preserve">SEC 10-K MD&amp;A, 2025 permitted without approval; source row: Metropolitan Tower Life Insurance Company  $ 547   $ 760   $ 358   $ 373   $ 373 </t>
  </si>
  <si>
    <t xml:space="preserve">SEC 10-K MD&amp;A, 2024 paid; source row: Metropolitan Tower Life Insurance Company  $ 547   $ 760   $ 358   $ 373   $ 373 </t>
  </si>
  <si>
    <t xml:space="preserve">SEC 10-K MD&amp;A, 2024 permitted without approval; source row: Metropolitan Tower Life Insurance Company  $ 547   $ 760   $ 358   $ 373   $ 373 </t>
  </si>
  <si>
    <t xml:space="preserve">The disclosed legal-entity RBC floors, statutory balances, and dividend limits are not consolidated capital-generation or parent cash. Enter aggregate forecast capital additions and upstream capacity on Input Required with a reconciliation across material entities and jurisdictions.</t>
  </si>
  <si>
    <t xml:space="preserve">INCOMPLETE MODEL — METLIFE INC (MET)</t>
  </si>
  <si>
    <t xml:space="preserve">Model family: life_insurer_distributable_earnings_dcf. No valuation has been calculated because required inputs are missing.</t>
  </si>
  <si>
    <t xml:space="preserve">Input key</t>
  </si>
  <si>
    <t xml:space="preserve">Required input</t>
  </si>
  <si>
    <t xml:space="preserve">Period</t>
  </si>
  <si>
    <t xml:space="preserve">Unit</t>
  </si>
  <si>
    <t xml:space="preserve">Why required</t>
  </si>
  <si>
    <t xml:space="preserve">Enter value</t>
  </si>
  <si>
    <t xml:space="preserve">Source / reference</t>
  </si>
  <si>
    <t xml:space="preserve">Source required</t>
  </si>
  <si>
    <t xml:space="preserve">life_segment_earnings_growth:Asia</t>
  </si>
  <si>
    <t xml:space="preserve">Asia adjusted-earnings growth</t>
  </si>
  <si>
    <t xml:space="preserve">FY2026</t>
  </si>
  <si>
    <t xml:space="preserve">Forecast the issuer's reported earnings measure by segment with a source or analyst rationale. Enter a source or valuation rationale for each input. Forecast FY2026; the source basis remains after-tax adjusted earnings available to common.</t>
  </si>
  <si>
    <t xml:space="preserve">Yes</t>
  </si>
  <si>
    <t xml:space="preserve">FY2027</t>
  </si>
  <si>
    <t xml:space="preserve">Forecast the issuer's reported earnings measure by segment with a source or analyst rationale. Enter a source or valuation rationale for each input. Forecast FY2027; the source basis remains after-tax adjusted earnings available to common.</t>
  </si>
  <si>
    <t xml:space="preserve">FY2028</t>
  </si>
  <si>
    <t xml:space="preserve">Forecast the issuer's reported earnings measure by segment with a source or analyst rationale. Enter a source or valuation rationale for each input. Forecast FY2028; the source basis remains after-tax adjusted earnings available to common.</t>
  </si>
  <si>
    <t xml:space="preserve">FY2029</t>
  </si>
  <si>
    <t xml:space="preserve">Forecast the issuer's reported earnings measure by segment with a source or analyst rationale. Enter a source or valuation rationale for each input. Forecast FY2029; the source basis remains after-tax adjusted earnings available to common.</t>
  </si>
  <si>
    <t xml:space="preserve">FY2030</t>
  </si>
  <si>
    <t xml:space="preserve">Forecast the issuer's reported earnings measure by segment with a source or analyst rationale. Enter a source or valuation rationale for each input. Forecast FY2030; the source basis remains after-tax adjusted earnings available to common.</t>
  </si>
  <si>
    <t xml:space="preserve">life_segment_earnings_growth:Corporate &amp; Other</t>
  </si>
  <si>
    <t xml:space="preserve">Corporate &amp; Other adjusted-earnings growth</t>
  </si>
  <si>
    <t xml:space="preserve">life_segment_earnings_growth:EMEA</t>
  </si>
  <si>
    <t xml:space="preserve">EMEA adjusted-earnings growth</t>
  </si>
  <si>
    <t xml:space="preserve">life_segment_earnings_growth:Group Benefits</t>
  </si>
  <si>
    <t xml:space="preserve">Group Benefits adjusted-earnings growth</t>
  </si>
  <si>
    <t xml:space="preserve">life_segment_earnings_growth:Latin America</t>
  </si>
  <si>
    <t xml:space="preserve">Latin America adjusted-earnings growth</t>
  </si>
  <si>
    <t xml:space="preserve">life_segment_earnings_growth:MIM</t>
  </si>
  <si>
    <t xml:space="preserve">MIM adjusted-earnings growth</t>
  </si>
  <si>
    <t xml:space="preserve">life_segment_earnings_growth:RIS</t>
  </si>
  <si>
    <t xml:space="preserve">RIS adjusted-earnings growth</t>
  </si>
  <si>
    <t xml:space="preserve">life_net_capital_addition</t>
  </si>
  <si>
    <t xml:space="preserve">Net statutory capital addition / (release)</t>
  </si>
  <si>
    <t xml:space="preserve">USD actual</t>
  </si>
  <si>
    <t xml:space="preserve">Enter capital additions or releases by disclosed capital group; an RBC floor is not an exact capital balance. Enter a source or valuation rationale for each input. Aggregate the material insurer legal entities and jurisdictions. Positive values are retained capital; negative values are capital releases.</t>
  </si>
  <si>
    <t xml:space="preserve">life_permitted_upstream_dividends</t>
  </si>
  <si>
    <t xml:space="preserve">Maximum upstream dividend capacity</t>
  </si>
  <si>
    <t xml:space="preserve">Enter source-backed distribution capacity by legal entity or jurisdiction for each forecast year. Enter a source or valuation rationale for each input. Sum only source-supported distributions available to the parent from material statutory entities; preserve jurisdiction-specific approval limits.</t>
  </si>
  <si>
    <t xml:space="preserve">life_parent_cash</t>
  </si>
  <si>
    <t xml:space="preserve">Holding-company cash and liquid assets</t>
  </si>
  <si>
    <t xml:space="preserve">Enter parent-company cash above reserve and parent debt or senior claims with dated source references. Enter a source or valuation rationale for each input. Use parent-company cash, not consolidated insurance-company investment assets.</t>
  </si>
  <si>
    <t xml:space="preserve">life_parent_cash_reserve</t>
  </si>
  <si>
    <t xml:space="preserve">Required holding-company cash reserve</t>
  </si>
  <si>
    <t xml:space="preserve">Enter parent-company cash above reserve and parent debt or senior claims with dated source references. Enter a source or valuation rationale for each input. Use the disclosed company target when available or a clearly documented analyst policy.</t>
  </si>
  <si>
    <t xml:space="preserve">life_parent_debt</t>
  </si>
  <si>
    <t xml:space="preserve">Holding-company debt and financing claims</t>
  </si>
  <si>
    <t xml:space="preserve">Enter parent-company cash above reserve and parent debt or senior claims with dated source references. Enter a source or valuation rationale for each input. Use parent-company debt; exclude insurer operating liabilities.</t>
  </si>
  <si>
    <t xml:space="preserve">life_preferred_equity</t>
  </si>
  <si>
    <t xml:space="preserve">Enter parent-company cash above reserve and parent debt or senior claims with dated source references. Enter a source or valuation rationale for each input. Enter source-backed preferred equity or zero with a source reference if none is outstanding.</t>
  </si>
  <si>
    <t xml:space="preserve">life_non_controlling_interest</t>
  </si>
  <si>
    <t xml:space="preserve">Noncontrolling interest claim</t>
  </si>
  <si>
    <t xml:space="preserve">Enter parent-company cash above reserve and parent debt or senior claims with dated source references. Enter a source or valuation rationale for each input. Enter the parent-level claim or zero with a source reference if not applicable.</t>
  </si>
  <si>
    <t xml:space="preserve">terminal_growth_rate</t>
  </si>
  <si>
    <t xml:space="preserve">Terminal distributable-earnings growth</t>
  </si>
  <si>
    <t xml:space="preserve">Enter terminal growth below the cost of equity and document the source or valuation rationale. Enter a source or valuation rationale for each input. Keep terminal growth at least 0.5% below cost of equity and no greater than 10%.</t>
  </si>
  <si>
    <t xml:space="preserve">Required input review</t>
  </si>
  <si>
    <t xml:space="preserve">Fill blue input cells on Input Required. Reported facts require a source reference; missing values are not zero.</t>
  </si>
  <si>
    <t xml:space="preserve">Status</t>
  </si>
  <si>
    <t xml:space="preserve">Source status</t>
  </si>
  <si>
    <t xml:space="preserve">Reason</t>
  </si>
  <si>
    <t xml:space="preserve">Workbook cell</t>
  </si>
  <si>
    <t xml:space="preserve">missing</t>
  </si>
  <si>
    <t xml:space="preserve">Input Required!F6</t>
  </si>
  <si>
    <t xml:space="preserve">Input Required!F7</t>
  </si>
  <si>
    <t xml:space="preserve">Input Required!F8</t>
  </si>
  <si>
    <t xml:space="preserve">Input Required!F9</t>
  </si>
  <si>
    <t xml:space="preserve">Input Required!F10</t>
  </si>
  <si>
    <t xml:space="preserve">Input Required!F11</t>
  </si>
  <si>
    <t xml:space="preserve">Input Required!F12</t>
  </si>
  <si>
    <t xml:space="preserve">Input Required!F13</t>
  </si>
  <si>
    <t xml:space="preserve">Input Required!F14</t>
  </si>
  <si>
    <t xml:space="preserve">Input Required!F15</t>
  </si>
  <si>
    <t xml:space="preserve">Input Required!F16</t>
  </si>
  <si>
    <t xml:space="preserve">Input Required!F17</t>
  </si>
  <si>
    <t xml:space="preserve">Input Required!F18</t>
  </si>
  <si>
    <t xml:space="preserve">Input Required!F19</t>
  </si>
  <si>
    <t xml:space="preserve">Input Required!F20</t>
  </si>
  <si>
    <t xml:space="preserve">Input Required!F21</t>
  </si>
  <si>
    <t xml:space="preserve">Input Required!F22</t>
  </si>
  <si>
    <t xml:space="preserve">Input Required!F23</t>
  </si>
  <si>
    <t xml:space="preserve">Input Required!F24</t>
  </si>
  <si>
    <t xml:space="preserve">Input Required!F25</t>
  </si>
  <si>
    <t xml:space="preserve">Input Required!F26</t>
  </si>
  <si>
    <t xml:space="preserve">Input Required!F27</t>
  </si>
  <si>
    <t xml:space="preserve">Input Required!F28</t>
  </si>
  <si>
    <t xml:space="preserve">Input Required!F29</t>
  </si>
  <si>
    <t xml:space="preserve">Input Required!F30</t>
  </si>
  <si>
    <t xml:space="preserve">Input Required!F31</t>
  </si>
  <si>
    <t xml:space="preserve">Input Required!F32</t>
  </si>
  <si>
    <t xml:space="preserve">Input Required!F33</t>
  </si>
  <si>
    <t xml:space="preserve">Input Required!F34</t>
  </si>
  <si>
    <t xml:space="preserve">Input Required!F35</t>
  </si>
  <si>
    <t xml:space="preserve">Input Required!F36</t>
  </si>
  <si>
    <t xml:space="preserve">Input Required!F37</t>
  </si>
  <si>
    <t xml:space="preserve">Input Required!F38</t>
  </si>
  <si>
    <t xml:space="preserve">Input Required!F39</t>
  </si>
  <si>
    <t xml:space="preserve">Input Required!F40</t>
  </si>
  <si>
    <t xml:space="preserve">Input Required!F41</t>
  </si>
  <si>
    <t xml:space="preserve">Input Required!F42</t>
  </si>
  <si>
    <t xml:space="preserve">Input Required!F43</t>
  </si>
  <si>
    <t xml:space="preserve">Input Required!F44</t>
  </si>
  <si>
    <t xml:space="preserve">Input Required!F45</t>
  </si>
  <si>
    <t xml:space="preserve">Input Required!F46</t>
  </si>
  <si>
    <t xml:space="preserve">Input Required!F47</t>
  </si>
  <si>
    <t xml:space="preserve">Input Required!F48</t>
  </si>
  <si>
    <t xml:space="preserve">Input Required!F49</t>
  </si>
  <si>
    <t xml:space="preserve">Input Required!F50</t>
  </si>
  <si>
    <t xml:space="preserve">Input Required!F51</t>
  </si>
  <si>
    <t xml:space="preserve">Input Required!F52</t>
  </si>
  <si>
    <t xml:space="preserve">Input Required!F53</t>
  </si>
  <si>
    <t xml:space="preserve">Input Required!F54</t>
  </si>
  <si>
    <t xml:space="preserve">Input Required!F55</t>
  </si>
  <si>
    <t xml:space="preserve">Input Required!F56</t>
  </si>
  <si>
    <t xml:space="preserve">SEC-filed life-insurance source facts</t>
  </si>
  <si>
    <t xml:space="preserve">Segment</t>
  </si>
  <si>
    <t xml:space="preserve">Capital group / jurisdiction</t>
  </si>
  <si>
    <t xml:space="preserve">Unit scale</t>
  </si>
  <si>
    <t xml:space="preserve">Source earnings basis</t>
  </si>
  <si>
    <t xml:space="preserve">Filed</t>
  </si>
  <si>
    <t xml:space="preserve">Report date</t>
  </si>
  <si>
    <t xml:space="preserve">Form</t>
  </si>
  <si>
    <t xml:space="preserve">Source statement / table scope</t>
  </si>
  <si>
    <t xml:space="preserve">adjusted_earnings_available_to_common</t>
  </si>
  <si>
    <t xml:space="preserve">Group Benefits</t>
  </si>
  <si>
    <t xml:space="preserve">USD</t>
  </si>
  <si>
    <t xml:space="preserve">millions</t>
  </si>
  <si>
    <t xml:space="preserve">after_tax_adjusted_earnings_available_to_common</t>
  </si>
  <si>
    <t xml:space="preserve">2026-02-19</t>
  </si>
  <si>
    <t xml:space="preserve">2025-12-31</t>
  </si>
  <si>
    <t xml:space="preserve">10-K</t>
  </si>
  <si>
    <t xml:space="preserve">SEC 10-K MD&amp;A, adjusted earnings available to common shareholders by segment; Group Benefits;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</si>
  <si>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Group Benefits;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</si>
  <si>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Group Benefits;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</si>
  <si>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RIS</t>
  </si>
  <si>
    <t xml:space="preserve">SEC 10-K MD&amp;A, adjusted earnings available to common shareholders by segment; RIS;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</si>
  <si>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RIS;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</si>
  <si>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RIS;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</si>
  <si>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Asia</t>
  </si>
  <si>
    <t xml:space="preserve">SEC 10-K MD&amp;A, adjusted earnings available to common shareholders by segment; Asia;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</si>
  <si>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Asia;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</si>
  <si>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Asia;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</si>
  <si>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Latin America</t>
  </si>
  <si>
    <t xml:space="preserve">SEC 10-K MD&amp;A, adjusted earnings available to common shareholders by segment; Latin America;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</si>
  <si>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Latin America;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</si>
  <si>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Latin America;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</si>
  <si>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EMEA</t>
  </si>
  <si>
    <t xml:space="preserve">SEC 10-K MD&amp;A, adjusted earnings available to common shareholders by segment; EMEA;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</si>
  <si>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EMEA;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</si>
  <si>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EMEA;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</si>
  <si>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MIM</t>
  </si>
  <si>
    <t xml:space="preserve">SEC 10-K MD&amp;A, adjusted earnings available to common shareholders by segment; MIM;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</si>
  <si>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MIM;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</si>
  <si>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MIM;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</si>
  <si>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Corporate &amp; Other</t>
  </si>
  <si>
    <t xml:space="preserve">SEC 10-K MD&amp;A, adjusted earnings available to common shareholders by segment; Corporate &amp; Other; FY2025;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</si>
  <si>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Corporate &amp; Other; FY2024;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</si>
  <si>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SEC 10-K MD&amp;A, adjusted earnings available to common shareholders by segment; Corporate &amp; Other; FY2023; Years Ended December 31, 2025 2024 2023 (In millions) Group Benefits $ 1,692 $ 1,606 $ 1,655 RIS 1,671 1,667 1,708 Asia 1,702 1,621 1,282 Latin America 798 881 840 EMEA 367 283 265 MIM 200 55 70 Corporate &amp; Other (487) (317) (295) Adjusted earnings available to common shareholders $ 5,943 $ 5,796 $ 5,525 Adjusted earnings available to common shareholders on a constant currency basis $ 5,943 $ 5,742 $ 5,430 Adjusted premiums, fees and other revenues $ 57,408 $ 52,379 $ 51,966 Adjusted premiums, fees and other revenues on a constant currency basis $ 57,408 $ 52,178 $ 51,195</t>
  </si>
  <si>
    <t xml:space="preserve">not_applicable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</si>
</sst>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0.000\x"/>
    <numFmt numFmtId="167" formatCode="&quot;FY&quot;0"/>
    <numFmt numFmtId="168" formatCode="#,##0.0;\(#,##0.0\);\-"/>
    <numFmt numFmtId="169" formatCode="\$0.00;&quot;($&quot;0.0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404040"/>
      </patternFill>
    </fill>
    <fill>
      <patternFill patternType="solid">
        <fgColor rgb="FF365F91"/>
        <bgColor rgb="FF6666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5F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65F9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"/>
    <col collapsed="false" customWidth="true" hidden="false" outlineLevel="0" max="9" min="2" style="0" width="15"/>
    <col collapsed="false" customWidth="true" hidden="false" outlineLevel="0" max="10" min="10" style="0" width="31"/>
    <col collapsed="false" customWidth="true" hidden="false" outlineLevel="0" max="11" min="11" style="0" width="17"/>
    <col collapsed="false" customWidth="true" hidden="false" outlineLevel="0" max="12" min="12" style="0" width="6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</row>
    <row r="3" customFormat="false" ht="33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4" t="s">
        <v>3</v>
      </c>
      <c r="B4" s="5" t="str">
        <f aca="false">IF('Input Required'!$B$3&lt;&gt;"READY",'Input Required'!$B$3,IF(OR(NOT(ISNUMBER($K$8)),$K$8&lt;2%,$K$8&gt;50%,$K$10&lt;0,$K$10&gt;10%,$K$10&gt;=$K$8-0.5%,I33&lt;=0,$K$16&lt;$K$17),"INPUT ERROR — check cost of equity, terminal assumptions, terminal distributable earnings, and parent cash reserve","READY"))</f>
        <v>INCOMPLETE — fill required inputs</v>
      </c>
      <c r="J4" s="6" t="s">
        <v>4</v>
      </c>
      <c r="K4" s="7" t="s">
        <v>5</v>
      </c>
      <c r="L4" s="7" t="s">
        <v>6</v>
      </c>
    </row>
    <row r="5" customFormat="false" ht="15" hidden="false" customHeight="false" outlineLevel="0" collapsed="false">
      <c r="A5" s="8" t="s">
        <v>7</v>
      </c>
      <c r="B5" s="8"/>
      <c r="C5" s="8"/>
      <c r="D5" s="8"/>
      <c r="E5" s="8"/>
      <c r="F5" s="8"/>
      <c r="G5" s="8"/>
      <c r="H5" s="8"/>
      <c r="I5" s="8"/>
      <c r="J5" s="0" t="s">
        <v>8</v>
      </c>
      <c r="K5" s="9" t="n">
        <v>0.0527699995040894</v>
      </c>
      <c r="L5" s="10" t="s">
        <v>9</v>
      </c>
    </row>
    <row r="6" customFormat="false" ht="15" hidden="false" customHeight="false" outlineLevel="0" collapsed="false">
      <c r="J6" s="0" t="s">
        <v>10</v>
      </c>
      <c r="K6" s="9" t="n">
        <v>0.0838371068129586</v>
      </c>
      <c r="L6" s="10" t="s">
        <v>9</v>
      </c>
    </row>
    <row r="7" customFormat="false" ht="15" hidden="false" customHeight="false" outlineLevel="0" collapsed="false">
      <c r="A7" s="11" t="s">
        <v>11</v>
      </c>
      <c r="B7" s="11"/>
      <c r="C7" s="11"/>
      <c r="D7" s="11"/>
      <c r="E7" s="11"/>
      <c r="F7" s="11"/>
      <c r="G7" s="11"/>
      <c r="H7" s="11"/>
      <c r="I7" s="11"/>
      <c r="J7" s="0" t="s">
        <v>12</v>
      </c>
      <c r="K7" s="12" t="n">
        <v>0.759</v>
      </c>
      <c r="L7" s="10" t="s">
        <v>13</v>
      </c>
    </row>
    <row r="8" customFormat="false" ht="15" hidden="false" customHeight="false" outlineLevel="0" collapsed="false">
      <c r="A8" s="13" t="s">
        <v>14</v>
      </c>
      <c r="J8" s="0" t="s">
        <v>15</v>
      </c>
      <c r="K8" s="14" t="n">
        <f aca="false">IF(OR(K5="",K6="",K7=""),"",K5+K7*K6)</f>
        <v>0.116402363575125</v>
      </c>
      <c r="L8" s="0" t="s">
        <v>16</v>
      </c>
    </row>
    <row r="9" customFormat="false" ht="15" hidden="false" customHeight="false" outlineLevel="0" collapsed="false">
      <c r="A9" s="15" t="s">
        <v>17</v>
      </c>
      <c r="B9" s="16" t="n">
        <v>2023</v>
      </c>
      <c r="C9" s="16" t="n">
        <v>2024</v>
      </c>
      <c r="D9" s="16" t="n">
        <v>2025</v>
      </c>
      <c r="E9" s="16" t="n">
        <v>2026</v>
      </c>
      <c r="F9" s="16" t="n">
        <v>2027</v>
      </c>
      <c r="G9" s="16" t="n">
        <v>2028</v>
      </c>
      <c r="H9" s="16" t="n">
        <v>2029</v>
      </c>
      <c r="I9" s="16" t="n">
        <v>2030</v>
      </c>
      <c r="J9" s="0" t="s">
        <v>18</v>
      </c>
      <c r="K9" s="0" t="s">
        <v>19</v>
      </c>
      <c r="L9" s="0" t="s">
        <v>20</v>
      </c>
    </row>
    <row r="10" customFormat="false" ht="15" hidden="false" customHeight="false" outlineLevel="0" collapsed="false">
      <c r="A10" s="0" t="s">
        <v>21</v>
      </c>
      <c r="B10" s="17" t="n">
        <f aca="false">'Data Review'!E68</f>
        <v>1282</v>
      </c>
      <c r="C10" s="17" t="n">
        <f aca="false">'Data Review'!E67</f>
        <v>1621</v>
      </c>
      <c r="D10" s="17" t="n">
        <f aca="false">'Data Review'!E66</f>
        <v>1702</v>
      </c>
      <c r="E10" s="17" t="str">
        <f aca="false">IF('Input Required'!$B$3&lt;&gt;"READY","",D10*(1+E11))</f>
        <v/>
      </c>
      <c r="F10" s="17" t="str">
        <f aca="false">IF('Input Required'!$B$3&lt;&gt;"READY","",E10*(1+F11))</f>
        <v/>
      </c>
      <c r="G10" s="17" t="str">
        <f aca="false">IF('Input Required'!$B$3&lt;&gt;"READY","",F10*(1+G11))</f>
        <v/>
      </c>
      <c r="H10" s="17" t="str">
        <f aca="false">IF('Input Required'!$B$3&lt;&gt;"READY","",G10*(1+H11))</f>
        <v/>
      </c>
      <c r="I10" s="17" t="str">
        <f aca="false">IF('Input Required'!$B$3&lt;&gt;"READY","",H10*(1+I11))</f>
        <v/>
      </c>
      <c r="J10" s="0" t="s">
        <v>22</v>
      </c>
      <c r="K10" s="18" t="str">
        <f aca="false">IF('Input Required'!$B$3&lt;&gt;"READY","",'Input Required'!F56/1)</f>
        <v/>
      </c>
      <c r="L10" s="0" t="s">
        <v>23</v>
      </c>
    </row>
    <row r="11" customFormat="false" ht="15" hidden="false" customHeight="false" outlineLevel="0" collapsed="false">
      <c r="A11" s="13" t="s">
        <v>24</v>
      </c>
      <c r="B11" s="19"/>
      <c r="C11" s="19"/>
      <c r="D11" s="19"/>
      <c r="E11" s="20" t="str">
        <f aca="false">IF('Input Required'!$B$3&lt;&gt;"READY","",'Input Required'!F6/1)</f>
        <v/>
      </c>
      <c r="F11" s="20" t="str">
        <f aca="false">IF('Input Required'!$B$3&lt;&gt;"READY","",'Input Required'!F7/1)</f>
        <v/>
      </c>
      <c r="G11" s="20" t="str">
        <f aca="false">IF('Input Required'!$B$3&lt;&gt;"READY","",'Input Required'!F8/1)</f>
        <v/>
      </c>
      <c r="H11" s="20" t="str">
        <f aca="false">IF('Input Required'!$B$3&lt;&gt;"READY","",'Input Required'!F9/1)</f>
        <v/>
      </c>
      <c r="I11" s="20" t="str">
        <f aca="false">IF('Input Required'!$B$3&lt;&gt;"READY","",'Input Required'!F10/1)</f>
        <v/>
      </c>
      <c r="J11" s="0" t="s">
        <v>25</v>
      </c>
      <c r="K11" s="21" t="n">
        <v>94.43</v>
      </c>
      <c r="L11" s="10" t="s">
        <v>13</v>
      </c>
    </row>
    <row r="12" customFormat="false" ht="23.85" hidden="false" customHeight="false" outlineLevel="0" collapsed="false">
      <c r="A12" s="0" t="s">
        <v>26</v>
      </c>
      <c r="B12" s="17" t="n">
        <f aca="false">'Data Review'!E80</f>
        <v>-295</v>
      </c>
      <c r="C12" s="17" t="n">
        <f aca="false">'Data Review'!E79</f>
        <v>-317</v>
      </c>
      <c r="D12" s="17" t="n">
        <f aca="false">'Data Review'!E78</f>
        <v>-487</v>
      </c>
      <c r="E12" s="17" t="str">
        <f aca="false">IF('Input Required'!$B$3&lt;&gt;"READY","",D12*(1+E13))</f>
        <v/>
      </c>
      <c r="F12" s="17" t="str">
        <f aca="false">IF('Input Required'!$B$3&lt;&gt;"READY","",E12*(1+F13))</f>
        <v/>
      </c>
      <c r="G12" s="17" t="str">
        <f aca="false">IF('Input Required'!$B$3&lt;&gt;"READY","",F12*(1+G13))</f>
        <v/>
      </c>
      <c r="H12" s="17" t="str">
        <f aca="false">IF('Input Required'!$B$3&lt;&gt;"READY","",G12*(1+H13))</f>
        <v/>
      </c>
      <c r="I12" s="17" t="str">
        <f aca="false">IF('Input Required'!$B$3&lt;&gt;"READY","",H12*(1+I13))</f>
        <v/>
      </c>
      <c r="J12" s="0" t="s">
        <v>27</v>
      </c>
      <c r="K12" s="22" t="n">
        <v>673.3</v>
      </c>
      <c r="L12" s="10" t="s">
        <v>28</v>
      </c>
    </row>
    <row r="13" customFormat="false" ht="15" hidden="false" customHeight="false" outlineLevel="0" collapsed="false">
      <c r="A13" s="13" t="s">
        <v>29</v>
      </c>
      <c r="B13" s="19"/>
      <c r="C13" s="19"/>
      <c r="D13" s="19"/>
      <c r="E13" s="20" t="str">
        <f aca="false">IF('Input Required'!$B$3&lt;&gt;"READY","",'Input Required'!F11/1)</f>
        <v/>
      </c>
      <c r="F13" s="20" t="str">
        <f aca="false">IF('Input Required'!$B$3&lt;&gt;"READY","",'Input Required'!F12/1)</f>
        <v/>
      </c>
      <c r="G13" s="20" t="str">
        <f aca="false">IF('Input Required'!$B$3&lt;&gt;"READY","",'Input Required'!F13/1)</f>
        <v/>
      </c>
      <c r="H13" s="20" t="str">
        <f aca="false">IF('Input Required'!$B$3&lt;&gt;"READY","",'Input Required'!F14/1)</f>
        <v/>
      </c>
      <c r="I13" s="20" t="str">
        <f aca="false">IF('Input Required'!$B$3&lt;&gt;"READY","",'Input Required'!F15/1)</f>
        <v/>
      </c>
      <c r="J13" s="0" t="s">
        <v>30</v>
      </c>
      <c r="K13" s="0" t="s">
        <v>31</v>
      </c>
      <c r="L13" s="0" t="s">
        <v>32</v>
      </c>
    </row>
    <row r="14" customFormat="false" ht="15" hidden="false" customHeight="false" outlineLevel="0" collapsed="false">
      <c r="A14" s="0" t="s">
        <v>33</v>
      </c>
      <c r="B14" s="17" t="n">
        <f aca="false">'Data Review'!E74</f>
        <v>265</v>
      </c>
      <c r="C14" s="17" t="n">
        <f aca="false">'Data Review'!E73</f>
        <v>283</v>
      </c>
      <c r="D14" s="17" t="n">
        <f aca="false">'Data Review'!E72</f>
        <v>367</v>
      </c>
      <c r="E14" s="17" t="str">
        <f aca="false">IF('Input Required'!$B$3&lt;&gt;"READY","",D14*(1+E15))</f>
        <v/>
      </c>
      <c r="F14" s="17" t="str">
        <f aca="false">IF('Input Required'!$B$3&lt;&gt;"READY","",E14*(1+F15))</f>
        <v/>
      </c>
      <c r="G14" s="17" t="str">
        <f aca="false">IF('Input Required'!$B$3&lt;&gt;"READY","",F14*(1+G15))</f>
        <v/>
      </c>
      <c r="H14" s="17" t="str">
        <f aca="false">IF('Input Required'!$B$3&lt;&gt;"READY","",G14*(1+H15))</f>
        <v/>
      </c>
      <c r="I14" s="17" t="str">
        <f aca="false">IF('Input Required'!$B$3&lt;&gt;"READY","",H14*(1+I15))</f>
        <v/>
      </c>
    </row>
    <row r="15" customFormat="false" ht="15" hidden="false" customHeight="false" outlineLevel="0" collapsed="false">
      <c r="A15" s="13" t="s">
        <v>34</v>
      </c>
      <c r="B15" s="19"/>
      <c r="C15" s="19"/>
      <c r="D15" s="19"/>
      <c r="E15" s="20" t="str">
        <f aca="false">IF('Input Required'!$B$3&lt;&gt;"READY","",'Input Required'!F16/1)</f>
        <v/>
      </c>
      <c r="F15" s="20" t="str">
        <f aca="false">IF('Input Required'!$B$3&lt;&gt;"READY","",'Input Required'!F17/1)</f>
        <v/>
      </c>
      <c r="G15" s="20" t="str">
        <f aca="false">IF('Input Required'!$B$3&lt;&gt;"READY","",'Input Required'!F18/1)</f>
        <v/>
      </c>
      <c r="H15" s="20" t="str">
        <f aca="false">IF('Input Required'!$B$3&lt;&gt;"READY","",'Input Required'!F19/1)</f>
        <v/>
      </c>
      <c r="I15" s="20" t="str">
        <f aca="false">IF('Input Required'!$B$3&lt;&gt;"READY","",'Input Required'!F20/1)</f>
        <v/>
      </c>
      <c r="J15" s="6" t="s">
        <v>35</v>
      </c>
    </row>
    <row r="16" customFormat="false" ht="23.85" hidden="false" customHeight="false" outlineLevel="0" collapsed="false">
      <c r="A16" s="0" t="s">
        <v>36</v>
      </c>
      <c r="B16" s="17" t="n">
        <f aca="false">'Data Review'!E62</f>
        <v>1655</v>
      </c>
      <c r="C16" s="17" t="n">
        <f aca="false">'Data Review'!E61</f>
        <v>1606</v>
      </c>
      <c r="D16" s="17" t="n">
        <f aca="false">'Data Review'!E60</f>
        <v>1692</v>
      </c>
      <c r="E16" s="17" t="str">
        <f aca="false">IF('Input Required'!$B$3&lt;&gt;"READY","",D16*(1+E17))</f>
        <v/>
      </c>
      <c r="F16" s="17" t="str">
        <f aca="false">IF('Input Required'!$B$3&lt;&gt;"READY","",E16*(1+F17))</f>
        <v/>
      </c>
      <c r="G16" s="17" t="str">
        <f aca="false">IF('Input Required'!$B$3&lt;&gt;"READY","",F16*(1+G17))</f>
        <v/>
      </c>
      <c r="H16" s="17" t="str">
        <f aca="false">IF('Input Required'!$B$3&lt;&gt;"READY","",G16*(1+H17))</f>
        <v/>
      </c>
      <c r="I16" s="17" t="str">
        <f aca="false">IF('Input Required'!$B$3&lt;&gt;"READY","",H16*(1+I17))</f>
        <v/>
      </c>
      <c r="J16" s="0" t="s">
        <v>37</v>
      </c>
      <c r="K16" s="23" t="str">
        <f aca="false">IF('Input Required'!$B$3&lt;&gt;"READY","",'Input Required'!F51/1000000)</f>
        <v/>
      </c>
      <c r="L16" s="10" t="s">
        <v>38</v>
      </c>
    </row>
    <row r="17" customFormat="false" ht="23.85" hidden="false" customHeight="false" outlineLevel="0" collapsed="false">
      <c r="A17" s="13" t="s">
        <v>39</v>
      </c>
      <c r="B17" s="19"/>
      <c r="C17" s="19"/>
      <c r="D17" s="19"/>
      <c r="E17" s="20" t="str">
        <f aca="false">IF('Input Required'!$B$3&lt;&gt;"READY","",'Input Required'!F21/1)</f>
        <v/>
      </c>
      <c r="F17" s="20" t="str">
        <f aca="false">IF('Input Required'!$B$3&lt;&gt;"READY","",'Input Required'!F22/1)</f>
        <v/>
      </c>
      <c r="G17" s="20" t="str">
        <f aca="false">IF('Input Required'!$B$3&lt;&gt;"READY","",'Input Required'!F23/1)</f>
        <v/>
      </c>
      <c r="H17" s="20" t="str">
        <f aca="false">IF('Input Required'!$B$3&lt;&gt;"READY","",'Input Required'!F24/1)</f>
        <v/>
      </c>
      <c r="I17" s="20" t="str">
        <f aca="false">IF('Input Required'!$B$3&lt;&gt;"READY","",'Input Required'!F25/1)</f>
        <v/>
      </c>
      <c r="J17" s="0" t="s">
        <v>40</v>
      </c>
      <c r="K17" s="23" t="str">
        <f aca="false">IF('Input Required'!$B$3&lt;&gt;"READY","",'Input Required'!F52/1000000)</f>
        <v/>
      </c>
      <c r="L17" s="10" t="s">
        <v>38</v>
      </c>
    </row>
    <row r="18" customFormat="false" ht="23.85" hidden="false" customHeight="false" outlineLevel="0" collapsed="false">
      <c r="A18" s="0" t="s">
        <v>41</v>
      </c>
      <c r="B18" s="17" t="n">
        <f aca="false">'Data Review'!E71</f>
        <v>840</v>
      </c>
      <c r="C18" s="17" t="n">
        <f aca="false">'Data Review'!E70</f>
        <v>881</v>
      </c>
      <c r="D18" s="17" t="n">
        <f aca="false">'Data Review'!E69</f>
        <v>798</v>
      </c>
      <c r="E18" s="17" t="str">
        <f aca="false">IF('Input Required'!$B$3&lt;&gt;"READY","",D18*(1+E19))</f>
        <v/>
      </c>
      <c r="F18" s="17" t="str">
        <f aca="false">IF('Input Required'!$B$3&lt;&gt;"READY","",E18*(1+F19))</f>
        <v/>
      </c>
      <c r="G18" s="17" t="str">
        <f aca="false">IF('Input Required'!$B$3&lt;&gt;"READY","",F18*(1+G19))</f>
        <v/>
      </c>
      <c r="H18" s="17" t="str">
        <f aca="false">IF('Input Required'!$B$3&lt;&gt;"READY","",G18*(1+H19))</f>
        <v/>
      </c>
      <c r="I18" s="17" t="str">
        <f aca="false">IF('Input Required'!$B$3&lt;&gt;"READY","",H18*(1+I19))</f>
        <v/>
      </c>
      <c r="J18" s="0" t="s">
        <v>42</v>
      </c>
      <c r="K18" s="23" t="str">
        <f aca="false">IF('Input Required'!$B$3&lt;&gt;"READY","",'Input Required'!F53/1000000)</f>
        <v/>
      </c>
      <c r="L18" s="10" t="s">
        <v>38</v>
      </c>
    </row>
    <row r="19" customFormat="false" ht="23.85" hidden="false" customHeight="false" outlineLevel="0" collapsed="false">
      <c r="A19" s="13" t="s">
        <v>43</v>
      </c>
      <c r="B19" s="19"/>
      <c r="C19" s="19"/>
      <c r="D19" s="19"/>
      <c r="E19" s="20" t="str">
        <f aca="false">IF('Input Required'!$B$3&lt;&gt;"READY","",'Input Required'!F26/1)</f>
        <v/>
      </c>
      <c r="F19" s="20" t="str">
        <f aca="false">IF('Input Required'!$B$3&lt;&gt;"READY","",'Input Required'!F27/1)</f>
        <v/>
      </c>
      <c r="G19" s="20" t="str">
        <f aca="false">IF('Input Required'!$B$3&lt;&gt;"READY","",'Input Required'!F28/1)</f>
        <v/>
      </c>
      <c r="H19" s="20" t="str">
        <f aca="false">IF('Input Required'!$B$3&lt;&gt;"READY","",'Input Required'!F29/1)</f>
        <v/>
      </c>
      <c r="I19" s="20" t="str">
        <f aca="false">IF('Input Required'!$B$3&lt;&gt;"READY","",'Input Required'!F30/1)</f>
        <v/>
      </c>
      <c r="J19" s="0" t="s">
        <v>44</v>
      </c>
      <c r="K19" s="23" t="str">
        <f aca="false">IF('Input Required'!$B$3&lt;&gt;"READY","",'Input Required'!F54/1000000)</f>
        <v/>
      </c>
      <c r="L19" s="10" t="s">
        <v>38</v>
      </c>
    </row>
    <row r="20" customFormat="false" ht="23.85" hidden="false" customHeight="false" outlineLevel="0" collapsed="false">
      <c r="A20" s="0" t="s">
        <v>45</v>
      </c>
      <c r="B20" s="17" t="n">
        <f aca="false">'Data Review'!E77</f>
        <v>70</v>
      </c>
      <c r="C20" s="17" t="n">
        <f aca="false">'Data Review'!E76</f>
        <v>55</v>
      </c>
      <c r="D20" s="17" t="n">
        <f aca="false">'Data Review'!E75</f>
        <v>200</v>
      </c>
      <c r="E20" s="17" t="str">
        <f aca="false">IF('Input Required'!$B$3&lt;&gt;"READY","",D20*(1+E21))</f>
        <v/>
      </c>
      <c r="F20" s="17" t="str">
        <f aca="false">IF('Input Required'!$B$3&lt;&gt;"READY","",E20*(1+F21))</f>
        <v/>
      </c>
      <c r="G20" s="17" t="str">
        <f aca="false">IF('Input Required'!$B$3&lt;&gt;"READY","",F20*(1+G21))</f>
        <v/>
      </c>
      <c r="H20" s="17" t="str">
        <f aca="false">IF('Input Required'!$B$3&lt;&gt;"READY","",G20*(1+H21))</f>
        <v/>
      </c>
      <c r="I20" s="17" t="str">
        <f aca="false">IF('Input Required'!$B$3&lt;&gt;"READY","",H20*(1+I21))</f>
        <v/>
      </c>
      <c r="J20" s="0" t="s">
        <v>46</v>
      </c>
      <c r="K20" s="23" t="str">
        <f aca="false">IF('Input Required'!$B$3&lt;&gt;"READY","",'Input Required'!F55/1000000)</f>
        <v/>
      </c>
      <c r="L20" s="10" t="s">
        <v>38</v>
      </c>
    </row>
    <row r="21" customFormat="false" ht="15" hidden="false" customHeight="false" outlineLevel="0" collapsed="false">
      <c r="A21" s="13" t="s">
        <v>47</v>
      </c>
      <c r="B21" s="19"/>
      <c r="C21" s="19"/>
      <c r="D21" s="19"/>
      <c r="E21" s="20" t="str">
        <f aca="false">IF('Input Required'!$B$3&lt;&gt;"READY","",'Input Required'!F31/1)</f>
        <v/>
      </c>
      <c r="F21" s="20" t="str">
        <f aca="false">IF('Input Required'!$B$3&lt;&gt;"READY","",'Input Required'!F32/1)</f>
        <v/>
      </c>
      <c r="G21" s="20" t="str">
        <f aca="false">IF('Input Required'!$B$3&lt;&gt;"READY","",'Input Required'!F33/1)</f>
        <v/>
      </c>
      <c r="H21" s="20" t="str">
        <f aca="false">IF('Input Required'!$B$3&lt;&gt;"READY","",'Input Required'!F34/1)</f>
        <v/>
      </c>
      <c r="I21" s="20" t="str">
        <f aca="false">IF('Input Required'!$B$3&lt;&gt;"READY","",'Input Required'!F35/1)</f>
        <v/>
      </c>
    </row>
    <row r="22" customFormat="false" ht="15" hidden="false" customHeight="false" outlineLevel="0" collapsed="false">
      <c r="A22" s="0" t="s">
        <v>48</v>
      </c>
      <c r="B22" s="17" t="n">
        <f aca="false">'Data Review'!E65</f>
        <v>1708</v>
      </c>
      <c r="C22" s="17" t="n">
        <f aca="false">'Data Review'!E64</f>
        <v>1667</v>
      </c>
      <c r="D22" s="17" t="n">
        <f aca="false">'Data Review'!E63</f>
        <v>1671</v>
      </c>
      <c r="E22" s="17" t="str">
        <f aca="false">IF('Input Required'!$B$3&lt;&gt;"READY","",D22*(1+E23))</f>
        <v/>
      </c>
      <c r="F22" s="17" t="str">
        <f aca="false">IF('Input Required'!$B$3&lt;&gt;"READY","",E22*(1+F23))</f>
        <v/>
      </c>
      <c r="G22" s="17" t="str">
        <f aca="false">IF('Input Required'!$B$3&lt;&gt;"READY","",F22*(1+G23))</f>
        <v/>
      </c>
      <c r="H22" s="17" t="str">
        <f aca="false">IF('Input Required'!$B$3&lt;&gt;"READY","",G22*(1+H23))</f>
        <v/>
      </c>
      <c r="I22" s="17" t="str">
        <f aca="false">IF('Input Required'!$B$3&lt;&gt;"READY","",H22*(1+I23))</f>
        <v/>
      </c>
    </row>
    <row r="23" customFormat="false" ht="15" hidden="false" customHeight="false" outlineLevel="0" collapsed="false">
      <c r="A23" s="13" t="s">
        <v>49</v>
      </c>
      <c r="B23" s="19"/>
      <c r="C23" s="19"/>
      <c r="D23" s="19"/>
      <c r="E23" s="20" t="str">
        <f aca="false">IF('Input Required'!$B$3&lt;&gt;"READY","",'Input Required'!F36/1)</f>
        <v/>
      </c>
      <c r="F23" s="20" t="str">
        <f aca="false">IF('Input Required'!$B$3&lt;&gt;"READY","",'Input Required'!F37/1)</f>
        <v/>
      </c>
      <c r="G23" s="20" t="str">
        <f aca="false">IF('Input Required'!$B$3&lt;&gt;"READY","",'Input Required'!F38/1)</f>
        <v/>
      </c>
      <c r="H23" s="20" t="str">
        <f aca="false">IF('Input Required'!$B$3&lt;&gt;"READY","",'Input Required'!F39/1)</f>
        <v/>
      </c>
      <c r="I23" s="20" t="str">
        <f aca="false">IF('Input Required'!$B$3&lt;&gt;"READY","",'Input Required'!F40/1)</f>
        <v/>
      </c>
    </row>
    <row r="24" customFormat="false" ht="15" hidden="false" customHeight="false" outlineLevel="0" collapsed="false">
      <c r="A24" s="24" t="s">
        <v>50</v>
      </c>
      <c r="B24" s="25" t="n">
        <f aca="false">SUM(B10,B12,B14,B16,B18,B20,B22)</f>
        <v>5525</v>
      </c>
      <c r="C24" s="25" t="n">
        <f aca="false">SUM(C10,C12,C14,C16,C18,C20,C22)</f>
        <v>5796</v>
      </c>
      <c r="D24" s="25" t="n">
        <f aca="false">SUM(D10,D12,D14,D16,D18,D20,D22)</f>
        <v>5943</v>
      </c>
      <c r="E24" s="25" t="n">
        <f aca="false">SUM(E10,E12,E14,E16,E18,E20,E22)</f>
        <v>0</v>
      </c>
      <c r="F24" s="25" t="n">
        <f aca="false">SUM(F10,F12,F14,F16,F18,F20,F22)</f>
        <v>0</v>
      </c>
      <c r="G24" s="25" t="n">
        <f aca="false">SUM(G10,G12,G14,G16,G18,G20,G22)</f>
        <v>0</v>
      </c>
      <c r="H24" s="25" t="n">
        <f aca="false">SUM(H10,H12,H14,H16,H18,H20,H22)</f>
        <v>0</v>
      </c>
      <c r="I24" s="25" t="n">
        <f aca="false">SUM(I10,I12,I14,I16,I18,I20,I22)</f>
        <v>0</v>
      </c>
    </row>
    <row r="25" customFormat="false" ht="15" hidden="false" customHeight="false" outlineLevel="0" collapsed="false">
      <c r="A25" s="24" t="s">
        <v>51</v>
      </c>
      <c r="B25" s="23" t="n">
        <f aca="false">B24</f>
        <v>5525</v>
      </c>
      <c r="C25" s="23" t="n">
        <f aca="false">C24</f>
        <v>5796</v>
      </c>
      <c r="D25" s="23" t="n">
        <f aca="false">D24</f>
        <v>5943</v>
      </c>
      <c r="E25" s="23" t="n">
        <f aca="false">E24</f>
        <v>0</v>
      </c>
      <c r="F25" s="23" t="n">
        <f aca="false">F24</f>
        <v>0</v>
      </c>
      <c r="G25" s="23" t="n">
        <f aca="false">G24</f>
        <v>0</v>
      </c>
      <c r="H25" s="23" t="n">
        <f aca="false">H24</f>
        <v>0</v>
      </c>
      <c r="I25" s="23" t="n">
        <f aca="false">I24</f>
        <v>0</v>
      </c>
    </row>
    <row r="26" customFormat="false" ht="15" hidden="false" customHeight="true" outlineLevel="0" collapsed="false">
      <c r="A26" s="26" t="s">
        <v>52</v>
      </c>
      <c r="B26" s="26"/>
      <c r="C26" s="26"/>
      <c r="D26" s="26"/>
      <c r="E26" s="26"/>
      <c r="F26" s="26"/>
      <c r="G26" s="26"/>
      <c r="H26" s="26"/>
      <c r="I26" s="26"/>
    </row>
    <row r="28" customFormat="false" ht="15" hidden="false" customHeight="false" outlineLevel="0" collapsed="false">
      <c r="A28" s="11" t="s">
        <v>53</v>
      </c>
      <c r="B28" s="11"/>
      <c r="C28" s="11"/>
      <c r="D28" s="11"/>
      <c r="E28" s="11"/>
      <c r="F28" s="11"/>
      <c r="G28" s="11"/>
      <c r="H28" s="11"/>
      <c r="I28" s="11"/>
    </row>
    <row r="30" customFormat="false" ht="15" hidden="false" customHeight="false" outlineLevel="0" collapsed="false">
      <c r="A30" s="0" t="s">
        <v>54</v>
      </c>
      <c r="E30" s="23" t="str">
        <f aca="false">IF('Input Required'!$B$3&lt;&gt;"READY","",'Input Required'!F41/1000000)</f>
        <v/>
      </c>
      <c r="F30" s="23" t="str">
        <f aca="false">IF('Input Required'!$B$3&lt;&gt;"READY","",'Input Required'!F42/1000000)</f>
        <v/>
      </c>
      <c r="G30" s="23" t="str">
        <f aca="false">IF('Input Required'!$B$3&lt;&gt;"READY","",'Input Required'!F43/1000000)</f>
        <v/>
      </c>
      <c r="H30" s="23" t="str">
        <f aca="false">IF('Input Required'!$B$3&lt;&gt;"READY","",'Input Required'!F44/1000000)</f>
        <v/>
      </c>
      <c r="I30" s="23" t="str">
        <f aca="false">IF('Input Required'!$B$3&lt;&gt;"READY","",'Input Required'!F45/1000000)</f>
        <v/>
      </c>
    </row>
    <row r="31" customFormat="false" ht="15" hidden="false" customHeight="false" outlineLevel="0" collapsed="false">
      <c r="A31" s="0" t="s">
        <v>55</v>
      </c>
      <c r="E31" s="23" t="str">
        <f aca="false">IF('Input Required'!$B$3&lt;&gt;"READY","",E25-E30)</f>
        <v/>
      </c>
      <c r="F31" s="23" t="str">
        <f aca="false">IF('Input Required'!$B$3&lt;&gt;"READY","",F25-F30)</f>
        <v/>
      </c>
      <c r="G31" s="23" t="str">
        <f aca="false">IF('Input Required'!$B$3&lt;&gt;"READY","",G25-G30)</f>
        <v/>
      </c>
      <c r="H31" s="23" t="str">
        <f aca="false">IF('Input Required'!$B$3&lt;&gt;"READY","",H25-H30)</f>
        <v/>
      </c>
      <c r="I31" s="23" t="str">
        <f aca="false">IF('Input Required'!$B$3&lt;&gt;"READY","",I25-I30)</f>
        <v/>
      </c>
    </row>
    <row r="32" customFormat="false" ht="15" hidden="false" customHeight="false" outlineLevel="0" collapsed="false">
      <c r="A32" s="0" t="s">
        <v>56</v>
      </c>
      <c r="E32" s="23" t="str">
        <f aca="false">IF('Input Required'!$B$3&lt;&gt;"READY","",'Input Required'!F46/1000000)</f>
        <v/>
      </c>
      <c r="F32" s="23" t="str">
        <f aca="false">IF('Input Required'!$B$3&lt;&gt;"READY","",'Input Required'!F47/1000000)</f>
        <v/>
      </c>
      <c r="G32" s="23" t="str">
        <f aca="false">IF('Input Required'!$B$3&lt;&gt;"READY","",'Input Required'!F48/1000000)</f>
        <v/>
      </c>
      <c r="H32" s="23" t="str">
        <f aca="false">IF('Input Required'!$B$3&lt;&gt;"READY","",'Input Required'!F49/1000000)</f>
        <v/>
      </c>
      <c r="I32" s="23" t="str">
        <f aca="false">IF('Input Required'!$B$3&lt;&gt;"READY","",'Input Required'!F50/1000000)</f>
        <v/>
      </c>
    </row>
    <row r="33" customFormat="false" ht="15" hidden="false" customHeight="false" outlineLevel="0" collapsed="false">
      <c r="A33" s="0" t="s">
        <v>57</v>
      </c>
      <c r="E33" s="23" t="str">
        <f aca="false">IF('Input Required'!$B$3&lt;&gt;"READY","",IF(E31&lt;0,E31,MIN(E31,E32)))</f>
        <v/>
      </c>
      <c r="F33" s="23" t="str">
        <f aca="false">IF('Input Required'!$B$3&lt;&gt;"READY","",IF(F31&lt;0,F31,MIN(F31,F32)))</f>
        <v/>
      </c>
      <c r="G33" s="23" t="str">
        <f aca="false">IF('Input Required'!$B$3&lt;&gt;"READY","",IF(G31&lt;0,G31,MIN(G31,G32)))</f>
        <v/>
      </c>
      <c r="H33" s="23" t="str">
        <f aca="false">IF('Input Required'!$B$3&lt;&gt;"READY","",IF(H31&lt;0,H31,MIN(H31,H32)))</f>
        <v/>
      </c>
      <c r="I33" s="23" t="str">
        <f aca="false">IF('Input Required'!$B$3&lt;&gt;"READY","",IF(I31&lt;0,I31,MIN(I31,I32)))</f>
        <v/>
      </c>
    </row>
    <row r="34" customFormat="false" ht="15" hidden="false" customHeight="false" outlineLevel="0" collapsed="false">
      <c r="A34" s="0" t="s">
        <v>58</v>
      </c>
      <c r="E34" s="18" t="str">
        <f aca="false">IF('Input Required'!$B$3&lt;&gt;"READY","",1/(1+$K$8)^1)</f>
        <v/>
      </c>
      <c r="F34" s="18" t="str">
        <f aca="false">IF('Input Required'!$B$3&lt;&gt;"READY","",1/(1+$K$8)^2)</f>
        <v/>
      </c>
      <c r="G34" s="18" t="str">
        <f aca="false">IF('Input Required'!$B$3&lt;&gt;"READY","",1/(1+$K$8)^3)</f>
        <v/>
      </c>
      <c r="H34" s="18" t="str">
        <f aca="false">IF('Input Required'!$B$3&lt;&gt;"READY","",1/(1+$K$8)^4)</f>
        <v/>
      </c>
      <c r="I34" s="18" t="str">
        <f aca="false">IF('Input Required'!$B$3&lt;&gt;"READY","",1/(1+$K$8)^5)</f>
        <v/>
      </c>
    </row>
    <row r="35" customFormat="false" ht="15" hidden="false" customHeight="false" outlineLevel="0" collapsed="false">
      <c r="A35" s="0" t="s">
        <v>59</v>
      </c>
      <c r="E35" s="23" t="str">
        <f aca="false">IF('Input Required'!$B$3&lt;&gt;"READY","",E33*E34)</f>
        <v/>
      </c>
      <c r="F35" s="23" t="str">
        <f aca="false">IF('Input Required'!$B$3&lt;&gt;"READY","",F33*F34)</f>
        <v/>
      </c>
      <c r="G35" s="23" t="str">
        <f aca="false">IF('Input Required'!$B$3&lt;&gt;"READY","",G33*G34)</f>
        <v/>
      </c>
      <c r="H35" s="23" t="str">
        <f aca="false">IF('Input Required'!$B$3&lt;&gt;"READY","",H33*H34)</f>
        <v/>
      </c>
      <c r="I35" s="23" t="str">
        <f aca="false">IF('Input Required'!$B$3&lt;&gt;"READY","",I33*I34)</f>
        <v/>
      </c>
    </row>
    <row r="38" customFormat="false" ht="15" hidden="false" customHeight="false" outlineLevel="0" collapsed="false">
      <c r="A38" s="11" t="s">
        <v>60</v>
      </c>
      <c r="B38" s="11"/>
      <c r="C38" s="11"/>
      <c r="D38" s="11"/>
      <c r="E38" s="11"/>
      <c r="F38" s="11"/>
      <c r="G38" s="11"/>
      <c r="H38" s="11"/>
      <c r="I38" s="11"/>
    </row>
    <row r="40" customFormat="false" ht="15" hidden="false" customHeight="false" outlineLevel="0" collapsed="false">
      <c r="A40" s="0" t="s">
        <v>61</v>
      </c>
      <c r="B40" s="23" t="str">
        <f aca="false">IF($B$4&lt;&gt;"READY","",I33*(1+$K$10)/($K$8-$K$10))</f>
        <v/>
      </c>
    </row>
    <row r="41" customFormat="false" ht="15" hidden="false" customHeight="false" outlineLevel="0" collapsed="false">
      <c r="A41" s="0" t="s">
        <v>62</v>
      </c>
      <c r="B41" s="23" t="str">
        <f aca="false">IF($B$4&lt;&gt;"READY","",B40/(1+$K$8)^5)</f>
        <v/>
      </c>
    </row>
    <row r="42" customFormat="false" ht="15" hidden="false" customHeight="false" outlineLevel="0" collapsed="false">
      <c r="A42" s="0" t="s">
        <v>63</v>
      </c>
      <c r="B42" s="23" t="str">
        <f aca="false">IF($B$4&lt;&gt;"READY","",SUM(E35:I35))</f>
        <v/>
      </c>
    </row>
    <row r="43" customFormat="false" ht="15" hidden="false" customHeight="false" outlineLevel="0" collapsed="false">
      <c r="A43" s="0" t="s">
        <v>64</v>
      </c>
      <c r="B43" s="23" t="str">
        <f aca="false">IF($B$4&lt;&gt;"READY","",MAX($K$16-$K$17,0))</f>
        <v/>
      </c>
    </row>
    <row r="44" customFormat="false" ht="15" hidden="false" customHeight="false" outlineLevel="0" collapsed="false">
      <c r="A44" s="0" t="s">
        <v>65</v>
      </c>
      <c r="B44" s="23" t="str">
        <f aca="false">IF($B$4&lt;&gt;"READY","",$K$18)</f>
        <v/>
      </c>
    </row>
    <row r="45" customFormat="false" ht="15" hidden="false" customHeight="false" outlineLevel="0" collapsed="false">
      <c r="A45" s="0" t="s">
        <v>66</v>
      </c>
      <c r="B45" s="23" t="str">
        <f aca="false">IF($B$4&lt;&gt;"READY","",$K$19)</f>
        <v/>
      </c>
    </row>
    <row r="46" customFormat="false" ht="15" hidden="false" customHeight="false" outlineLevel="0" collapsed="false">
      <c r="A46" s="0" t="s">
        <v>67</v>
      </c>
      <c r="B46" s="23" t="str">
        <f aca="false">IF($B$4&lt;&gt;"READY","",$K$20)</f>
        <v/>
      </c>
    </row>
    <row r="47" customFormat="false" ht="15" hidden="false" customHeight="false" outlineLevel="0" collapsed="false">
      <c r="A47" s="0" t="s">
        <v>68</v>
      </c>
      <c r="B47" s="27" t="str">
        <f aca="false">IF($B$4&lt;&gt;"READY","",B42+B41+B43-B44-B45-B46)</f>
        <v/>
      </c>
    </row>
    <row r="48" customFormat="false" ht="15" hidden="false" customHeight="false" outlineLevel="0" collapsed="false">
      <c r="A48" s="0" t="s">
        <v>27</v>
      </c>
      <c r="B48" s="23" t="str">
        <f aca="false">IF($B$4&lt;&gt;"READY","",$K$12)</f>
        <v/>
      </c>
    </row>
    <row r="49" customFormat="false" ht="15" hidden="false" customHeight="false" outlineLevel="0" collapsed="false">
      <c r="A49" s="0" t="s">
        <v>69</v>
      </c>
      <c r="B49" s="28" t="str">
        <f aca="false">IF($B$4&lt;&gt;"READY","",B47/B48)</f>
        <v/>
      </c>
    </row>
    <row r="50" customFormat="false" ht="15" hidden="false" customHeight="false" outlineLevel="0" collapsed="false">
      <c r="A50" s="0" t="s">
        <v>70</v>
      </c>
      <c r="B50" s="29" t="str">
        <f aca="false">IF($B$4&lt;&gt;"READY","",$K$11)</f>
        <v/>
      </c>
    </row>
    <row r="51" customFormat="false" ht="15" hidden="false" customHeight="false" outlineLevel="0" collapsed="false">
      <c r="A51" s="0" t="s">
        <v>71</v>
      </c>
      <c r="B51" s="18" t="str">
        <f aca="false">IF($B$4&lt;&gt;"READY","",B49/B50-1)</f>
        <v/>
      </c>
    </row>
    <row r="54" customFormat="false" ht="15" hidden="false" customHeight="false" outlineLevel="0" collapsed="false">
      <c r="A54" s="11" t="s">
        <v>72</v>
      </c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false" outlineLevel="0" collapsed="false">
      <c r="A55" s="0" t="s">
        <v>73</v>
      </c>
      <c r="B55" s="30" t="str">
        <f aca="false">IF($B$4&lt;&gt;"READY","",$K$10+(-2)*0.5%)</f>
        <v/>
      </c>
      <c r="C55" s="30" t="str">
        <f aca="false">IF($B$4&lt;&gt;"READY","",$K$10+(-1)*0.5%)</f>
        <v/>
      </c>
      <c r="D55" s="30" t="str">
        <f aca="false">IF($B$4&lt;&gt;"READY","",$K$10+(0)*0.5%)</f>
        <v/>
      </c>
      <c r="E55" s="30" t="str">
        <f aca="false">IF($B$4&lt;&gt;"READY","",$K$10+(1)*0.5%)</f>
        <v/>
      </c>
      <c r="F55" s="30" t="str">
        <f aca="false">IF($B$4&lt;&gt;"READY","",$K$10+(2)*0.5%)</f>
        <v/>
      </c>
    </row>
    <row r="56" customFormat="false" ht="15" hidden="false" customHeight="false" outlineLevel="0" collapsed="false">
      <c r="A56" s="31" t="str">
        <f aca="false">IF($B$4&lt;&gt;"READY","",$K$8+(-2)*0.5%)</f>
        <v/>
      </c>
      <c r="B56" s="29" t="str">
        <f aca="false">IF($B$4&lt;&gt;"READY","",IF(OR($A56&lt;=B$55,B$55&gt;$A56-0.5%,B$55&gt;10%),"",(E33/(1+$A56)^1+F33/(1+$A56)^2+G33/(1+$A56)^3+H33/(1+$A56)^4+I33/(1+$A56)^5+I33*(1+B$55)/($A56-B$55)/(1+$A56)^5+MAX($K$16-$K$17,0)-$K$18-$K$19-$K$20)/$K$12))</f>
        <v/>
      </c>
      <c r="C56" s="29" t="str">
        <f aca="false">IF($B$4&lt;&gt;"READY","",IF(OR($A56&lt;=C$55,C$55&gt;$A56-0.5%,C$55&gt;10%),"",(E33/(1+$A56)^1+F33/(1+$A56)^2+G33/(1+$A56)^3+H33/(1+$A56)^4+I33/(1+$A56)^5+I33*(1+C$55)/($A56-C$55)/(1+$A56)^5+MAX($K$16-$K$17,0)-$K$18-$K$19-$K$20)/$K$12))</f>
        <v/>
      </c>
      <c r="D56" s="29" t="str">
        <f aca="false">IF($B$4&lt;&gt;"READY","",IF(OR($A56&lt;=D$55,D$55&gt;$A56-0.5%,D$55&gt;10%),"",(E33/(1+$A56)^1+F33/(1+$A56)^2+G33/(1+$A56)^3+H33/(1+$A56)^4+I33/(1+$A56)^5+I33*(1+D$55)/($A56-D$55)/(1+$A56)^5+MAX($K$16-$K$17,0)-$K$18-$K$19-$K$20)/$K$12))</f>
        <v/>
      </c>
      <c r="E56" s="29" t="str">
        <f aca="false">IF($B$4&lt;&gt;"READY","",IF(OR($A56&lt;=E$55,E$55&gt;$A56-0.5%,E$55&gt;10%),"",(E33/(1+$A56)^1+F33/(1+$A56)^2+G33/(1+$A56)^3+H33/(1+$A56)^4+I33/(1+$A56)^5+I33*(1+E$55)/($A56-E$55)/(1+$A56)^5+MAX($K$16-$K$17,0)-$K$18-$K$19-$K$20)/$K$12))</f>
        <v/>
      </c>
      <c r="F56" s="29" t="str">
        <f aca="false">IF($B$4&lt;&gt;"READY","",IF(OR($A56&lt;=F$55,F$55&gt;$A56-0.5%,F$55&gt;10%),"",(E33/(1+$A56)^1+F33/(1+$A56)^2+G33/(1+$A56)^3+H33/(1+$A56)^4+I33/(1+$A56)^5+I33*(1+F$55)/($A56-F$55)/(1+$A56)^5+MAX($K$16-$K$17,0)-$K$18-$K$19-$K$20)/$K$12))</f>
        <v/>
      </c>
    </row>
    <row r="57" customFormat="false" ht="15" hidden="false" customHeight="false" outlineLevel="0" collapsed="false">
      <c r="A57" s="31" t="str">
        <f aca="false">IF($B$4&lt;&gt;"READY","",$K$8+(-1)*0.5%)</f>
        <v/>
      </c>
      <c r="B57" s="29" t="str">
        <f aca="false">IF($B$4&lt;&gt;"READY","",IF(OR($A57&lt;=B$55,B$55&gt;$A57-0.5%,B$55&gt;10%),"",(E33/(1+$A57)^1+F33/(1+$A57)^2+G33/(1+$A57)^3+H33/(1+$A57)^4+I33/(1+$A57)^5+I33*(1+B$55)/($A57-B$55)/(1+$A57)^5+MAX($K$16-$K$17,0)-$K$18-$K$19-$K$20)/$K$12))</f>
        <v/>
      </c>
      <c r="C57" s="29" t="str">
        <f aca="false">IF($B$4&lt;&gt;"READY","",IF(OR($A57&lt;=C$55,C$55&gt;$A57-0.5%,C$55&gt;10%),"",(E33/(1+$A57)^1+F33/(1+$A57)^2+G33/(1+$A57)^3+H33/(1+$A57)^4+I33/(1+$A57)^5+I33*(1+C$55)/($A57-C$55)/(1+$A57)^5+MAX($K$16-$K$17,0)-$K$18-$K$19-$K$20)/$K$12))</f>
        <v/>
      </c>
      <c r="D57" s="29" t="str">
        <f aca="false">IF($B$4&lt;&gt;"READY","",IF(OR($A57&lt;=D$55,D$55&gt;$A57-0.5%,D$55&gt;10%),"",(E33/(1+$A57)^1+F33/(1+$A57)^2+G33/(1+$A57)^3+H33/(1+$A57)^4+I33/(1+$A57)^5+I33*(1+D$55)/($A57-D$55)/(1+$A57)^5+MAX($K$16-$K$17,0)-$K$18-$K$19-$K$20)/$K$12))</f>
        <v/>
      </c>
      <c r="E57" s="29" t="str">
        <f aca="false">IF($B$4&lt;&gt;"READY","",IF(OR($A57&lt;=E$55,E$55&gt;$A57-0.5%,E$55&gt;10%),"",(E33/(1+$A57)^1+F33/(1+$A57)^2+G33/(1+$A57)^3+H33/(1+$A57)^4+I33/(1+$A57)^5+I33*(1+E$55)/($A57-E$55)/(1+$A57)^5+MAX($K$16-$K$17,0)-$K$18-$K$19-$K$20)/$K$12))</f>
        <v/>
      </c>
      <c r="F57" s="29" t="str">
        <f aca="false">IF($B$4&lt;&gt;"READY","",IF(OR($A57&lt;=F$55,F$55&gt;$A57-0.5%,F$55&gt;10%),"",(E33/(1+$A57)^1+F33/(1+$A57)^2+G33/(1+$A57)^3+H33/(1+$A57)^4+I33/(1+$A57)^5+I33*(1+F$55)/($A57-F$55)/(1+$A57)^5+MAX($K$16-$K$17,0)-$K$18-$K$19-$K$20)/$K$12))</f>
        <v/>
      </c>
    </row>
    <row r="58" customFormat="false" ht="15" hidden="false" customHeight="false" outlineLevel="0" collapsed="false">
      <c r="A58" s="31" t="str">
        <f aca="false">IF($B$4&lt;&gt;"READY","",$K$8+(0)*0.5%)</f>
        <v/>
      </c>
      <c r="B58" s="29" t="str">
        <f aca="false">IF($B$4&lt;&gt;"READY","",IF(OR($A58&lt;=B$55,B$55&gt;$A58-0.5%,B$55&gt;10%),"",(E33/(1+$A58)^1+F33/(1+$A58)^2+G33/(1+$A58)^3+H33/(1+$A58)^4+I33/(1+$A58)^5+I33*(1+B$55)/($A58-B$55)/(1+$A58)^5+MAX($K$16-$K$17,0)-$K$18-$K$19-$K$20)/$K$12))</f>
        <v/>
      </c>
      <c r="C58" s="29" t="str">
        <f aca="false">IF($B$4&lt;&gt;"READY","",IF(OR($A58&lt;=C$55,C$55&gt;$A58-0.5%,C$55&gt;10%),"",(E33/(1+$A58)^1+F33/(1+$A58)^2+G33/(1+$A58)^3+H33/(1+$A58)^4+I33/(1+$A58)^5+I33*(1+C$55)/($A58-C$55)/(1+$A58)^5+MAX($K$16-$K$17,0)-$K$18-$K$19-$K$20)/$K$12))</f>
        <v/>
      </c>
      <c r="D58" s="29" t="str">
        <f aca="false">IF($B$4&lt;&gt;"READY","",IF(OR($A58&lt;=D$55,D$55&gt;$A58-0.5%,D$55&gt;10%),"",(E33/(1+$A58)^1+F33/(1+$A58)^2+G33/(1+$A58)^3+H33/(1+$A58)^4+I33/(1+$A58)^5+I33*(1+D$55)/($A58-D$55)/(1+$A58)^5+MAX($K$16-$K$17,0)-$K$18-$K$19-$K$20)/$K$12))</f>
        <v/>
      </c>
      <c r="E58" s="29" t="str">
        <f aca="false">IF($B$4&lt;&gt;"READY","",IF(OR($A58&lt;=E$55,E$55&gt;$A58-0.5%,E$55&gt;10%),"",(E33/(1+$A58)^1+F33/(1+$A58)^2+G33/(1+$A58)^3+H33/(1+$A58)^4+I33/(1+$A58)^5+I33*(1+E$55)/($A58-E$55)/(1+$A58)^5+MAX($K$16-$K$17,0)-$K$18-$K$19-$K$20)/$K$12))</f>
        <v/>
      </c>
      <c r="F58" s="29" t="str">
        <f aca="false">IF($B$4&lt;&gt;"READY","",IF(OR($A58&lt;=F$55,F$55&gt;$A58-0.5%,F$55&gt;10%),"",(E33/(1+$A58)^1+F33/(1+$A58)^2+G33/(1+$A58)^3+H33/(1+$A58)^4+I33/(1+$A58)^5+I33*(1+F$55)/($A58-F$55)/(1+$A58)^5+MAX($K$16-$K$17,0)-$K$18-$K$19-$K$20)/$K$12))</f>
        <v/>
      </c>
    </row>
    <row r="59" customFormat="false" ht="15" hidden="false" customHeight="false" outlineLevel="0" collapsed="false">
      <c r="A59" s="31" t="str">
        <f aca="false">IF($B$4&lt;&gt;"READY","",$K$8+(1)*0.5%)</f>
        <v/>
      </c>
      <c r="B59" s="29" t="str">
        <f aca="false">IF($B$4&lt;&gt;"READY","",IF(OR($A59&lt;=B$55,B$55&gt;$A59-0.5%,B$55&gt;10%),"",(E33/(1+$A59)^1+F33/(1+$A59)^2+G33/(1+$A59)^3+H33/(1+$A59)^4+I33/(1+$A59)^5+I33*(1+B$55)/($A59-B$55)/(1+$A59)^5+MAX($K$16-$K$17,0)-$K$18-$K$19-$K$20)/$K$12))</f>
        <v/>
      </c>
      <c r="C59" s="29" t="str">
        <f aca="false">IF($B$4&lt;&gt;"READY","",IF(OR($A59&lt;=C$55,C$55&gt;$A59-0.5%,C$55&gt;10%),"",(E33/(1+$A59)^1+F33/(1+$A59)^2+G33/(1+$A59)^3+H33/(1+$A59)^4+I33/(1+$A59)^5+I33*(1+C$55)/($A59-C$55)/(1+$A59)^5+MAX($K$16-$K$17,0)-$K$18-$K$19-$K$20)/$K$12))</f>
        <v/>
      </c>
      <c r="D59" s="29" t="str">
        <f aca="false">IF($B$4&lt;&gt;"READY","",IF(OR($A59&lt;=D$55,D$55&gt;$A59-0.5%,D$55&gt;10%),"",(E33/(1+$A59)^1+F33/(1+$A59)^2+G33/(1+$A59)^3+H33/(1+$A59)^4+I33/(1+$A59)^5+I33*(1+D$55)/($A59-D$55)/(1+$A59)^5+MAX($K$16-$K$17,0)-$K$18-$K$19-$K$20)/$K$12))</f>
        <v/>
      </c>
      <c r="E59" s="29" t="str">
        <f aca="false">IF($B$4&lt;&gt;"READY","",IF(OR($A59&lt;=E$55,E$55&gt;$A59-0.5%,E$55&gt;10%),"",(E33/(1+$A59)^1+F33/(1+$A59)^2+G33/(1+$A59)^3+H33/(1+$A59)^4+I33/(1+$A59)^5+I33*(1+E$55)/($A59-E$55)/(1+$A59)^5+MAX($K$16-$K$17,0)-$K$18-$K$19-$K$20)/$K$12))</f>
        <v/>
      </c>
      <c r="F59" s="29" t="str">
        <f aca="false">IF($B$4&lt;&gt;"READY","",IF(OR($A59&lt;=F$55,F$55&gt;$A59-0.5%,F$55&gt;10%),"",(E33/(1+$A59)^1+F33/(1+$A59)^2+G33/(1+$A59)^3+H33/(1+$A59)^4+I33/(1+$A59)^5+I33*(1+F$55)/($A59-F$55)/(1+$A59)^5+MAX($K$16-$K$17,0)-$K$18-$K$19-$K$20)/$K$12))</f>
        <v/>
      </c>
    </row>
    <row r="60" customFormat="false" ht="15" hidden="false" customHeight="false" outlineLevel="0" collapsed="false">
      <c r="A60" s="31" t="str">
        <f aca="false">IF($B$4&lt;&gt;"READY","",$K$8+(2)*0.5%)</f>
        <v/>
      </c>
      <c r="B60" s="29" t="str">
        <f aca="false">IF($B$4&lt;&gt;"READY","",IF(OR($A60&lt;=B$55,B$55&gt;$A60-0.5%,B$55&gt;10%),"",(E33/(1+$A60)^1+F33/(1+$A60)^2+G33/(1+$A60)^3+H33/(1+$A60)^4+I33/(1+$A60)^5+I33*(1+B$55)/($A60-B$55)/(1+$A60)^5+MAX($K$16-$K$17,0)-$K$18-$K$19-$K$20)/$K$12))</f>
        <v/>
      </c>
      <c r="C60" s="29" t="str">
        <f aca="false">IF($B$4&lt;&gt;"READY","",IF(OR($A60&lt;=C$55,C$55&gt;$A60-0.5%,C$55&gt;10%),"",(E33/(1+$A60)^1+F33/(1+$A60)^2+G33/(1+$A60)^3+H33/(1+$A60)^4+I33/(1+$A60)^5+I33*(1+C$55)/($A60-C$55)/(1+$A60)^5+MAX($K$16-$K$17,0)-$K$18-$K$19-$K$20)/$K$12))</f>
        <v/>
      </c>
      <c r="D60" s="29" t="str">
        <f aca="false">IF($B$4&lt;&gt;"READY","",IF(OR($A60&lt;=D$55,D$55&gt;$A60-0.5%,D$55&gt;10%),"",(E33/(1+$A60)^1+F33/(1+$A60)^2+G33/(1+$A60)^3+H33/(1+$A60)^4+I33/(1+$A60)^5+I33*(1+D$55)/($A60-D$55)/(1+$A60)^5+MAX($K$16-$K$17,0)-$K$18-$K$19-$K$20)/$K$12))</f>
        <v/>
      </c>
      <c r="E60" s="29" t="str">
        <f aca="false">IF($B$4&lt;&gt;"READY","",IF(OR($A60&lt;=E$55,E$55&gt;$A60-0.5%,E$55&gt;10%),"",(E33/(1+$A60)^1+F33/(1+$A60)^2+G33/(1+$A60)^3+H33/(1+$A60)^4+I33/(1+$A60)^5+I33*(1+E$55)/($A60-E$55)/(1+$A60)^5+MAX($K$16-$K$17,0)-$K$18-$K$19-$K$20)/$K$12))</f>
        <v/>
      </c>
      <c r="F60" s="29" t="str">
        <f aca="false">IF($B$4&lt;&gt;"READY","",IF(OR($A60&lt;=F$55,F$55&gt;$A60-0.5%,F$55&gt;10%),"",(E33/(1+$A60)^1+F33/(1+$A60)^2+G33/(1+$A60)^3+H33/(1+$A60)^4+I33/(1+$A60)^5+I33*(1+F$55)/($A60-F$55)/(1+$A60)^5+MAX($K$16-$K$17,0)-$K$18-$K$19-$K$20)/$K$12))</f>
        <v/>
      </c>
    </row>
    <row r="62" customFormat="false" ht="15" hidden="false" customHeight="true" outlineLevel="0" collapsed="false">
      <c r="A62" s="26" t="s">
        <v>74</v>
      </c>
      <c r="B62" s="26"/>
      <c r="C62" s="26"/>
      <c r="D62" s="26"/>
      <c r="E62" s="26"/>
      <c r="F62" s="26"/>
      <c r="G62" s="26"/>
      <c r="H62" s="26"/>
      <c r="I62" s="26"/>
    </row>
    <row r="64" customFormat="false" ht="15" hidden="false" customHeight="false" outlineLevel="0" collapsed="false">
      <c r="A64" s="11" t="s">
        <v>75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customFormat="false" ht="22.35" hidden="false" customHeight="false" outlineLevel="0" collapsed="false">
      <c r="A65" s="7" t="s">
        <v>76</v>
      </c>
      <c r="B65" s="7" t="s">
        <v>77</v>
      </c>
      <c r="C65" s="7" t="s">
        <v>78</v>
      </c>
      <c r="D65" s="7" t="s">
        <v>79</v>
      </c>
      <c r="E65" s="7" t="s">
        <v>80</v>
      </c>
      <c r="F65" s="7" t="s">
        <v>81</v>
      </c>
      <c r="G65" s="7" t="s">
        <v>82</v>
      </c>
      <c r="H65" s="7" t="s">
        <v>83</v>
      </c>
    </row>
    <row r="66" customFormat="false" ht="225.35" hidden="false" customHeight="false" outlineLevel="0" collapsed="false">
      <c r="A66" s="32" t="s">
        <v>84</v>
      </c>
      <c r="B66" s="33" t="s">
        <v>85</v>
      </c>
      <c r="C66" s="32" t="n">
        <v>2025</v>
      </c>
      <c r="D66" s="34" t="n">
        <v>3.5</v>
      </c>
      <c r="E66" s="32" t="s">
        <v>86</v>
      </c>
      <c r="F66" s="32" t="s">
        <v>87</v>
      </c>
      <c r="G66" s="32" t="s">
        <v>88</v>
      </c>
      <c r="H66" s="33" t="s">
        <v>89</v>
      </c>
    </row>
    <row r="67" customFormat="false" ht="225.35" hidden="false" customHeight="false" outlineLevel="0" collapsed="false">
      <c r="A67" s="32" t="s">
        <v>84</v>
      </c>
      <c r="B67" s="33" t="s">
        <v>85</v>
      </c>
      <c r="C67" s="32" t="n">
        <v>2024</v>
      </c>
      <c r="D67" s="34" t="n">
        <v>3.6</v>
      </c>
      <c r="E67" s="32" t="s">
        <v>86</v>
      </c>
      <c r="F67" s="32" t="s">
        <v>87</v>
      </c>
      <c r="G67" s="32" t="s">
        <v>88</v>
      </c>
      <c r="H67" s="33" t="s">
        <v>89</v>
      </c>
    </row>
    <row r="68" customFormat="false" ht="216.4" hidden="false" customHeight="false" outlineLevel="0" collapsed="false">
      <c r="A68" s="32" t="s">
        <v>90</v>
      </c>
      <c r="B68" s="33" t="s">
        <v>91</v>
      </c>
      <c r="C68" s="32" t="n">
        <v>2025</v>
      </c>
      <c r="D68" s="34" t="n">
        <v>3.7</v>
      </c>
      <c r="E68" s="32" t="s">
        <v>86</v>
      </c>
      <c r="F68" s="32" t="s">
        <v>87</v>
      </c>
      <c r="G68" s="32" t="s">
        <v>88</v>
      </c>
      <c r="H68" s="33" t="s">
        <v>92</v>
      </c>
    </row>
    <row r="69" customFormat="false" ht="216.4" hidden="false" customHeight="false" outlineLevel="0" collapsed="false">
      <c r="A69" s="32" t="s">
        <v>90</v>
      </c>
      <c r="B69" s="33" t="s">
        <v>91</v>
      </c>
      <c r="C69" s="32" t="n">
        <v>2024</v>
      </c>
      <c r="D69" s="34" t="n">
        <v>3.8</v>
      </c>
      <c r="E69" s="32" t="s">
        <v>86</v>
      </c>
      <c r="F69" s="32" t="s">
        <v>87</v>
      </c>
      <c r="G69" s="32" t="s">
        <v>88</v>
      </c>
      <c r="H69" s="33" t="s">
        <v>92</v>
      </c>
    </row>
    <row r="70" customFormat="false" ht="82.05" hidden="false" customHeight="false" outlineLevel="0" collapsed="false">
      <c r="A70" s="32" t="s">
        <v>93</v>
      </c>
      <c r="B70" s="33" t="s">
        <v>94</v>
      </c>
      <c r="C70" s="32" t="n">
        <v>2026</v>
      </c>
      <c r="D70" s="35" t="n">
        <v>2121</v>
      </c>
      <c r="E70" s="32" t="s">
        <v>95</v>
      </c>
      <c r="F70" s="32"/>
      <c r="G70" s="32" t="s">
        <v>88</v>
      </c>
      <c r="H70" s="33" t="s">
        <v>96</v>
      </c>
    </row>
    <row r="71" customFormat="false" ht="64.15" hidden="false" customHeight="false" outlineLevel="0" collapsed="false">
      <c r="A71" s="32" t="s">
        <v>97</v>
      </c>
      <c r="B71" s="33" t="s">
        <v>94</v>
      </c>
      <c r="C71" s="32" t="n">
        <v>2025</v>
      </c>
      <c r="D71" s="35" t="n">
        <v>2332</v>
      </c>
      <c r="E71" s="32" t="s">
        <v>95</v>
      </c>
      <c r="F71" s="32"/>
      <c r="G71" s="32" t="s">
        <v>88</v>
      </c>
      <c r="H71" s="33" t="s">
        <v>98</v>
      </c>
    </row>
    <row r="72" customFormat="false" ht="82.05" hidden="false" customHeight="false" outlineLevel="0" collapsed="false">
      <c r="A72" s="32" t="s">
        <v>93</v>
      </c>
      <c r="B72" s="33" t="s">
        <v>94</v>
      </c>
      <c r="C72" s="32" t="n">
        <v>2025</v>
      </c>
      <c r="D72" s="35" t="n">
        <v>2732</v>
      </c>
      <c r="E72" s="32" t="s">
        <v>95</v>
      </c>
      <c r="F72" s="32"/>
      <c r="G72" s="32" t="s">
        <v>88</v>
      </c>
      <c r="H72" s="33" t="s">
        <v>99</v>
      </c>
    </row>
    <row r="73" customFormat="false" ht="64.15" hidden="false" customHeight="false" outlineLevel="0" collapsed="false">
      <c r="A73" s="32" t="s">
        <v>97</v>
      </c>
      <c r="B73" s="33" t="s">
        <v>94</v>
      </c>
      <c r="C73" s="32" t="n">
        <v>2024</v>
      </c>
      <c r="D73" s="35" t="n">
        <v>3476</v>
      </c>
      <c r="E73" s="32" t="s">
        <v>95</v>
      </c>
      <c r="F73" s="32"/>
      <c r="G73" s="32" t="s">
        <v>88</v>
      </c>
      <c r="H73" s="33" t="s">
        <v>100</v>
      </c>
    </row>
    <row r="74" customFormat="false" ht="82.05" hidden="false" customHeight="false" outlineLevel="0" collapsed="false">
      <c r="A74" s="32" t="s">
        <v>93</v>
      </c>
      <c r="B74" s="33" t="s">
        <v>94</v>
      </c>
      <c r="C74" s="32" t="n">
        <v>2024</v>
      </c>
      <c r="D74" s="35" t="n">
        <v>3476</v>
      </c>
      <c r="E74" s="32" t="s">
        <v>95</v>
      </c>
      <c r="F74" s="32"/>
      <c r="G74" s="32" t="s">
        <v>88</v>
      </c>
      <c r="H74" s="33" t="s">
        <v>101</v>
      </c>
    </row>
    <row r="75" customFormat="false" ht="73.1" hidden="false" customHeight="false" outlineLevel="0" collapsed="false">
      <c r="A75" s="32" t="s">
        <v>93</v>
      </c>
      <c r="B75" s="33" t="s">
        <v>102</v>
      </c>
      <c r="C75" s="32" t="n">
        <v>2026</v>
      </c>
      <c r="D75" s="35" t="n">
        <v>2219</v>
      </c>
      <c r="E75" s="32" t="s">
        <v>95</v>
      </c>
      <c r="F75" s="32"/>
      <c r="G75" s="32" t="s">
        <v>88</v>
      </c>
      <c r="H75" s="33" t="s">
        <v>103</v>
      </c>
    </row>
    <row r="76" customFormat="false" ht="55.2" hidden="false" customHeight="false" outlineLevel="0" collapsed="false">
      <c r="A76" s="32" t="s">
        <v>97</v>
      </c>
      <c r="B76" s="33" t="s">
        <v>102</v>
      </c>
      <c r="C76" s="32" t="n">
        <v>2025</v>
      </c>
      <c r="D76" s="35" t="n">
        <v>400</v>
      </c>
      <c r="E76" s="32" t="s">
        <v>95</v>
      </c>
      <c r="F76" s="32"/>
      <c r="G76" s="32" t="s">
        <v>88</v>
      </c>
      <c r="H76" s="33" t="s">
        <v>104</v>
      </c>
    </row>
    <row r="77" customFormat="false" ht="73.1" hidden="false" customHeight="false" outlineLevel="0" collapsed="false">
      <c r="A77" s="32" t="s">
        <v>93</v>
      </c>
      <c r="B77" s="33" t="s">
        <v>102</v>
      </c>
      <c r="C77" s="32" t="n">
        <v>2025</v>
      </c>
      <c r="D77" s="35" t="n">
        <v>751</v>
      </c>
      <c r="E77" s="32" t="s">
        <v>95</v>
      </c>
      <c r="F77" s="32"/>
      <c r="G77" s="32" t="s">
        <v>88</v>
      </c>
      <c r="H77" s="33" t="s">
        <v>105</v>
      </c>
    </row>
    <row r="78" customFormat="false" ht="55.2" hidden="false" customHeight="false" outlineLevel="0" collapsed="false">
      <c r="A78" s="32" t="s">
        <v>97</v>
      </c>
      <c r="B78" s="33" t="s">
        <v>102</v>
      </c>
      <c r="C78" s="32" t="n">
        <v>2024</v>
      </c>
      <c r="D78" s="35" t="n">
        <v>1485</v>
      </c>
      <c r="E78" s="32" t="s">
        <v>95</v>
      </c>
      <c r="F78" s="32"/>
      <c r="G78" s="32" t="s">
        <v>88</v>
      </c>
      <c r="H78" s="33" t="s">
        <v>106</v>
      </c>
    </row>
    <row r="79" customFormat="false" ht="73.1" hidden="false" customHeight="false" outlineLevel="0" collapsed="false">
      <c r="A79" s="32" t="s">
        <v>93</v>
      </c>
      <c r="B79" s="33" t="s">
        <v>102</v>
      </c>
      <c r="C79" s="32" t="n">
        <v>2024</v>
      </c>
      <c r="D79" s="35" t="n">
        <v>945</v>
      </c>
      <c r="E79" s="32" t="s">
        <v>95</v>
      </c>
      <c r="F79" s="32"/>
      <c r="G79" s="32" t="s">
        <v>88</v>
      </c>
      <c r="H79" s="33" t="s">
        <v>107</v>
      </c>
    </row>
    <row r="80" customFormat="false" ht="82.05" hidden="false" customHeight="false" outlineLevel="0" collapsed="false">
      <c r="A80" s="32" t="s">
        <v>93</v>
      </c>
      <c r="B80" s="33" t="s">
        <v>108</v>
      </c>
      <c r="C80" s="32" t="n">
        <v>2026</v>
      </c>
      <c r="D80" s="35" t="n">
        <v>547</v>
      </c>
      <c r="E80" s="32" t="s">
        <v>95</v>
      </c>
      <c r="F80" s="32"/>
      <c r="G80" s="32" t="s">
        <v>88</v>
      </c>
      <c r="H80" s="33" t="s">
        <v>109</v>
      </c>
    </row>
    <row r="81" customFormat="false" ht="64.15" hidden="false" customHeight="false" outlineLevel="0" collapsed="false">
      <c r="A81" s="32" t="s">
        <v>97</v>
      </c>
      <c r="B81" s="33" t="s">
        <v>108</v>
      </c>
      <c r="C81" s="32" t="n">
        <v>2025</v>
      </c>
      <c r="D81" s="35" t="n">
        <v>760</v>
      </c>
      <c r="E81" s="32" t="s">
        <v>95</v>
      </c>
      <c r="F81" s="32"/>
      <c r="G81" s="32" t="s">
        <v>88</v>
      </c>
      <c r="H81" s="33" t="s">
        <v>110</v>
      </c>
    </row>
    <row r="82" customFormat="false" ht="82.05" hidden="false" customHeight="false" outlineLevel="0" collapsed="false">
      <c r="A82" s="32" t="s">
        <v>93</v>
      </c>
      <c r="B82" s="33" t="s">
        <v>108</v>
      </c>
      <c r="C82" s="32" t="n">
        <v>2025</v>
      </c>
      <c r="D82" s="35" t="n">
        <v>358</v>
      </c>
      <c r="E82" s="32" t="s">
        <v>95</v>
      </c>
      <c r="F82" s="32"/>
      <c r="G82" s="32" t="s">
        <v>88</v>
      </c>
      <c r="H82" s="33" t="s">
        <v>111</v>
      </c>
    </row>
    <row r="83" customFormat="false" ht="64.15" hidden="false" customHeight="false" outlineLevel="0" collapsed="false">
      <c r="A83" s="32" t="s">
        <v>97</v>
      </c>
      <c r="B83" s="33" t="s">
        <v>108</v>
      </c>
      <c r="C83" s="32" t="n">
        <v>2024</v>
      </c>
      <c r="D83" s="35" t="n">
        <v>373</v>
      </c>
      <c r="E83" s="32" t="s">
        <v>95</v>
      </c>
      <c r="F83" s="32"/>
      <c r="G83" s="32" t="s">
        <v>88</v>
      </c>
      <c r="H83" s="33" t="s">
        <v>112</v>
      </c>
    </row>
    <row r="84" customFormat="false" ht="82.05" hidden="false" customHeight="false" outlineLevel="0" collapsed="false">
      <c r="A84" s="32" t="s">
        <v>93</v>
      </c>
      <c r="B84" s="33" t="s">
        <v>108</v>
      </c>
      <c r="C84" s="32" t="n">
        <v>2024</v>
      </c>
      <c r="D84" s="35" t="n">
        <v>373</v>
      </c>
      <c r="E84" s="32" t="s">
        <v>95</v>
      </c>
      <c r="F84" s="32"/>
      <c r="G84" s="32" t="s">
        <v>88</v>
      </c>
      <c r="H84" s="33" t="s">
        <v>113</v>
      </c>
    </row>
    <row r="86" customFormat="false" ht="33.75" hidden="false" customHeight="true" outlineLevel="0" collapsed="false">
      <c r="A86" s="36" t="s">
        <v>114</v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</sheetData>
  <autoFilter ref="A9:I25"/>
  <mergeCells count="11">
    <mergeCell ref="A1:L1"/>
    <mergeCell ref="A3:L3"/>
    <mergeCell ref="A5:I5"/>
    <mergeCell ref="A7:I7"/>
    <mergeCell ref="A26:I26"/>
    <mergeCell ref="A28:I28"/>
    <mergeCell ref="A38:I38"/>
    <mergeCell ref="A54:I54"/>
    <mergeCell ref="A62:I62"/>
    <mergeCell ref="A64:L64"/>
    <mergeCell ref="A86:L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4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115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7" t="s">
        <v>116</v>
      </c>
      <c r="B2" s="37"/>
      <c r="C2" s="37"/>
      <c r="D2" s="37"/>
      <c r="E2" s="37"/>
      <c r="F2" s="37"/>
      <c r="G2" s="37"/>
      <c r="H2" s="37"/>
    </row>
    <row r="3" customFormat="false" ht="23.85" hidden="false" customHeight="false" outlineLevel="0" collapsed="false">
      <c r="A3" s="4" t="s">
        <v>3</v>
      </c>
      <c r="B3" s="38" t="str">
        <f aca="false">IF(COUNTIF('Data Review'!$C$5:$C$55,"INPUT ERROR")&gt;0,"INPUT ERROR — check required inputs",IF(COUNTIF('Data Review'!$C$5:$C$55,"INPUT REQUIRED")+COUNTIF('Data Review'!$C$5:$C$55,"SOURCE REQUIRED")&gt;0,"INCOMPLETE — fill required inputs","READY"))</f>
        <v>INCOMPLETE — fill required inputs</v>
      </c>
    </row>
    <row r="5" customFormat="false" ht="15" hidden="false" customHeight="false" outlineLevel="0" collapsed="false">
      <c r="A5" s="39" t="s">
        <v>117</v>
      </c>
      <c r="B5" s="39" t="s">
        <v>118</v>
      </c>
      <c r="C5" s="39" t="s">
        <v>119</v>
      </c>
      <c r="D5" s="39" t="s">
        <v>120</v>
      </c>
      <c r="E5" s="39" t="s">
        <v>121</v>
      </c>
      <c r="F5" s="39" t="s">
        <v>122</v>
      </c>
      <c r="G5" s="39" t="s">
        <v>123</v>
      </c>
      <c r="H5" s="39" t="s">
        <v>124</v>
      </c>
    </row>
    <row r="6" customFormat="false" ht="46.25" hidden="false" customHeight="false" outlineLevel="0" collapsed="false">
      <c r="A6" s="40" t="s">
        <v>125</v>
      </c>
      <c r="B6" s="40" t="s">
        <v>126</v>
      </c>
      <c r="C6" s="40" t="s">
        <v>127</v>
      </c>
      <c r="D6" s="40" t="s">
        <v>86</v>
      </c>
      <c r="E6" s="40" t="s">
        <v>128</v>
      </c>
      <c r="F6" s="41"/>
      <c r="G6" s="41"/>
      <c r="H6" s="40" t="s">
        <v>129</v>
      </c>
    </row>
    <row r="7" customFormat="false" ht="46.25" hidden="false" customHeight="false" outlineLevel="0" collapsed="false">
      <c r="A7" s="40" t="s">
        <v>125</v>
      </c>
      <c r="B7" s="40" t="s">
        <v>126</v>
      </c>
      <c r="C7" s="40" t="s">
        <v>130</v>
      </c>
      <c r="D7" s="40" t="s">
        <v>86</v>
      </c>
      <c r="E7" s="40" t="s">
        <v>131</v>
      </c>
      <c r="F7" s="41"/>
      <c r="G7" s="41"/>
      <c r="H7" s="40" t="s">
        <v>129</v>
      </c>
    </row>
    <row r="8" customFormat="false" ht="46.25" hidden="false" customHeight="false" outlineLevel="0" collapsed="false">
      <c r="A8" s="40" t="s">
        <v>125</v>
      </c>
      <c r="B8" s="40" t="s">
        <v>126</v>
      </c>
      <c r="C8" s="40" t="s">
        <v>132</v>
      </c>
      <c r="D8" s="40" t="s">
        <v>86</v>
      </c>
      <c r="E8" s="40" t="s">
        <v>133</v>
      </c>
      <c r="F8" s="41"/>
      <c r="G8" s="41"/>
      <c r="H8" s="40" t="s">
        <v>129</v>
      </c>
    </row>
    <row r="9" customFormat="false" ht="46.25" hidden="false" customHeight="false" outlineLevel="0" collapsed="false">
      <c r="A9" s="40" t="s">
        <v>125</v>
      </c>
      <c r="B9" s="40" t="s">
        <v>126</v>
      </c>
      <c r="C9" s="40" t="s">
        <v>134</v>
      </c>
      <c r="D9" s="40" t="s">
        <v>86</v>
      </c>
      <c r="E9" s="40" t="s">
        <v>135</v>
      </c>
      <c r="F9" s="41"/>
      <c r="G9" s="41"/>
      <c r="H9" s="40" t="s">
        <v>129</v>
      </c>
    </row>
    <row r="10" customFormat="false" ht="46.25" hidden="false" customHeight="false" outlineLevel="0" collapsed="false">
      <c r="A10" s="40" t="s">
        <v>125</v>
      </c>
      <c r="B10" s="40" t="s">
        <v>126</v>
      </c>
      <c r="C10" s="40" t="s">
        <v>136</v>
      </c>
      <c r="D10" s="40" t="s">
        <v>86</v>
      </c>
      <c r="E10" s="40" t="s">
        <v>137</v>
      </c>
      <c r="F10" s="41"/>
      <c r="G10" s="41"/>
      <c r="H10" s="40" t="s">
        <v>129</v>
      </c>
    </row>
    <row r="11" customFormat="false" ht="46.25" hidden="false" customHeight="false" outlineLevel="0" collapsed="false">
      <c r="A11" s="40" t="s">
        <v>138</v>
      </c>
      <c r="B11" s="40" t="s">
        <v>139</v>
      </c>
      <c r="C11" s="40" t="s">
        <v>127</v>
      </c>
      <c r="D11" s="40" t="s">
        <v>86</v>
      </c>
      <c r="E11" s="40" t="s">
        <v>128</v>
      </c>
      <c r="F11" s="41"/>
      <c r="G11" s="41"/>
      <c r="H11" s="40" t="s">
        <v>129</v>
      </c>
    </row>
    <row r="12" customFormat="false" ht="46.25" hidden="false" customHeight="false" outlineLevel="0" collapsed="false">
      <c r="A12" s="40" t="s">
        <v>138</v>
      </c>
      <c r="B12" s="40" t="s">
        <v>139</v>
      </c>
      <c r="C12" s="40" t="s">
        <v>130</v>
      </c>
      <c r="D12" s="40" t="s">
        <v>86</v>
      </c>
      <c r="E12" s="40" t="s">
        <v>131</v>
      </c>
      <c r="F12" s="41"/>
      <c r="G12" s="41"/>
      <c r="H12" s="40" t="s">
        <v>129</v>
      </c>
    </row>
    <row r="13" customFormat="false" ht="46.25" hidden="false" customHeight="false" outlineLevel="0" collapsed="false">
      <c r="A13" s="40" t="s">
        <v>138</v>
      </c>
      <c r="B13" s="40" t="s">
        <v>139</v>
      </c>
      <c r="C13" s="40" t="s">
        <v>132</v>
      </c>
      <c r="D13" s="40" t="s">
        <v>86</v>
      </c>
      <c r="E13" s="40" t="s">
        <v>133</v>
      </c>
      <c r="F13" s="41"/>
      <c r="G13" s="41"/>
      <c r="H13" s="40" t="s">
        <v>129</v>
      </c>
    </row>
    <row r="14" customFormat="false" ht="46.25" hidden="false" customHeight="false" outlineLevel="0" collapsed="false">
      <c r="A14" s="40" t="s">
        <v>138</v>
      </c>
      <c r="B14" s="40" t="s">
        <v>139</v>
      </c>
      <c r="C14" s="40" t="s">
        <v>134</v>
      </c>
      <c r="D14" s="40" t="s">
        <v>86</v>
      </c>
      <c r="E14" s="40" t="s">
        <v>135</v>
      </c>
      <c r="F14" s="41"/>
      <c r="G14" s="41"/>
      <c r="H14" s="40" t="s">
        <v>129</v>
      </c>
    </row>
    <row r="15" customFormat="false" ht="46.25" hidden="false" customHeight="false" outlineLevel="0" collapsed="false">
      <c r="A15" s="40" t="s">
        <v>138</v>
      </c>
      <c r="B15" s="40" t="s">
        <v>139</v>
      </c>
      <c r="C15" s="40" t="s">
        <v>136</v>
      </c>
      <c r="D15" s="40" t="s">
        <v>86</v>
      </c>
      <c r="E15" s="40" t="s">
        <v>137</v>
      </c>
      <c r="F15" s="41"/>
      <c r="G15" s="41"/>
      <c r="H15" s="40" t="s">
        <v>129</v>
      </c>
    </row>
    <row r="16" customFormat="false" ht="46.25" hidden="false" customHeight="false" outlineLevel="0" collapsed="false">
      <c r="A16" s="40" t="s">
        <v>140</v>
      </c>
      <c r="B16" s="40" t="s">
        <v>141</v>
      </c>
      <c r="C16" s="40" t="s">
        <v>127</v>
      </c>
      <c r="D16" s="40" t="s">
        <v>86</v>
      </c>
      <c r="E16" s="40" t="s">
        <v>128</v>
      </c>
      <c r="F16" s="41"/>
      <c r="G16" s="41"/>
      <c r="H16" s="40" t="s">
        <v>129</v>
      </c>
    </row>
    <row r="17" customFormat="false" ht="46.25" hidden="false" customHeight="false" outlineLevel="0" collapsed="false">
      <c r="A17" s="40" t="s">
        <v>140</v>
      </c>
      <c r="B17" s="40" t="s">
        <v>141</v>
      </c>
      <c r="C17" s="40" t="s">
        <v>130</v>
      </c>
      <c r="D17" s="40" t="s">
        <v>86</v>
      </c>
      <c r="E17" s="40" t="s">
        <v>131</v>
      </c>
      <c r="F17" s="41"/>
      <c r="G17" s="41"/>
      <c r="H17" s="40" t="s">
        <v>129</v>
      </c>
    </row>
    <row r="18" customFormat="false" ht="46.25" hidden="false" customHeight="false" outlineLevel="0" collapsed="false">
      <c r="A18" s="40" t="s">
        <v>140</v>
      </c>
      <c r="B18" s="40" t="s">
        <v>141</v>
      </c>
      <c r="C18" s="40" t="s">
        <v>132</v>
      </c>
      <c r="D18" s="40" t="s">
        <v>86</v>
      </c>
      <c r="E18" s="40" t="s">
        <v>133</v>
      </c>
      <c r="F18" s="41"/>
      <c r="G18" s="41"/>
      <c r="H18" s="40" t="s">
        <v>129</v>
      </c>
    </row>
    <row r="19" customFormat="false" ht="46.25" hidden="false" customHeight="false" outlineLevel="0" collapsed="false">
      <c r="A19" s="40" t="s">
        <v>140</v>
      </c>
      <c r="B19" s="40" t="s">
        <v>141</v>
      </c>
      <c r="C19" s="40" t="s">
        <v>134</v>
      </c>
      <c r="D19" s="40" t="s">
        <v>86</v>
      </c>
      <c r="E19" s="40" t="s">
        <v>135</v>
      </c>
      <c r="F19" s="41"/>
      <c r="G19" s="41"/>
      <c r="H19" s="40" t="s">
        <v>129</v>
      </c>
    </row>
    <row r="20" customFormat="false" ht="46.25" hidden="false" customHeight="false" outlineLevel="0" collapsed="false">
      <c r="A20" s="40" t="s">
        <v>140</v>
      </c>
      <c r="B20" s="40" t="s">
        <v>141</v>
      </c>
      <c r="C20" s="40" t="s">
        <v>136</v>
      </c>
      <c r="D20" s="40" t="s">
        <v>86</v>
      </c>
      <c r="E20" s="40" t="s">
        <v>137</v>
      </c>
      <c r="F20" s="41"/>
      <c r="G20" s="41"/>
      <c r="H20" s="40" t="s">
        <v>129</v>
      </c>
    </row>
    <row r="21" customFormat="false" ht="46.25" hidden="false" customHeight="false" outlineLevel="0" collapsed="false">
      <c r="A21" s="40" t="s">
        <v>142</v>
      </c>
      <c r="B21" s="40" t="s">
        <v>143</v>
      </c>
      <c r="C21" s="40" t="s">
        <v>127</v>
      </c>
      <c r="D21" s="40" t="s">
        <v>86</v>
      </c>
      <c r="E21" s="40" t="s">
        <v>128</v>
      </c>
      <c r="F21" s="41"/>
      <c r="G21" s="41"/>
      <c r="H21" s="40" t="s">
        <v>129</v>
      </c>
    </row>
    <row r="22" customFormat="false" ht="46.25" hidden="false" customHeight="false" outlineLevel="0" collapsed="false">
      <c r="A22" s="40" t="s">
        <v>142</v>
      </c>
      <c r="B22" s="40" t="s">
        <v>143</v>
      </c>
      <c r="C22" s="40" t="s">
        <v>130</v>
      </c>
      <c r="D22" s="40" t="s">
        <v>86</v>
      </c>
      <c r="E22" s="40" t="s">
        <v>131</v>
      </c>
      <c r="F22" s="41"/>
      <c r="G22" s="41"/>
      <c r="H22" s="40" t="s">
        <v>129</v>
      </c>
    </row>
    <row r="23" customFormat="false" ht="46.25" hidden="false" customHeight="false" outlineLevel="0" collapsed="false">
      <c r="A23" s="40" t="s">
        <v>142</v>
      </c>
      <c r="B23" s="40" t="s">
        <v>143</v>
      </c>
      <c r="C23" s="40" t="s">
        <v>132</v>
      </c>
      <c r="D23" s="40" t="s">
        <v>86</v>
      </c>
      <c r="E23" s="40" t="s">
        <v>133</v>
      </c>
      <c r="F23" s="41"/>
      <c r="G23" s="41"/>
      <c r="H23" s="40" t="s">
        <v>129</v>
      </c>
    </row>
    <row r="24" customFormat="false" ht="46.25" hidden="false" customHeight="false" outlineLevel="0" collapsed="false">
      <c r="A24" s="40" t="s">
        <v>142</v>
      </c>
      <c r="B24" s="40" t="s">
        <v>143</v>
      </c>
      <c r="C24" s="40" t="s">
        <v>134</v>
      </c>
      <c r="D24" s="40" t="s">
        <v>86</v>
      </c>
      <c r="E24" s="40" t="s">
        <v>135</v>
      </c>
      <c r="F24" s="41"/>
      <c r="G24" s="41"/>
      <c r="H24" s="40" t="s">
        <v>129</v>
      </c>
    </row>
    <row r="25" customFormat="false" ht="46.25" hidden="false" customHeight="false" outlineLevel="0" collapsed="false">
      <c r="A25" s="40" t="s">
        <v>142</v>
      </c>
      <c r="B25" s="40" t="s">
        <v>143</v>
      </c>
      <c r="C25" s="40" t="s">
        <v>136</v>
      </c>
      <c r="D25" s="40" t="s">
        <v>86</v>
      </c>
      <c r="E25" s="40" t="s">
        <v>137</v>
      </c>
      <c r="F25" s="41"/>
      <c r="G25" s="41"/>
      <c r="H25" s="40" t="s">
        <v>129</v>
      </c>
    </row>
    <row r="26" customFormat="false" ht="46.25" hidden="false" customHeight="false" outlineLevel="0" collapsed="false">
      <c r="A26" s="40" t="s">
        <v>144</v>
      </c>
      <c r="B26" s="40" t="s">
        <v>145</v>
      </c>
      <c r="C26" s="40" t="s">
        <v>127</v>
      </c>
      <c r="D26" s="40" t="s">
        <v>86</v>
      </c>
      <c r="E26" s="40" t="s">
        <v>128</v>
      </c>
      <c r="F26" s="41"/>
      <c r="G26" s="41"/>
      <c r="H26" s="40" t="s">
        <v>129</v>
      </c>
    </row>
    <row r="27" customFormat="false" ht="46.25" hidden="false" customHeight="false" outlineLevel="0" collapsed="false">
      <c r="A27" s="40" t="s">
        <v>144</v>
      </c>
      <c r="B27" s="40" t="s">
        <v>145</v>
      </c>
      <c r="C27" s="40" t="s">
        <v>130</v>
      </c>
      <c r="D27" s="40" t="s">
        <v>86</v>
      </c>
      <c r="E27" s="40" t="s">
        <v>131</v>
      </c>
      <c r="F27" s="41"/>
      <c r="G27" s="41"/>
      <c r="H27" s="40" t="s">
        <v>129</v>
      </c>
    </row>
    <row r="28" customFormat="false" ht="46.25" hidden="false" customHeight="false" outlineLevel="0" collapsed="false">
      <c r="A28" s="40" t="s">
        <v>144</v>
      </c>
      <c r="B28" s="40" t="s">
        <v>145</v>
      </c>
      <c r="C28" s="40" t="s">
        <v>132</v>
      </c>
      <c r="D28" s="40" t="s">
        <v>86</v>
      </c>
      <c r="E28" s="40" t="s">
        <v>133</v>
      </c>
      <c r="F28" s="41"/>
      <c r="G28" s="41"/>
      <c r="H28" s="40" t="s">
        <v>129</v>
      </c>
    </row>
    <row r="29" customFormat="false" ht="46.25" hidden="false" customHeight="false" outlineLevel="0" collapsed="false">
      <c r="A29" s="40" t="s">
        <v>144</v>
      </c>
      <c r="B29" s="40" t="s">
        <v>145</v>
      </c>
      <c r="C29" s="40" t="s">
        <v>134</v>
      </c>
      <c r="D29" s="40" t="s">
        <v>86</v>
      </c>
      <c r="E29" s="40" t="s">
        <v>135</v>
      </c>
      <c r="F29" s="41"/>
      <c r="G29" s="41"/>
      <c r="H29" s="40" t="s">
        <v>129</v>
      </c>
    </row>
    <row r="30" customFormat="false" ht="46.25" hidden="false" customHeight="false" outlineLevel="0" collapsed="false">
      <c r="A30" s="40" t="s">
        <v>144</v>
      </c>
      <c r="B30" s="40" t="s">
        <v>145</v>
      </c>
      <c r="C30" s="40" t="s">
        <v>136</v>
      </c>
      <c r="D30" s="40" t="s">
        <v>86</v>
      </c>
      <c r="E30" s="40" t="s">
        <v>137</v>
      </c>
      <c r="F30" s="41"/>
      <c r="G30" s="41"/>
      <c r="H30" s="40" t="s">
        <v>129</v>
      </c>
    </row>
    <row r="31" customFormat="false" ht="46.25" hidden="false" customHeight="false" outlineLevel="0" collapsed="false">
      <c r="A31" s="40" t="s">
        <v>146</v>
      </c>
      <c r="B31" s="40" t="s">
        <v>147</v>
      </c>
      <c r="C31" s="40" t="s">
        <v>127</v>
      </c>
      <c r="D31" s="40" t="s">
        <v>86</v>
      </c>
      <c r="E31" s="40" t="s">
        <v>128</v>
      </c>
      <c r="F31" s="41"/>
      <c r="G31" s="41"/>
      <c r="H31" s="40" t="s">
        <v>129</v>
      </c>
    </row>
    <row r="32" customFormat="false" ht="46.25" hidden="false" customHeight="false" outlineLevel="0" collapsed="false">
      <c r="A32" s="40" t="s">
        <v>146</v>
      </c>
      <c r="B32" s="40" t="s">
        <v>147</v>
      </c>
      <c r="C32" s="40" t="s">
        <v>130</v>
      </c>
      <c r="D32" s="40" t="s">
        <v>86</v>
      </c>
      <c r="E32" s="40" t="s">
        <v>131</v>
      </c>
      <c r="F32" s="41"/>
      <c r="G32" s="41"/>
      <c r="H32" s="40" t="s">
        <v>129</v>
      </c>
    </row>
    <row r="33" customFormat="false" ht="46.25" hidden="false" customHeight="false" outlineLevel="0" collapsed="false">
      <c r="A33" s="40" t="s">
        <v>146</v>
      </c>
      <c r="B33" s="40" t="s">
        <v>147</v>
      </c>
      <c r="C33" s="40" t="s">
        <v>132</v>
      </c>
      <c r="D33" s="40" t="s">
        <v>86</v>
      </c>
      <c r="E33" s="40" t="s">
        <v>133</v>
      </c>
      <c r="F33" s="41"/>
      <c r="G33" s="41"/>
      <c r="H33" s="40" t="s">
        <v>129</v>
      </c>
    </row>
    <row r="34" customFormat="false" ht="46.25" hidden="false" customHeight="false" outlineLevel="0" collapsed="false">
      <c r="A34" s="40" t="s">
        <v>146</v>
      </c>
      <c r="B34" s="40" t="s">
        <v>147</v>
      </c>
      <c r="C34" s="40" t="s">
        <v>134</v>
      </c>
      <c r="D34" s="40" t="s">
        <v>86</v>
      </c>
      <c r="E34" s="40" t="s">
        <v>135</v>
      </c>
      <c r="F34" s="41"/>
      <c r="G34" s="41"/>
      <c r="H34" s="40" t="s">
        <v>129</v>
      </c>
    </row>
    <row r="35" customFormat="false" ht="46.25" hidden="false" customHeight="false" outlineLevel="0" collapsed="false">
      <c r="A35" s="40" t="s">
        <v>146</v>
      </c>
      <c r="B35" s="40" t="s">
        <v>147</v>
      </c>
      <c r="C35" s="40" t="s">
        <v>136</v>
      </c>
      <c r="D35" s="40" t="s">
        <v>86</v>
      </c>
      <c r="E35" s="40" t="s">
        <v>137</v>
      </c>
      <c r="F35" s="41"/>
      <c r="G35" s="41"/>
      <c r="H35" s="40" t="s">
        <v>129</v>
      </c>
    </row>
    <row r="36" customFormat="false" ht="46.25" hidden="false" customHeight="false" outlineLevel="0" collapsed="false">
      <c r="A36" s="40" t="s">
        <v>148</v>
      </c>
      <c r="B36" s="40" t="s">
        <v>149</v>
      </c>
      <c r="C36" s="40" t="s">
        <v>127</v>
      </c>
      <c r="D36" s="40" t="s">
        <v>86</v>
      </c>
      <c r="E36" s="40" t="s">
        <v>128</v>
      </c>
      <c r="F36" s="41"/>
      <c r="G36" s="41"/>
      <c r="H36" s="40" t="s">
        <v>129</v>
      </c>
    </row>
    <row r="37" customFormat="false" ht="46.25" hidden="false" customHeight="false" outlineLevel="0" collapsed="false">
      <c r="A37" s="40" t="s">
        <v>148</v>
      </c>
      <c r="B37" s="40" t="s">
        <v>149</v>
      </c>
      <c r="C37" s="40" t="s">
        <v>130</v>
      </c>
      <c r="D37" s="40" t="s">
        <v>86</v>
      </c>
      <c r="E37" s="40" t="s">
        <v>131</v>
      </c>
      <c r="F37" s="41"/>
      <c r="G37" s="41"/>
      <c r="H37" s="40" t="s">
        <v>129</v>
      </c>
    </row>
    <row r="38" customFormat="false" ht="46.25" hidden="false" customHeight="false" outlineLevel="0" collapsed="false">
      <c r="A38" s="40" t="s">
        <v>148</v>
      </c>
      <c r="B38" s="40" t="s">
        <v>149</v>
      </c>
      <c r="C38" s="40" t="s">
        <v>132</v>
      </c>
      <c r="D38" s="40" t="s">
        <v>86</v>
      </c>
      <c r="E38" s="40" t="s">
        <v>133</v>
      </c>
      <c r="F38" s="41"/>
      <c r="G38" s="41"/>
      <c r="H38" s="40" t="s">
        <v>129</v>
      </c>
    </row>
    <row r="39" customFormat="false" ht="46.25" hidden="false" customHeight="false" outlineLevel="0" collapsed="false">
      <c r="A39" s="40" t="s">
        <v>148</v>
      </c>
      <c r="B39" s="40" t="s">
        <v>149</v>
      </c>
      <c r="C39" s="40" t="s">
        <v>134</v>
      </c>
      <c r="D39" s="40" t="s">
        <v>86</v>
      </c>
      <c r="E39" s="40" t="s">
        <v>135</v>
      </c>
      <c r="F39" s="41"/>
      <c r="G39" s="41"/>
      <c r="H39" s="40" t="s">
        <v>129</v>
      </c>
    </row>
    <row r="40" customFormat="false" ht="46.25" hidden="false" customHeight="false" outlineLevel="0" collapsed="false">
      <c r="A40" s="40" t="s">
        <v>148</v>
      </c>
      <c r="B40" s="40" t="s">
        <v>149</v>
      </c>
      <c r="C40" s="40" t="s">
        <v>136</v>
      </c>
      <c r="D40" s="40" t="s">
        <v>86</v>
      </c>
      <c r="E40" s="40" t="s">
        <v>137</v>
      </c>
      <c r="F40" s="41"/>
      <c r="G40" s="41"/>
      <c r="H40" s="40" t="s">
        <v>129</v>
      </c>
    </row>
    <row r="41" customFormat="false" ht="46.25" hidden="false" customHeight="false" outlineLevel="0" collapsed="false">
      <c r="A41" s="40" t="s">
        <v>150</v>
      </c>
      <c r="B41" s="40" t="s">
        <v>151</v>
      </c>
      <c r="C41" s="40" t="s">
        <v>127</v>
      </c>
      <c r="D41" s="40" t="s">
        <v>152</v>
      </c>
      <c r="E41" s="40" t="s">
        <v>153</v>
      </c>
      <c r="F41" s="41"/>
      <c r="G41" s="41"/>
      <c r="H41" s="40" t="s">
        <v>129</v>
      </c>
    </row>
    <row r="42" customFormat="false" ht="46.25" hidden="false" customHeight="false" outlineLevel="0" collapsed="false">
      <c r="A42" s="40" t="s">
        <v>150</v>
      </c>
      <c r="B42" s="40" t="s">
        <v>151</v>
      </c>
      <c r="C42" s="40" t="s">
        <v>130</v>
      </c>
      <c r="D42" s="40" t="s">
        <v>152</v>
      </c>
      <c r="E42" s="40" t="s">
        <v>153</v>
      </c>
      <c r="F42" s="41"/>
      <c r="G42" s="41"/>
      <c r="H42" s="40" t="s">
        <v>129</v>
      </c>
    </row>
    <row r="43" customFormat="false" ht="46.25" hidden="false" customHeight="false" outlineLevel="0" collapsed="false">
      <c r="A43" s="40" t="s">
        <v>150</v>
      </c>
      <c r="B43" s="40" t="s">
        <v>151</v>
      </c>
      <c r="C43" s="40" t="s">
        <v>132</v>
      </c>
      <c r="D43" s="40" t="s">
        <v>152</v>
      </c>
      <c r="E43" s="40" t="s">
        <v>153</v>
      </c>
      <c r="F43" s="41"/>
      <c r="G43" s="41"/>
      <c r="H43" s="40" t="s">
        <v>129</v>
      </c>
    </row>
    <row r="44" customFormat="false" ht="46.25" hidden="false" customHeight="false" outlineLevel="0" collapsed="false">
      <c r="A44" s="40" t="s">
        <v>150</v>
      </c>
      <c r="B44" s="40" t="s">
        <v>151</v>
      </c>
      <c r="C44" s="40" t="s">
        <v>134</v>
      </c>
      <c r="D44" s="40" t="s">
        <v>152</v>
      </c>
      <c r="E44" s="40" t="s">
        <v>153</v>
      </c>
      <c r="F44" s="41"/>
      <c r="G44" s="41"/>
      <c r="H44" s="40" t="s">
        <v>129</v>
      </c>
    </row>
    <row r="45" customFormat="false" ht="46.25" hidden="false" customHeight="false" outlineLevel="0" collapsed="false">
      <c r="A45" s="40" t="s">
        <v>150</v>
      </c>
      <c r="B45" s="40" t="s">
        <v>151</v>
      </c>
      <c r="C45" s="40" t="s">
        <v>136</v>
      </c>
      <c r="D45" s="40" t="s">
        <v>152</v>
      </c>
      <c r="E45" s="40" t="s">
        <v>153</v>
      </c>
      <c r="F45" s="41"/>
      <c r="G45" s="41"/>
      <c r="H45" s="40" t="s">
        <v>129</v>
      </c>
    </row>
    <row r="46" customFormat="false" ht="46.25" hidden="false" customHeight="false" outlineLevel="0" collapsed="false">
      <c r="A46" s="40" t="s">
        <v>154</v>
      </c>
      <c r="B46" s="40" t="s">
        <v>155</v>
      </c>
      <c r="C46" s="40" t="s">
        <v>127</v>
      </c>
      <c r="D46" s="40" t="s">
        <v>152</v>
      </c>
      <c r="E46" s="40" t="s">
        <v>156</v>
      </c>
      <c r="F46" s="41"/>
      <c r="G46" s="41"/>
      <c r="H46" s="40" t="s">
        <v>129</v>
      </c>
    </row>
    <row r="47" customFormat="false" ht="46.25" hidden="false" customHeight="false" outlineLevel="0" collapsed="false">
      <c r="A47" s="40" t="s">
        <v>154</v>
      </c>
      <c r="B47" s="40" t="s">
        <v>155</v>
      </c>
      <c r="C47" s="40" t="s">
        <v>130</v>
      </c>
      <c r="D47" s="40" t="s">
        <v>152</v>
      </c>
      <c r="E47" s="40" t="s">
        <v>156</v>
      </c>
      <c r="F47" s="41"/>
      <c r="G47" s="41"/>
      <c r="H47" s="40" t="s">
        <v>129</v>
      </c>
    </row>
    <row r="48" customFormat="false" ht="46.25" hidden="false" customHeight="false" outlineLevel="0" collapsed="false">
      <c r="A48" s="40" t="s">
        <v>154</v>
      </c>
      <c r="B48" s="40" t="s">
        <v>155</v>
      </c>
      <c r="C48" s="40" t="s">
        <v>132</v>
      </c>
      <c r="D48" s="40" t="s">
        <v>152</v>
      </c>
      <c r="E48" s="40" t="s">
        <v>156</v>
      </c>
      <c r="F48" s="41"/>
      <c r="G48" s="41"/>
      <c r="H48" s="40" t="s">
        <v>129</v>
      </c>
    </row>
    <row r="49" customFormat="false" ht="46.25" hidden="false" customHeight="false" outlineLevel="0" collapsed="false">
      <c r="A49" s="40" t="s">
        <v>154</v>
      </c>
      <c r="B49" s="40" t="s">
        <v>155</v>
      </c>
      <c r="C49" s="40" t="s">
        <v>134</v>
      </c>
      <c r="D49" s="40" t="s">
        <v>152</v>
      </c>
      <c r="E49" s="40" t="s">
        <v>156</v>
      </c>
      <c r="F49" s="41"/>
      <c r="G49" s="41"/>
      <c r="H49" s="40" t="s">
        <v>129</v>
      </c>
    </row>
    <row r="50" customFormat="false" ht="46.25" hidden="false" customHeight="false" outlineLevel="0" collapsed="false">
      <c r="A50" s="40" t="s">
        <v>154</v>
      </c>
      <c r="B50" s="40" t="s">
        <v>155</v>
      </c>
      <c r="C50" s="40" t="s">
        <v>136</v>
      </c>
      <c r="D50" s="40" t="s">
        <v>152</v>
      </c>
      <c r="E50" s="40" t="s">
        <v>156</v>
      </c>
      <c r="F50" s="41"/>
      <c r="G50" s="41"/>
      <c r="H50" s="40" t="s">
        <v>129</v>
      </c>
    </row>
    <row r="51" customFormat="false" ht="46.25" hidden="false" customHeight="false" outlineLevel="0" collapsed="false">
      <c r="A51" s="40" t="s">
        <v>157</v>
      </c>
      <c r="B51" s="40" t="s">
        <v>158</v>
      </c>
      <c r="C51" s="40"/>
      <c r="D51" s="40" t="s">
        <v>152</v>
      </c>
      <c r="E51" s="40" t="s">
        <v>159</v>
      </c>
      <c r="F51" s="41"/>
      <c r="G51" s="41"/>
      <c r="H51" s="40" t="s">
        <v>129</v>
      </c>
    </row>
    <row r="52" customFormat="false" ht="46.25" hidden="false" customHeight="false" outlineLevel="0" collapsed="false">
      <c r="A52" s="40" t="s">
        <v>160</v>
      </c>
      <c r="B52" s="40" t="s">
        <v>161</v>
      </c>
      <c r="C52" s="40"/>
      <c r="D52" s="40" t="s">
        <v>152</v>
      </c>
      <c r="E52" s="40" t="s">
        <v>162</v>
      </c>
      <c r="F52" s="41"/>
      <c r="G52" s="41"/>
      <c r="H52" s="40" t="s">
        <v>129</v>
      </c>
    </row>
    <row r="53" customFormat="false" ht="35.05" hidden="false" customHeight="false" outlineLevel="0" collapsed="false">
      <c r="A53" s="40" t="s">
        <v>163</v>
      </c>
      <c r="B53" s="40" t="s">
        <v>164</v>
      </c>
      <c r="C53" s="40"/>
      <c r="D53" s="40" t="s">
        <v>152</v>
      </c>
      <c r="E53" s="40" t="s">
        <v>165</v>
      </c>
      <c r="F53" s="41"/>
      <c r="G53" s="41"/>
      <c r="H53" s="40" t="s">
        <v>129</v>
      </c>
    </row>
    <row r="54" customFormat="false" ht="46.25" hidden="false" customHeight="false" outlineLevel="0" collapsed="false">
      <c r="A54" s="40" t="s">
        <v>166</v>
      </c>
      <c r="B54" s="40" t="s">
        <v>44</v>
      </c>
      <c r="C54" s="40"/>
      <c r="D54" s="40" t="s">
        <v>152</v>
      </c>
      <c r="E54" s="40" t="s">
        <v>167</v>
      </c>
      <c r="F54" s="41"/>
      <c r="G54" s="41"/>
      <c r="H54" s="40" t="s">
        <v>129</v>
      </c>
    </row>
    <row r="55" customFormat="false" ht="46.25" hidden="false" customHeight="false" outlineLevel="0" collapsed="false">
      <c r="A55" s="40" t="s">
        <v>168</v>
      </c>
      <c r="B55" s="40" t="s">
        <v>169</v>
      </c>
      <c r="C55" s="40"/>
      <c r="D55" s="40" t="s">
        <v>152</v>
      </c>
      <c r="E55" s="40" t="s">
        <v>170</v>
      </c>
      <c r="F55" s="41"/>
      <c r="G55" s="41"/>
      <c r="H55" s="40" t="s">
        <v>129</v>
      </c>
    </row>
    <row r="56" customFormat="false" ht="35.05" hidden="false" customHeight="false" outlineLevel="0" collapsed="false">
      <c r="A56" s="40" t="s">
        <v>171</v>
      </c>
      <c r="B56" s="40" t="s">
        <v>172</v>
      </c>
      <c r="C56" s="40"/>
      <c r="D56" s="40" t="s">
        <v>86</v>
      </c>
      <c r="E56" s="40" t="s">
        <v>173</v>
      </c>
      <c r="F56" s="41"/>
      <c r="G56" s="41"/>
      <c r="H56" s="40" t="s">
        <v>129</v>
      </c>
    </row>
  </sheetData>
  <autoFilter ref="A5:H56"/>
  <mergeCells count="2">
    <mergeCell ref="A1:H1"/>
    <mergeCell ref="A2:H2"/>
  </mergeCells>
  <dataValidations count="51">
    <dataValidation allowBlank="true" error="Enter a numeric value within the stated model bounds." errorStyle="stop" errorTitle="Invalid model input" operator="between" showDropDown="false" showErrorMessage="true" showInputMessage="false" sqref="F6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7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8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9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0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1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2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3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4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5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6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7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8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19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0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1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2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3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4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5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6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7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8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29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0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1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2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3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4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5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6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7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8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39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0" type="decimal">
      <formula1>-0.95</formula1>
      <formula2>2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1" type="decimal">
      <formula1>-1000000000000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2" type="decimal">
      <formula1>-1000000000000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3" type="decimal">
      <formula1>-1000000000000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4" type="decimal">
      <formula1>-1000000000000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5" type="decimal">
      <formula1>-1000000000000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6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7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8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49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0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1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2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3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4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5" type="decimal">
      <formula1>0</formula1>
      <formula2>1000000000000</formula2>
    </dataValidation>
    <dataValidation allowBlank="true" error="Enter a numeric value within the stated model bounds." errorStyle="stop" errorTitle="Invalid model input" operator="between" showDropDown="false" showErrorMessage="true" showInputMessage="false" sqref="F56" type="decimal">
      <formula1>0</formula1>
      <formula2>0.1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64"/>
    <col collapsed="false" customWidth="true" hidden="false" outlineLevel="0" max="8" min="8" style="0" width="44"/>
    <col collapsed="false" customWidth="true" hidden="false" outlineLevel="0" max="9" min="9" style="0" width="36"/>
    <col collapsed="false" customWidth="true" hidden="false" outlineLevel="0" max="10" min="10" style="0" width="23"/>
    <col collapsed="false" customWidth="true" hidden="false" outlineLevel="0" max="13" min="11" style="0" width="13"/>
    <col collapsed="false" customWidth="true" hidden="false" outlineLevel="0" max="14" min="14" style="0" width="110"/>
  </cols>
  <sheetData>
    <row r="1" customFormat="false" ht="19.7" hidden="false" customHeight="fals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37" t="s">
        <v>175</v>
      </c>
      <c r="B2" s="37"/>
      <c r="C2" s="37"/>
      <c r="D2" s="37"/>
      <c r="E2" s="37"/>
      <c r="F2" s="37"/>
      <c r="G2" s="37"/>
      <c r="H2" s="37"/>
      <c r="I2" s="37"/>
    </row>
    <row r="4" customFormat="false" ht="15" hidden="false" customHeight="false" outlineLevel="0" collapsed="false">
      <c r="A4" s="39" t="s">
        <v>117</v>
      </c>
      <c r="B4" s="39" t="s">
        <v>118</v>
      </c>
      <c r="C4" s="39" t="s">
        <v>176</v>
      </c>
      <c r="D4" s="39" t="s">
        <v>177</v>
      </c>
      <c r="E4" s="39" t="s">
        <v>119</v>
      </c>
      <c r="F4" s="39" t="s">
        <v>120</v>
      </c>
      <c r="G4" s="39" t="s">
        <v>178</v>
      </c>
      <c r="H4" s="39" t="s">
        <v>179</v>
      </c>
      <c r="I4" s="39" t="s">
        <v>123</v>
      </c>
    </row>
    <row r="5" customFormat="false" ht="46.25" hidden="false" customHeight="false" outlineLevel="0" collapsed="false">
      <c r="A5" s="40" t="s">
        <v>125</v>
      </c>
      <c r="B5" s="40" t="s">
        <v>126</v>
      </c>
      <c r="C5" s="42" t="str">
        <f aca="false">IF('Input Required'!F6="","INPUT REQUIRED",IF(AND('Input Required'!H6="Yes",'Input Required'!G6=""),"SOURCE REQUIRED",IF(OR(AND('Input Required'!F6&lt;&gt;"",NOT(ISNUMBER('Input Required'!F6))),AND(ISNUMBER('Input Required'!F6),'Input Required'!F6&lt;-0.95),AND(ISNUMBER('Input Required'!F6),'Input Required'!F6&gt;2)),"INPUT ERROR","READY")))</f>
        <v>INPUT REQUIRED</v>
      </c>
      <c r="D5" s="40" t="s">
        <v>180</v>
      </c>
      <c r="E5" s="40" t="s">
        <v>127</v>
      </c>
      <c r="F5" s="40" t="s">
        <v>86</v>
      </c>
      <c r="G5" s="40" t="s">
        <v>128</v>
      </c>
      <c r="H5" s="40" t="s">
        <v>181</v>
      </c>
      <c r="I5" s="42" t="n">
        <f aca="false">'Input Required'!G6</f>
        <v>0</v>
      </c>
    </row>
    <row r="6" customFormat="false" ht="46.25" hidden="false" customHeight="false" outlineLevel="0" collapsed="false">
      <c r="A6" s="40" t="s">
        <v>125</v>
      </c>
      <c r="B6" s="40" t="s">
        <v>126</v>
      </c>
      <c r="C6" s="42" t="str">
        <f aca="false">IF('Input Required'!F7="","INPUT REQUIRED",IF(AND('Input Required'!H7="Yes",'Input Required'!G7=""),"SOURCE REQUIRED",IF(OR(AND('Input Required'!F7&lt;&gt;"",NOT(ISNUMBER('Input Required'!F7))),AND(ISNUMBER('Input Required'!F7),'Input Required'!F7&lt;-0.95),AND(ISNUMBER('Input Required'!F7),'Input Required'!F7&gt;2)),"INPUT ERROR","READY")))</f>
        <v>INPUT REQUIRED</v>
      </c>
      <c r="D6" s="40" t="s">
        <v>180</v>
      </c>
      <c r="E6" s="40" t="s">
        <v>130</v>
      </c>
      <c r="F6" s="40" t="s">
        <v>86</v>
      </c>
      <c r="G6" s="40" t="s">
        <v>131</v>
      </c>
      <c r="H6" s="40" t="s">
        <v>182</v>
      </c>
      <c r="I6" s="42" t="n">
        <f aca="false">'Input Required'!G7</f>
        <v>0</v>
      </c>
    </row>
    <row r="7" customFormat="false" ht="46.25" hidden="false" customHeight="false" outlineLevel="0" collapsed="false">
      <c r="A7" s="40" t="s">
        <v>125</v>
      </c>
      <c r="B7" s="40" t="s">
        <v>126</v>
      </c>
      <c r="C7" s="42" t="str">
        <f aca="false">IF('Input Required'!F8="","INPUT REQUIRED",IF(AND('Input Required'!H8="Yes",'Input Required'!G8=""),"SOURCE REQUIRED",IF(OR(AND('Input Required'!F8&lt;&gt;"",NOT(ISNUMBER('Input Required'!F8))),AND(ISNUMBER('Input Required'!F8),'Input Required'!F8&lt;-0.95),AND(ISNUMBER('Input Required'!F8),'Input Required'!F8&gt;2)),"INPUT ERROR","READY")))</f>
        <v>INPUT REQUIRED</v>
      </c>
      <c r="D7" s="40" t="s">
        <v>180</v>
      </c>
      <c r="E7" s="40" t="s">
        <v>132</v>
      </c>
      <c r="F7" s="40" t="s">
        <v>86</v>
      </c>
      <c r="G7" s="40" t="s">
        <v>133</v>
      </c>
      <c r="H7" s="40" t="s">
        <v>183</v>
      </c>
      <c r="I7" s="42" t="n">
        <f aca="false">'Input Required'!G8</f>
        <v>0</v>
      </c>
    </row>
    <row r="8" customFormat="false" ht="46.25" hidden="false" customHeight="false" outlineLevel="0" collapsed="false">
      <c r="A8" s="40" t="s">
        <v>125</v>
      </c>
      <c r="B8" s="40" t="s">
        <v>126</v>
      </c>
      <c r="C8" s="42" t="str">
        <f aca="false">IF('Input Required'!F9="","INPUT REQUIRED",IF(AND('Input Required'!H9="Yes",'Input Required'!G9=""),"SOURCE REQUIRED",IF(OR(AND('Input Required'!F9&lt;&gt;"",NOT(ISNUMBER('Input Required'!F9))),AND(ISNUMBER('Input Required'!F9),'Input Required'!F9&lt;-0.95),AND(ISNUMBER('Input Required'!F9),'Input Required'!F9&gt;2)),"INPUT ERROR","READY")))</f>
        <v>INPUT REQUIRED</v>
      </c>
      <c r="D8" s="40" t="s">
        <v>180</v>
      </c>
      <c r="E8" s="40" t="s">
        <v>134</v>
      </c>
      <c r="F8" s="40" t="s">
        <v>86</v>
      </c>
      <c r="G8" s="40" t="s">
        <v>135</v>
      </c>
      <c r="H8" s="40" t="s">
        <v>184</v>
      </c>
      <c r="I8" s="42" t="n">
        <f aca="false">'Input Required'!G9</f>
        <v>0</v>
      </c>
    </row>
    <row r="9" customFormat="false" ht="46.25" hidden="false" customHeight="false" outlineLevel="0" collapsed="false">
      <c r="A9" s="40" t="s">
        <v>125</v>
      </c>
      <c r="B9" s="40" t="s">
        <v>126</v>
      </c>
      <c r="C9" s="42" t="str">
        <f aca="false">IF('Input Required'!F10="","INPUT REQUIRED",IF(AND('Input Required'!H10="Yes",'Input Required'!G10=""),"SOURCE REQUIRED",IF(OR(AND('Input Required'!F10&lt;&gt;"",NOT(ISNUMBER('Input Required'!F10))),AND(ISNUMBER('Input Required'!F10),'Input Required'!F10&lt;-0.95),AND(ISNUMBER('Input Required'!F10),'Input Required'!F10&gt;2)),"INPUT ERROR","READY")))</f>
        <v>INPUT REQUIRED</v>
      </c>
      <c r="D9" s="40" t="s">
        <v>180</v>
      </c>
      <c r="E9" s="40" t="s">
        <v>136</v>
      </c>
      <c r="F9" s="40" t="s">
        <v>86</v>
      </c>
      <c r="G9" s="40" t="s">
        <v>137</v>
      </c>
      <c r="H9" s="40" t="s">
        <v>185</v>
      </c>
      <c r="I9" s="42" t="n">
        <f aca="false">'Input Required'!G10</f>
        <v>0</v>
      </c>
    </row>
    <row r="10" customFormat="false" ht="46.25" hidden="false" customHeight="false" outlineLevel="0" collapsed="false">
      <c r="A10" s="40" t="s">
        <v>138</v>
      </c>
      <c r="B10" s="40" t="s">
        <v>139</v>
      </c>
      <c r="C10" s="42" t="str">
        <f aca="false">IF('Input Required'!F11="","INPUT REQUIRED",IF(AND('Input Required'!H11="Yes",'Input Required'!G11=""),"SOURCE REQUIRED",IF(OR(AND('Input Required'!F11&lt;&gt;"",NOT(ISNUMBER('Input Required'!F11))),AND(ISNUMBER('Input Required'!F11),'Input Required'!F11&lt;-0.95),AND(ISNUMBER('Input Required'!F11),'Input Required'!F11&gt;2)),"INPUT ERROR","READY")))</f>
        <v>INPUT REQUIRED</v>
      </c>
      <c r="D10" s="40" t="s">
        <v>180</v>
      </c>
      <c r="E10" s="40" t="s">
        <v>127</v>
      </c>
      <c r="F10" s="40" t="s">
        <v>86</v>
      </c>
      <c r="G10" s="40" t="s">
        <v>128</v>
      </c>
      <c r="H10" s="40" t="s">
        <v>186</v>
      </c>
      <c r="I10" s="42" t="n">
        <f aca="false">'Input Required'!G11</f>
        <v>0</v>
      </c>
    </row>
    <row r="11" customFormat="false" ht="46.25" hidden="false" customHeight="false" outlineLevel="0" collapsed="false">
      <c r="A11" s="40" t="s">
        <v>138</v>
      </c>
      <c r="B11" s="40" t="s">
        <v>139</v>
      </c>
      <c r="C11" s="42" t="str">
        <f aca="false">IF('Input Required'!F12="","INPUT REQUIRED",IF(AND('Input Required'!H12="Yes",'Input Required'!G12=""),"SOURCE REQUIRED",IF(OR(AND('Input Required'!F12&lt;&gt;"",NOT(ISNUMBER('Input Required'!F12))),AND(ISNUMBER('Input Required'!F12),'Input Required'!F12&lt;-0.95),AND(ISNUMBER('Input Required'!F12),'Input Required'!F12&gt;2)),"INPUT ERROR","READY")))</f>
        <v>INPUT REQUIRED</v>
      </c>
      <c r="D11" s="40" t="s">
        <v>180</v>
      </c>
      <c r="E11" s="40" t="s">
        <v>130</v>
      </c>
      <c r="F11" s="40" t="s">
        <v>86</v>
      </c>
      <c r="G11" s="40" t="s">
        <v>131</v>
      </c>
      <c r="H11" s="40" t="s">
        <v>187</v>
      </c>
      <c r="I11" s="42" t="n">
        <f aca="false">'Input Required'!G12</f>
        <v>0</v>
      </c>
    </row>
    <row r="12" customFormat="false" ht="46.25" hidden="false" customHeight="false" outlineLevel="0" collapsed="false">
      <c r="A12" s="40" t="s">
        <v>138</v>
      </c>
      <c r="B12" s="40" t="s">
        <v>139</v>
      </c>
      <c r="C12" s="42" t="str">
        <f aca="false">IF('Input Required'!F13="","INPUT REQUIRED",IF(AND('Input Required'!H13="Yes",'Input Required'!G13=""),"SOURCE REQUIRED",IF(OR(AND('Input Required'!F13&lt;&gt;"",NOT(ISNUMBER('Input Required'!F13))),AND(ISNUMBER('Input Required'!F13),'Input Required'!F13&lt;-0.95),AND(ISNUMBER('Input Required'!F13),'Input Required'!F13&gt;2)),"INPUT ERROR","READY")))</f>
        <v>INPUT REQUIRED</v>
      </c>
      <c r="D12" s="40" t="s">
        <v>180</v>
      </c>
      <c r="E12" s="40" t="s">
        <v>132</v>
      </c>
      <c r="F12" s="40" t="s">
        <v>86</v>
      </c>
      <c r="G12" s="40" t="s">
        <v>133</v>
      </c>
      <c r="H12" s="40" t="s">
        <v>188</v>
      </c>
      <c r="I12" s="42" t="n">
        <f aca="false">'Input Required'!G13</f>
        <v>0</v>
      </c>
    </row>
    <row r="13" customFormat="false" ht="46.25" hidden="false" customHeight="false" outlineLevel="0" collapsed="false">
      <c r="A13" s="40" t="s">
        <v>138</v>
      </c>
      <c r="B13" s="40" t="s">
        <v>139</v>
      </c>
      <c r="C13" s="42" t="str">
        <f aca="false">IF('Input Required'!F14="","INPUT REQUIRED",IF(AND('Input Required'!H14="Yes",'Input Required'!G14=""),"SOURCE REQUIRED",IF(OR(AND('Input Required'!F14&lt;&gt;"",NOT(ISNUMBER('Input Required'!F14))),AND(ISNUMBER('Input Required'!F14),'Input Required'!F14&lt;-0.95),AND(ISNUMBER('Input Required'!F14),'Input Required'!F14&gt;2)),"INPUT ERROR","READY")))</f>
        <v>INPUT REQUIRED</v>
      </c>
      <c r="D13" s="40" t="s">
        <v>180</v>
      </c>
      <c r="E13" s="40" t="s">
        <v>134</v>
      </c>
      <c r="F13" s="40" t="s">
        <v>86</v>
      </c>
      <c r="G13" s="40" t="s">
        <v>135</v>
      </c>
      <c r="H13" s="40" t="s">
        <v>189</v>
      </c>
      <c r="I13" s="42" t="n">
        <f aca="false">'Input Required'!G14</f>
        <v>0</v>
      </c>
    </row>
    <row r="14" customFormat="false" ht="46.25" hidden="false" customHeight="false" outlineLevel="0" collapsed="false">
      <c r="A14" s="40" t="s">
        <v>138</v>
      </c>
      <c r="B14" s="40" t="s">
        <v>139</v>
      </c>
      <c r="C14" s="42" t="str">
        <f aca="false">IF('Input Required'!F15="","INPUT REQUIRED",IF(AND('Input Required'!H15="Yes",'Input Required'!G15=""),"SOURCE REQUIRED",IF(OR(AND('Input Required'!F15&lt;&gt;"",NOT(ISNUMBER('Input Required'!F15))),AND(ISNUMBER('Input Required'!F15),'Input Required'!F15&lt;-0.95),AND(ISNUMBER('Input Required'!F15),'Input Required'!F15&gt;2)),"INPUT ERROR","READY")))</f>
        <v>INPUT REQUIRED</v>
      </c>
      <c r="D14" s="40" t="s">
        <v>180</v>
      </c>
      <c r="E14" s="40" t="s">
        <v>136</v>
      </c>
      <c r="F14" s="40" t="s">
        <v>86</v>
      </c>
      <c r="G14" s="40" t="s">
        <v>137</v>
      </c>
      <c r="H14" s="40" t="s">
        <v>190</v>
      </c>
      <c r="I14" s="42" t="n">
        <f aca="false">'Input Required'!G15</f>
        <v>0</v>
      </c>
    </row>
    <row r="15" customFormat="false" ht="46.25" hidden="false" customHeight="false" outlineLevel="0" collapsed="false">
      <c r="A15" s="40" t="s">
        <v>140</v>
      </c>
      <c r="B15" s="40" t="s">
        <v>141</v>
      </c>
      <c r="C15" s="42" t="str">
        <f aca="false">IF('Input Required'!F16="","INPUT REQUIRED",IF(AND('Input Required'!H16="Yes",'Input Required'!G16=""),"SOURCE REQUIRED",IF(OR(AND('Input Required'!F16&lt;&gt;"",NOT(ISNUMBER('Input Required'!F16))),AND(ISNUMBER('Input Required'!F16),'Input Required'!F16&lt;-0.95),AND(ISNUMBER('Input Required'!F16),'Input Required'!F16&gt;2)),"INPUT ERROR","READY")))</f>
        <v>INPUT REQUIRED</v>
      </c>
      <c r="D15" s="40" t="s">
        <v>180</v>
      </c>
      <c r="E15" s="40" t="s">
        <v>127</v>
      </c>
      <c r="F15" s="40" t="s">
        <v>86</v>
      </c>
      <c r="G15" s="40" t="s">
        <v>128</v>
      </c>
      <c r="H15" s="40" t="s">
        <v>191</v>
      </c>
      <c r="I15" s="42" t="n">
        <f aca="false">'Input Required'!G16</f>
        <v>0</v>
      </c>
    </row>
    <row r="16" customFormat="false" ht="46.25" hidden="false" customHeight="false" outlineLevel="0" collapsed="false">
      <c r="A16" s="40" t="s">
        <v>140</v>
      </c>
      <c r="B16" s="40" t="s">
        <v>141</v>
      </c>
      <c r="C16" s="42" t="str">
        <f aca="false">IF('Input Required'!F17="","INPUT REQUIRED",IF(AND('Input Required'!H17="Yes",'Input Required'!G17=""),"SOURCE REQUIRED",IF(OR(AND('Input Required'!F17&lt;&gt;"",NOT(ISNUMBER('Input Required'!F17))),AND(ISNUMBER('Input Required'!F17),'Input Required'!F17&lt;-0.95),AND(ISNUMBER('Input Required'!F17),'Input Required'!F17&gt;2)),"INPUT ERROR","READY")))</f>
        <v>INPUT REQUIRED</v>
      </c>
      <c r="D16" s="40" t="s">
        <v>180</v>
      </c>
      <c r="E16" s="40" t="s">
        <v>130</v>
      </c>
      <c r="F16" s="40" t="s">
        <v>86</v>
      </c>
      <c r="G16" s="40" t="s">
        <v>131</v>
      </c>
      <c r="H16" s="40" t="s">
        <v>192</v>
      </c>
      <c r="I16" s="42" t="n">
        <f aca="false">'Input Required'!G17</f>
        <v>0</v>
      </c>
    </row>
    <row r="17" customFormat="false" ht="46.25" hidden="false" customHeight="false" outlineLevel="0" collapsed="false">
      <c r="A17" s="40" t="s">
        <v>140</v>
      </c>
      <c r="B17" s="40" t="s">
        <v>141</v>
      </c>
      <c r="C17" s="42" t="str">
        <f aca="false">IF('Input Required'!F18="","INPUT REQUIRED",IF(AND('Input Required'!H18="Yes",'Input Required'!G18=""),"SOURCE REQUIRED",IF(OR(AND('Input Required'!F18&lt;&gt;"",NOT(ISNUMBER('Input Required'!F18))),AND(ISNUMBER('Input Required'!F18),'Input Required'!F18&lt;-0.95),AND(ISNUMBER('Input Required'!F18),'Input Required'!F18&gt;2)),"INPUT ERROR","READY")))</f>
        <v>INPUT REQUIRED</v>
      </c>
      <c r="D17" s="40" t="s">
        <v>180</v>
      </c>
      <c r="E17" s="40" t="s">
        <v>132</v>
      </c>
      <c r="F17" s="40" t="s">
        <v>86</v>
      </c>
      <c r="G17" s="40" t="s">
        <v>133</v>
      </c>
      <c r="H17" s="40" t="s">
        <v>193</v>
      </c>
      <c r="I17" s="42" t="n">
        <f aca="false">'Input Required'!G18</f>
        <v>0</v>
      </c>
    </row>
    <row r="18" customFormat="false" ht="46.25" hidden="false" customHeight="false" outlineLevel="0" collapsed="false">
      <c r="A18" s="40" t="s">
        <v>140</v>
      </c>
      <c r="B18" s="40" t="s">
        <v>141</v>
      </c>
      <c r="C18" s="42" t="str">
        <f aca="false">IF('Input Required'!F19="","INPUT REQUIRED",IF(AND('Input Required'!H19="Yes",'Input Required'!G19=""),"SOURCE REQUIRED",IF(OR(AND('Input Required'!F19&lt;&gt;"",NOT(ISNUMBER('Input Required'!F19))),AND(ISNUMBER('Input Required'!F19),'Input Required'!F19&lt;-0.95),AND(ISNUMBER('Input Required'!F19),'Input Required'!F19&gt;2)),"INPUT ERROR","READY")))</f>
        <v>INPUT REQUIRED</v>
      </c>
      <c r="D18" s="40" t="s">
        <v>180</v>
      </c>
      <c r="E18" s="40" t="s">
        <v>134</v>
      </c>
      <c r="F18" s="40" t="s">
        <v>86</v>
      </c>
      <c r="G18" s="40" t="s">
        <v>135</v>
      </c>
      <c r="H18" s="40" t="s">
        <v>194</v>
      </c>
      <c r="I18" s="42" t="n">
        <f aca="false">'Input Required'!G19</f>
        <v>0</v>
      </c>
    </row>
    <row r="19" customFormat="false" ht="46.25" hidden="false" customHeight="false" outlineLevel="0" collapsed="false">
      <c r="A19" s="40" t="s">
        <v>140</v>
      </c>
      <c r="B19" s="40" t="s">
        <v>141</v>
      </c>
      <c r="C19" s="42" t="str">
        <f aca="false">IF('Input Required'!F20="","INPUT REQUIRED",IF(AND('Input Required'!H20="Yes",'Input Required'!G20=""),"SOURCE REQUIRED",IF(OR(AND('Input Required'!F20&lt;&gt;"",NOT(ISNUMBER('Input Required'!F20))),AND(ISNUMBER('Input Required'!F20),'Input Required'!F20&lt;-0.95),AND(ISNUMBER('Input Required'!F20),'Input Required'!F20&gt;2)),"INPUT ERROR","READY")))</f>
        <v>INPUT REQUIRED</v>
      </c>
      <c r="D19" s="40" t="s">
        <v>180</v>
      </c>
      <c r="E19" s="40" t="s">
        <v>136</v>
      </c>
      <c r="F19" s="40" t="s">
        <v>86</v>
      </c>
      <c r="G19" s="40" t="s">
        <v>137</v>
      </c>
      <c r="H19" s="40" t="s">
        <v>195</v>
      </c>
      <c r="I19" s="42" t="n">
        <f aca="false">'Input Required'!G20</f>
        <v>0</v>
      </c>
    </row>
    <row r="20" customFormat="false" ht="46.25" hidden="false" customHeight="false" outlineLevel="0" collapsed="false">
      <c r="A20" s="40" t="s">
        <v>142</v>
      </c>
      <c r="B20" s="40" t="s">
        <v>143</v>
      </c>
      <c r="C20" s="42" t="str">
        <f aca="false">IF('Input Required'!F21="","INPUT REQUIRED",IF(AND('Input Required'!H21="Yes",'Input Required'!G21=""),"SOURCE REQUIRED",IF(OR(AND('Input Required'!F21&lt;&gt;"",NOT(ISNUMBER('Input Required'!F21))),AND(ISNUMBER('Input Required'!F21),'Input Required'!F21&lt;-0.95),AND(ISNUMBER('Input Required'!F21),'Input Required'!F21&gt;2)),"INPUT ERROR","READY")))</f>
        <v>INPUT REQUIRED</v>
      </c>
      <c r="D20" s="40" t="s">
        <v>180</v>
      </c>
      <c r="E20" s="40" t="s">
        <v>127</v>
      </c>
      <c r="F20" s="40" t="s">
        <v>86</v>
      </c>
      <c r="G20" s="40" t="s">
        <v>128</v>
      </c>
      <c r="H20" s="40" t="s">
        <v>196</v>
      </c>
      <c r="I20" s="42" t="n">
        <f aca="false">'Input Required'!G21</f>
        <v>0</v>
      </c>
    </row>
    <row r="21" customFormat="false" ht="46.25" hidden="false" customHeight="false" outlineLevel="0" collapsed="false">
      <c r="A21" s="40" t="s">
        <v>142</v>
      </c>
      <c r="B21" s="40" t="s">
        <v>143</v>
      </c>
      <c r="C21" s="42" t="str">
        <f aca="false">IF('Input Required'!F22="","INPUT REQUIRED",IF(AND('Input Required'!H22="Yes",'Input Required'!G22=""),"SOURCE REQUIRED",IF(OR(AND('Input Required'!F22&lt;&gt;"",NOT(ISNUMBER('Input Required'!F22))),AND(ISNUMBER('Input Required'!F22),'Input Required'!F22&lt;-0.95),AND(ISNUMBER('Input Required'!F22),'Input Required'!F22&gt;2)),"INPUT ERROR","READY")))</f>
        <v>INPUT REQUIRED</v>
      </c>
      <c r="D21" s="40" t="s">
        <v>180</v>
      </c>
      <c r="E21" s="40" t="s">
        <v>130</v>
      </c>
      <c r="F21" s="40" t="s">
        <v>86</v>
      </c>
      <c r="G21" s="40" t="s">
        <v>131</v>
      </c>
      <c r="H21" s="40" t="s">
        <v>197</v>
      </c>
      <c r="I21" s="42" t="n">
        <f aca="false">'Input Required'!G22</f>
        <v>0</v>
      </c>
    </row>
    <row r="22" customFormat="false" ht="46.25" hidden="false" customHeight="false" outlineLevel="0" collapsed="false">
      <c r="A22" s="40" t="s">
        <v>142</v>
      </c>
      <c r="B22" s="40" t="s">
        <v>143</v>
      </c>
      <c r="C22" s="42" t="str">
        <f aca="false">IF('Input Required'!F23="","INPUT REQUIRED",IF(AND('Input Required'!H23="Yes",'Input Required'!G23=""),"SOURCE REQUIRED",IF(OR(AND('Input Required'!F23&lt;&gt;"",NOT(ISNUMBER('Input Required'!F23))),AND(ISNUMBER('Input Required'!F23),'Input Required'!F23&lt;-0.95),AND(ISNUMBER('Input Required'!F23),'Input Required'!F23&gt;2)),"INPUT ERROR","READY")))</f>
        <v>INPUT REQUIRED</v>
      </c>
      <c r="D22" s="40" t="s">
        <v>180</v>
      </c>
      <c r="E22" s="40" t="s">
        <v>132</v>
      </c>
      <c r="F22" s="40" t="s">
        <v>86</v>
      </c>
      <c r="G22" s="40" t="s">
        <v>133</v>
      </c>
      <c r="H22" s="40" t="s">
        <v>198</v>
      </c>
      <c r="I22" s="42" t="n">
        <f aca="false">'Input Required'!G23</f>
        <v>0</v>
      </c>
    </row>
    <row r="23" customFormat="false" ht="46.25" hidden="false" customHeight="false" outlineLevel="0" collapsed="false">
      <c r="A23" s="40" t="s">
        <v>142</v>
      </c>
      <c r="B23" s="40" t="s">
        <v>143</v>
      </c>
      <c r="C23" s="42" t="str">
        <f aca="false">IF('Input Required'!F24="","INPUT REQUIRED",IF(AND('Input Required'!H24="Yes",'Input Required'!G24=""),"SOURCE REQUIRED",IF(OR(AND('Input Required'!F24&lt;&gt;"",NOT(ISNUMBER('Input Required'!F24))),AND(ISNUMBER('Input Required'!F24),'Input Required'!F24&lt;-0.95),AND(ISNUMBER('Input Required'!F24),'Input Required'!F24&gt;2)),"INPUT ERROR","READY")))</f>
        <v>INPUT REQUIRED</v>
      </c>
      <c r="D23" s="40" t="s">
        <v>180</v>
      </c>
      <c r="E23" s="40" t="s">
        <v>134</v>
      </c>
      <c r="F23" s="40" t="s">
        <v>86</v>
      </c>
      <c r="G23" s="40" t="s">
        <v>135</v>
      </c>
      <c r="H23" s="40" t="s">
        <v>199</v>
      </c>
      <c r="I23" s="42" t="n">
        <f aca="false">'Input Required'!G24</f>
        <v>0</v>
      </c>
    </row>
    <row r="24" customFormat="false" ht="46.25" hidden="false" customHeight="false" outlineLevel="0" collapsed="false">
      <c r="A24" s="40" t="s">
        <v>142</v>
      </c>
      <c r="B24" s="40" t="s">
        <v>143</v>
      </c>
      <c r="C24" s="42" t="str">
        <f aca="false">IF('Input Required'!F25="","INPUT REQUIRED",IF(AND('Input Required'!H25="Yes",'Input Required'!G25=""),"SOURCE REQUIRED",IF(OR(AND('Input Required'!F25&lt;&gt;"",NOT(ISNUMBER('Input Required'!F25))),AND(ISNUMBER('Input Required'!F25),'Input Required'!F25&lt;-0.95),AND(ISNUMBER('Input Required'!F25),'Input Required'!F25&gt;2)),"INPUT ERROR","READY")))</f>
        <v>INPUT REQUIRED</v>
      </c>
      <c r="D24" s="40" t="s">
        <v>180</v>
      </c>
      <c r="E24" s="40" t="s">
        <v>136</v>
      </c>
      <c r="F24" s="40" t="s">
        <v>86</v>
      </c>
      <c r="G24" s="40" t="s">
        <v>137</v>
      </c>
      <c r="H24" s="40" t="s">
        <v>200</v>
      </c>
      <c r="I24" s="42" t="n">
        <f aca="false">'Input Required'!G25</f>
        <v>0</v>
      </c>
    </row>
    <row r="25" customFormat="false" ht="46.25" hidden="false" customHeight="false" outlineLevel="0" collapsed="false">
      <c r="A25" s="40" t="s">
        <v>144</v>
      </c>
      <c r="B25" s="40" t="s">
        <v>145</v>
      </c>
      <c r="C25" s="42" t="str">
        <f aca="false">IF('Input Required'!F26="","INPUT REQUIRED",IF(AND('Input Required'!H26="Yes",'Input Required'!G26=""),"SOURCE REQUIRED",IF(OR(AND('Input Required'!F26&lt;&gt;"",NOT(ISNUMBER('Input Required'!F26))),AND(ISNUMBER('Input Required'!F26),'Input Required'!F26&lt;-0.95),AND(ISNUMBER('Input Required'!F26),'Input Required'!F26&gt;2)),"INPUT ERROR","READY")))</f>
        <v>INPUT REQUIRED</v>
      </c>
      <c r="D25" s="40" t="s">
        <v>180</v>
      </c>
      <c r="E25" s="40" t="s">
        <v>127</v>
      </c>
      <c r="F25" s="40" t="s">
        <v>86</v>
      </c>
      <c r="G25" s="40" t="s">
        <v>128</v>
      </c>
      <c r="H25" s="40" t="s">
        <v>201</v>
      </c>
      <c r="I25" s="42" t="n">
        <f aca="false">'Input Required'!G26</f>
        <v>0</v>
      </c>
    </row>
    <row r="26" customFormat="false" ht="46.25" hidden="false" customHeight="false" outlineLevel="0" collapsed="false">
      <c r="A26" s="40" t="s">
        <v>144</v>
      </c>
      <c r="B26" s="40" t="s">
        <v>145</v>
      </c>
      <c r="C26" s="42" t="str">
        <f aca="false">IF('Input Required'!F27="","INPUT REQUIRED",IF(AND('Input Required'!H27="Yes",'Input Required'!G27=""),"SOURCE REQUIRED",IF(OR(AND('Input Required'!F27&lt;&gt;"",NOT(ISNUMBER('Input Required'!F27))),AND(ISNUMBER('Input Required'!F27),'Input Required'!F27&lt;-0.95),AND(ISNUMBER('Input Required'!F27),'Input Required'!F27&gt;2)),"INPUT ERROR","READY")))</f>
        <v>INPUT REQUIRED</v>
      </c>
      <c r="D26" s="40" t="s">
        <v>180</v>
      </c>
      <c r="E26" s="40" t="s">
        <v>130</v>
      </c>
      <c r="F26" s="40" t="s">
        <v>86</v>
      </c>
      <c r="G26" s="40" t="s">
        <v>131</v>
      </c>
      <c r="H26" s="40" t="s">
        <v>202</v>
      </c>
      <c r="I26" s="42" t="n">
        <f aca="false">'Input Required'!G27</f>
        <v>0</v>
      </c>
    </row>
    <row r="27" customFormat="false" ht="46.25" hidden="false" customHeight="false" outlineLevel="0" collapsed="false">
      <c r="A27" s="40" t="s">
        <v>144</v>
      </c>
      <c r="B27" s="40" t="s">
        <v>145</v>
      </c>
      <c r="C27" s="42" t="str">
        <f aca="false">IF('Input Required'!F28="","INPUT REQUIRED",IF(AND('Input Required'!H28="Yes",'Input Required'!G28=""),"SOURCE REQUIRED",IF(OR(AND('Input Required'!F28&lt;&gt;"",NOT(ISNUMBER('Input Required'!F28))),AND(ISNUMBER('Input Required'!F28),'Input Required'!F28&lt;-0.95),AND(ISNUMBER('Input Required'!F28),'Input Required'!F28&gt;2)),"INPUT ERROR","READY")))</f>
        <v>INPUT REQUIRED</v>
      </c>
      <c r="D27" s="40" t="s">
        <v>180</v>
      </c>
      <c r="E27" s="40" t="s">
        <v>132</v>
      </c>
      <c r="F27" s="40" t="s">
        <v>86</v>
      </c>
      <c r="G27" s="40" t="s">
        <v>133</v>
      </c>
      <c r="H27" s="40" t="s">
        <v>203</v>
      </c>
      <c r="I27" s="42" t="n">
        <f aca="false">'Input Required'!G28</f>
        <v>0</v>
      </c>
    </row>
    <row r="28" customFormat="false" ht="46.25" hidden="false" customHeight="false" outlineLevel="0" collapsed="false">
      <c r="A28" s="40" t="s">
        <v>144</v>
      </c>
      <c r="B28" s="40" t="s">
        <v>145</v>
      </c>
      <c r="C28" s="42" t="str">
        <f aca="false">IF('Input Required'!F29="","INPUT REQUIRED",IF(AND('Input Required'!H29="Yes",'Input Required'!G29=""),"SOURCE REQUIRED",IF(OR(AND('Input Required'!F29&lt;&gt;"",NOT(ISNUMBER('Input Required'!F29))),AND(ISNUMBER('Input Required'!F29),'Input Required'!F29&lt;-0.95),AND(ISNUMBER('Input Required'!F29),'Input Required'!F29&gt;2)),"INPUT ERROR","READY")))</f>
        <v>INPUT REQUIRED</v>
      </c>
      <c r="D28" s="40" t="s">
        <v>180</v>
      </c>
      <c r="E28" s="40" t="s">
        <v>134</v>
      </c>
      <c r="F28" s="40" t="s">
        <v>86</v>
      </c>
      <c r="G28" s="40" t="s">
        <v>135</v>
      </c>
      <c r="H28" s="40" t="s">
        <v>204</v>
      </c>
      <c r="I28" s="42" t="n">
        <f aca="false">'Input Required'!G29</f>
        <v>0</v>
      </c>
    </row>
    <row r="29" customFormat="false" ht="46.25" hidden="false" customHeight="false" outlineLevel="0" collapsed="false">
      <c r="A29" s="40" t="s">
        <v>144</v>
      </c>
      <c r="B29" s="40" t="s">
        <v>145</v>
      </c>
      <c r="C29" s="42" t="str">
        <f aca="false">IF('Input Required'!F30="","INPUT REQUIRED",IF(AND('Input Required'!H30="Yes",'Input Required'!G30=""),"SOURCE REQUIRED",IF(OR(AND('Input Required'!F30&lt;&gt;"",NOT(ISNUMBER('Input Required'!F30))),AND(ISNUMBER('Input Required'!F30),'Input Required'!F30&lt;-0.95),AND(ISNUMBER('Input Required'!F30),'Input Required'!F30&gt;2)),"INPUT ERROR","READY")))</f>
        <v>INPUT REQUIRED</v>
      </c>
      <c r="D29" s="40" t="s">
        <v>180</v>
      </c>
      <c r="E29" s="40" t="s">
        <v>136</v>
      </c>
      <c r="F29" s="40" t="s">
        <v>86</v>
      </c>
      <c r="G29" s="40" t="s">
        <v>137</v>
      </c>
      <c r="H29" s="40" t="s">
        <v>205</v>
      </c>
      <c r="I29" s="42" t="n">
        <f aca="false">'Input Required'!G30</f>
        <v>0</v>
      </c>
    </row>
    <row r="30" customFormat="false" ht="46.25" hidden="false" customHeight="false" outlineLevel="0" collapsed="false">
      <c r="A30" s="40" t="s">
        <v>146</v>
      </c>
      <c r="B30" s="40" t="s">
        <v>147</v>
      </c>
      <c r="C30" s="42" t="str">
        <f aca="false">IF('Input Required'!F31="","INPUT REQUIRED",IF(AND('Input Required'!H31="Yes",'Input Required'!G31=""),"SOURCE REQUIRED",IF(OR(AND('Input Required'!F31&lt;&gt;"",NOT(ISNUMBER('Input Required'!F31))),AND(ISNUMBER('Input Required'!F31),'Input Required'!F31&lt;-0.95),AND(ISNUMBER('Input Required'!F31),'Input Required'!F31&gt;2)),"INPUT ERROR","READY")))</f>
        <v>INPUT REQUIRED</v>
      </c>
      <c r="D30" s="40" t="s">
        <v>180</v>
      </c>
      <c r="E30" s="40" t="s">
        <v>127</v>
      </c>
      <c r="F30" s="40" t="s">
        <v>86</v>
      </c>
      <c r="G30" s="40" t="s">
        <v>128</v>
      </c>
      <c r="H30" s="40" t="s">
        <v>206</v>
      </c>
      <c r="I30" s="42" t="n">
        <f aca="false">'Input Required'!G31</f>
        <v>0</v>
      </c>
    </row>
    <row r="31" customFormat="false" ht="46.25" hidden="false" customHeight="false" outlineLevel="0" collapsed="false">
      <c r="A31" s="40" t="s">
        <v>146</v>
      </c>
      <c r="B31" s="40" t="s">
        <v>147</v>
      </c>
      <c r="C31" s="42" t="str">
        <f aca="false">IF('Input Required'!F32="","INPUT REQUIRED",IF(AND('Input Required'!H32="Yes",'Input Required'!G32=""),"SOURCE REQUIRED",IF(OR(AND('Input Required'!F32&lt;&gt;"",NOT(ISNUMBER('Input Required'!F32))),AND(ISNUMBER('Input Required'!F32),'Input Required'!F32&lt;-0.95),AND(ISNUMBER('Input Required'!F32),'Input Required'!F32&gt;2)),"INPUT ERROR","READY")))</f>
        <v>INPUT REQUIRED</v>
      </c>
      <c r="D31" s="40" t="s">
        <v>180</v>
      </c>
      <c r="E31" s="40" t="s">
        <v>130</v>
      </c>
      <c r="F31" s="40" t="s">
        <v>86</v>
      </c>
      <c r="G31" s="40" t="s">
        <v>131</v>
      </c>
      <c r="H31" s="40" t="s">
        <v>207</v>
      </c>
      <c r="I31" s="42" t="n">
        <f aca="false">'Input Required'!G32</f>
        <v>0</v>
      </c>
    </row>
    <row r="32" customFormat="false" ht="46.25" hidden="false" customHeight="false" outlineLevel="0" collapsed="false">
      <c r="A32" s="40" t="s">
        <v>146</v>
      </c>
      <c r="B32" s="40" t="s">
        <v>147</v>
      </c>
      <c r="C32" s="42" t="str">
        <f aca="false">IF('Input Required'!F33="","INPUT REQUIRED",IF(AND('Input Required'!H33="Yes",'Input Required'!G33=""),"SOURCE REQUIRED",IF(OR(AND('Input Required'!F33&lt;&gt;"",NOT(ISNUMBER('Input Required'!F33))),AND(ISNUMBER('Input Required'!F33),'Input Required'!F33&lt;-0.95),AND(ISNUMBER('Input Required'!F33),'Input Required'!F33&gt;2)),"INPUT ERROR","READY")))</f>
        <v>INPUT REQUIRED</v>
      </c>
      <c r="D32" s="40" t="s">
        <v>180</v>
      </c>
      <c r="E32" s="40" t="s">
        <v>132</v>
      </c>
      <c r="F32" s="40" t="s">
        <v>86</v>
      </c>
      <c r="G32" s="40" t="s">
        <v>133</v>
      </c>
      <c r="H32" s="40" t="s">
        <v>208</v>
      </c>
      <c r="I32" s="42" t="n">
        <f aca="false">'Input Required'!G33</f>
        <v>0</v>
      </c>
    </row>
    <row r="33" customFormat="false" ht="46.25" hidden="false" customHeight="false" outlineLevel="0" collapsed="false">
      <c r="A33" s="40" t="s">
        <v>146</v>
      </c>
      <c r="B33" s="40" t="s">
        <v>147</v>
      </c>
      <c r="C33" s="42" t="str">
        <f aca="false">IF('Input Required'!F34="","INPUT REQUIRED",IF(AND('Input Required'!H34="Yes",'Input Required'!G34=""),"SOURCE REQUIRED",IF(OR(AND('Input Required'!F34&lt;&gt;"",NOT(ISNUMBER('Input Required'!F34))),AND(ISNUMBER('Input Required'!F34),'Input Required'!F34&lt;-0.95),AND(ISNUMBER('Input Required'!F34),'Input Required'!F34&gt;2)),"INPUT ERROR","READY")))</f>
        <v>INPUT REQUIRED</v>
      </c>
      <c r="D33" s="40" t="s">
        <v>180</v>
      </c>
      <c r="E33" s="40" t="s">
        <v>134</v>
      </c>
      <c r="F33" s="40" t="s">
        <v>86</v>
      </c>
      <c r="G33" s="40" t="s">
        <v>135</v>
      </c>
      <c r="H33" s="40" t="s">
        <v>209</v>
      </c>
      <c r="I33" s="42" t="n">
        <f aca="false">'Input Required'!G34</f>
        <v>0</v>
      </c>
    </row>
    <row r="34" customFormat="false" ht="46.25" hidden="false" customHeight="false" outlineLevel="0" collapsed="false">
      <c r="A34" s="40" t="s">
        <v>146</v>
      </c>
      <c r="B34" s="40" t="s">
        <v>147</v>
      </c>
      <c r="C34" s="42" t="str">
        <f aca="false">IF('Input Required'!F35="","INPUT REQUIRED",IF(AND('Input Required'!H35="Yes",'Input Required'!G35=""),"SOURCE REQUIRED",IF(OR(AND('Input Required'!F35&lt;&gt;"",NOT(ISNUMBER('Input Required'!F35))),AND(ISNUMBER('Input Required'!F35),'Input Required'!F35&lt;-0.95),AND(ISNUMBER('Input Required'!F35),'Input Required'!F35&gt;2)),"INPUT ERROR","READY")))</f>
        <v>INPUT REQUIRED</v>
      </c>
      <c r="D34" s="40" t="s">
        <v>180</v>
      </c>
      <c r="E34" s="40" t="s">
        <v>136</v>
      </c>
      <c r="F34" s="40" t="s">
        <v>86</v>
      </c>
      <c r="G34" s="40" t="s">
        <v>137</v>
      </c>
      <c r="H34" s="40" t="s">
        <v>210</v>
      </c>
      <c r="I34" s="42" t="n">
        <f aca="false">'Input Required'!G35</f>
        <v>0</v>
      </c>
    </row>
    <row r="35" customFormat="false" ht="46.25" hidden="false" customHeight="false" outlineLevel="0" collapsed="false">
      <c r="A35" s="40" t="s">
        <v>148</v>
      </c>
      <c r="B35" s="40" t="s">
        <v>149</v>
      </c>
      <c r="C35" s="42" t="str">
        <f aca="false">IF('Input Required'!F36="","INPUT REQUIRED",IF(AND('Input Required'!H36="Yes",'Input Required'!G36=""),"SOURCE REQUIRED",IF(OR(AND('Input Required'!F36&lt;&gt;"",NOT(ISNUMBER('Input Required'!F36))),AND(ISNUMBER('Input Required'!F36),'Input Required'!F36&lt;-0.95),AND(ISNUMBER('Input Required'!F36),'Input Required'!F36&gt;2)),"INPUT ERROR","READY")))</f>
        <v>INPUT REQUIRED</v>
      </c>
      <c r="D35" s="40" t="s">
        <v>180</v>
      </c>
      <c r="E35" s="40" t="s">
        <v>127</v>
      </c>
      <c r="F35" s="40" t="s">
        <v>86</v>
      </c>
      <c r="G35" s="40" t="s">
        <v>128</v>
      </c>
      <c r="H35" s="40" t="s">
        <v>211</v>
      </c>
      <c r="I35" s="42" t="n">
        <f aca="false">'Input Required'!G36</f>
        <v>0</v>
      </c>
    </row>
    <row r="36" customFormat="false" ht="46.25" hidden="false" customHeight="false" outlineLevel="0" collapsed="false">
      <c r="A36" s="40" t="s">
        <v>148</v>
      </c>
      <c r="B36" s="40" t="s">
        <v>149</v>
      </c>
      <c r="C36" s="42" t="str">
        <f aca="false">IF('Input Required'!F37="","INPUT REQUIRED",IF(AND('Input Required'!H37="Yes",'Input Required'!G37=""),"SOURCE REQUIRED",IF(OR(AND('Input Required'!F37&lt;&gt;"",NOT(ISNUMBER('Input Required'!F37))),AND(ISNUMBER('Input Required'!F37),'Input Required'!F37&lt;-0.95),AND(ISNUMBER('Input Required'!F37),'Input Required'!F37&gt;2)),"INPUT ERROR","READY")))</f>
        <v>INPUT REQUIRED</v>
      </c>
      <c r="D36" s="40" t="s">
        <v>180</v>
      </c>
      <c r="E36" s="40" t="s">
        <v>130</v>
      </c>
      <c r="F36" s="40" t="s">
        <v>86</v>
      </c>
      <c r="G36" s="40" t="s">
        <v>131</v>
      </c>
      <c r="H36" s="40" t="s">
        <v>212</v>
      </c>
      <c r="I36" s="42" t="n">
        <f aca="false">'Input Required'!G37</f>
        <v>0</v>
      </c>
    </row>
    <row r="37" customFormat="false" ht="46.25" hidden="false" customHeight="false" outlineLevel="0" collapsed="false">
      <c r="A37" s="40" t="s">
        <v>148</v>
      </c>
      <c r="B37" s="40" t="s">
        <v>149</v>
      </c>
      <c r="C37" s="42" t="str">
        <f aca="false">IF('Input Required'!F38="","INPUT REQUIRED",IF(AND('Input Required'!H38="Yes",'Input Required'!G38=""),"SOURCE REQUIRED",IF(OR(AND('Input Required'!F38&lt;&gt;"",NOT(ISNUMBER('Input Required'!F38))),AND(ISNUMBER('Input Required'!F38),'Input Required'!F38&lt;-0.95),AND(ISNUMBER('Input Required'!F38),'Input Required'!F38&gt;2)),"INPUT ERROR","READY")))</f>
        <v>INPUT REQUIRED</v>
      </c>
      <c r="D37" s="40" t="s">
        <v>180</v>
      </c>
      <c r="E37" s="40" t="s">
        <v>132</v>
      </c>
      <c r="F37" s="40" t="s">
        <v>86</v>
      </c>
      <c r="G37" s="40" t="s">
        <v>133</v>
      </c>
      <c r="H37" s="40" t="s">
        <v>213</v>
      </c>
      <c r="I37" s="42" t="n">
        <f aca="false">'Input Required'!G38</f>
        <v>0</v>
      </c>
    </row>
    <row r="38" customFormat="false" ht="46.25" hidden="false" customHeight="false" outlineLevel="0" collapsed="false">
      <c r="A38" s="40" t="s">
        <v>148</v>
      </c>
      <c r="B38" s="40" t="s">
        <v>149</v>
      </c>
      <c r="C38" s="42" t="str">
        <f aca="false">IF('Input Required'!F39="","INPUT REQUIRED",IF(AND('Input Required'!H39="Yes",'Input Required'!G39=""),"SOURCE REQUIRED",IF(OR(AND('Input Required'!F39&lt;&gt;"",NOT(ISNUMBER('Input Required'!F39))),AND(ISNUMBER('Input Required'!F39),'Input Required'!F39&lt;-0.95),AND(ISNUMBER('Input Required'!F39),'Input Required'!F39&gt;2)),"INPUT ERROR","READY")))</f>
        <v>INPUT REQUIRED</v>
      </c>
      <c r="D38" s="40" t="s">
        <v>180</v>
      </c>
      <c r="E38" s="40" t="s">
        <v>134</v>
      </c>
      <c r="F38" s="40" t="s">
        <v>86</v>
      </c>
      <c r="G38" s="40" t="s">
        <v>135</v>
      </c>
      <c r="H38" s="40" t="s">
        <v>214</v>
      </c>
      <c r="I38" s="42" t="n">
        <f aca="false">'Input Required'!G39</f>
        <v>0</v>
      </c>
    </row>
    <row r="39" customFormat="false" ht="46.25" hidden="false" customHeight="false" outlineLevel="0" collapsed="false">
      <c r="A39" s="40" t="s">
        <v>148</v>
      </c>
      <c r="B39" s="40" t="s">
        <v>149</v>
      </c>
      <c r="C39" s="42" t="str">
        <f aca="false">IF('Input Required'!F40="","INPUT REQUIRED",IF(AND('Input Required'!H40="Yes",'Input Required'!G40=""),"SOURCE REQUIRED",IF(OR(AND('Input Required'!F40&lt;&gt;"",NOT(ISNUMBER('Input Required'!F40))),AND(ISNUMBER('Input Required'!F40),'Input Required'!F40&lt;-0.95),AND(ISNUMBER('Input Required'!F40),'Input Required'!F40&gt;2)),"INPUT ERROR","READY")))</f>
        <v>INPUT REQUIRED</v>
      </c>
      <c r="D39" s="40" t="s">
        <v>180</v>
      </c>
      <c r="E39" s="40" t="s">
        <v>136</v>
      </c>
      <c r="F39" s="40" t="s">
        <v>86</v>
      </c>
      <c r="G39" s="40" t="s">
        <v>137</v>
      </c>
      <c r="H39" s="40" t="s">
        <v>215</v>
      </c>
      <c r="I39" s="42" t="n">
        <f aca="false">'Input Required'!G40</f>
        <v>0</v>
      </c>
    </row>
    <row r="40" customFormat="false" ht="46.25" hidden="false" customHeight="false" outlineLevel="0" collapsed="false">
      <c r="A40" s="40" t="s">
        <v>150</v>
      </c>
      <c r="B40" s="40" t="s">
        <v>151</v>
      </c>
      <c r="C40" s="42" t="str">
        <f aca="false">IF('Input Required'!F41="","INPUT REQUIRED",IF(AND('Input Required'!H41="Yes",'Input Required'!G41=""),"SOURCE REQUIRED",IF(OR(AND('Input Required'!F41&lt;&gt;"",NOT(ISNUMBER('Input Required'!F41))),AND(ISNUMBER('Input Required'!F41),'Input Required'!F41&lt;-1000000000000),AND(ISNUMBER('Input Required'!F41),'Input Required'!F41&gt;1000000000000)),"INPUT ERROR","READY")))</f>
        <v>INPUT REQUIRED</v>
      </c>
      <c r="D40" s="40" t="s">
        <v>180</v>
      </c>
      <c r="E40" s="40" t="s">
        <v>127</v>
      </c>
      <c r="F40" s="40" t="s">
        <v>152</v>
      </c>
      <c r="G40" s="40" t="s">
        <v>153</v>
      </c>
      <c r="H40" s="40" t="s">
        <v>216</v>
      </c>
      <c r="I40" s="42" t="n">
        <f aca="false">'Input Required'!G41</f>
        <v>0</v>
      </c>
    </row>
    <row r="41" customFormat="false" ht="46.25" hidden="false" customHeight="false" outlineLevel="0" collapsed="false">
      <c r="A41" s="40" t="s">
        <v>150</v>
      </c>
      <c r="B41" s="40" t="s">
        <v>151</v>
      </c>
      <c r="C41" s="42" t="str">
        <f aca="false">IF('Input Required'!F42="","INPUT REQUIRED",IF(AND('Input Required'!H42="Yes",'Input Required'!G42=""),"SOURCE REQUIRED",IF(OR(AND('Input Required'!F42&lt;&gt;"",NOT(ISNUMBER('Input Required'!F42))),AND(ISNUMBER('Input Required'!F42),'Input Required'!F42&lt;-1000000000000),AND(ISNUMBER('Input Required'!F42),'Input Required'!F42&gt;1000000000000)),"INPUT ERROR","READY")))</f>
        <v>INPUT REQUIRED</v>
      </c>
      <c r="D41" s="40" t="s">
        <v>180</v>
      </c>
      <c r="E41" s="40" t="s">
        <v>130</v>
      </c>
      <c r="F41" s="40" t="s">
        <v>152</v>
      </c>
      <c r="G41" s="40" t="s">
        <v>153</v>
      </c>
      <c r="H41" s="40" t="s">
        <v>217</v>
      </c>
      <c r="I41" s="42" t="n">
        <f aca="false">'Input Required'!G42</f>
        <v>0</v>
      </c>
    </row>
    <row r="42" customFormat="false" ht="46.25" hidden="false" customHeight="false" outlineLevel="0" collapsed="false">
      <c r="A42" s="40" t="s">
        <v>150</v>
      </c>
      <c r="B42" s="40" t="s">
        <v>151</v>
      </c>
      <c r="C42" s="42" t="str">
        <f aca="false">IF('Input Required'!F43="","INPUT REQUIRED",IF(AND('Input Required'!H43="Yes",'Input Required'!G43=""),"SOURCE REQUIRED",IF(OR(AND('Input Required'!F43&lt;&gt;"",NOT(ISNUMBER('Input Required'!F43))),AND(ISNUMBER('Input Required'!F43),'Input Required'!F43&lt;-1000000000000),AND(ISNUMBER('Input Required'!F43),'Input Required'!F43&gt;1000000000000)),"INPUT ERROR","READY")))</f>
        <v>INPUT REQUIRED</v>
      </c>
      <c r="D42" s="40" t="s">
        <v>180</v>
      </c>
      <c r="E42" s="40" t="s">
        <v>132</v>
      </c>
      <c r="F42" s="40" t="s">
        <v>152</v>
      </c>
      <c r="G42" s="40" t="s">
        <v>153</v>
      </c>
      <c r="H42" s="40" t="s">
        <v>218</v>
      </c>
      <c r="I42" s="42" t="n">
        <f aca="false">'Input Required'!G43</f>
        <v>0</v>
      </c>
    </row>
    <row r="43" customFormat="false" ht="46.25" hidden="false" customHeight="false" outlineLevel="0" collapsed="false">
      <c r="A43" s="40" t="s">
        <v>150</v>
      </c>
      <c r="B43" s="40" t="s">
        <v>151</v>
      </c>
      <c r="C43" s="42" t="str">
        <f aca="false">IF('Input Required'!F44="","INPUT REQUIRED",IF(AND('Input Required'!H44="Yes",'Input Required'!G44=""),"SOURCE REQUIRED",IF(OR(AND('Input Required'!F44&lt;&gt;"",NOT(ISNUMBER('Input Required'!F44))),AND(ISNUMBER('Input Required'!F44),'Input Required'!F44&lt;-1000000000000),AND(ISNUMBER('Input Required'!F44),'Input Required'!F44&gt;1000000000000)),"INPUT ERROR","READY")))</f>
        <v>INPUT REQUIRED</v>
      </c>
      <c r="D43" s="40" t="s">
        <v>180</v>
      </c>
      <c r="E43" s="40" t="s">
        <v>134</v>
      </c>
      <c r="F43" s="40" t="s">
        <v>152</v>
      </c>
      <c r="G43" s="40" t="s">
        <v>153</v>
      </c>
      <c r="H43" s="40" t="s">
        <v>219</v>
      </c>
      <c r="I43" s="42" t="n">
        <f aca="false">'Input Required'!G44</f>
        <v>0</v>
      </c>
    </row>
    <row r="44" customFormat="false" ht="46.25" hidden="false" customHeight="false" outlineLevel="0" collapsed="false">
      <c r="A44" s="40" t="s">
        <v>150</v>
      </c>
      <c r="B44" s="40" t="s">
        <v>151</v>
      </c>
      <c r="C44" s="42" t="str">
        <f aca="false">IF('Input Required'!F45="","INPUT REQUIRED",IF(AND('Input Required'!H45="Yes",'Input Required'!G45=""),"SOURCE REQUIRED",IF(OR(AND('Input Required'!F45&lt;&gt;"",NOT(ISNUMBER('Input Required'!F45))),AND(ISNUMBER('Input Required'!F45),'Input Required'!F45&lt;-1000000000000),AND(ISNUMBER('Input Required'!F45),'Input Required'!F45&gt;1000000000000)),"INPUT ERROR","READY")))</f>
        <v>INPUT REQUIRED</v>
      </c>
      <c r="D44" s="40" t="s">
        <v>180</v>
      </c>
      <c r="E44" s="40" t="s">
        <v>136</v>
      </c>
      <c r="F44" s="40" t="s">
        <v>152</v>
      </c>
      <c r="G44" s="40" t="s">
        <v>153</v>
      </c>
      <c r="H44" s="40" t="s">
        <v>220</v>
      </c>
      <c r="I44" s="42" t="n">
        <f aca="false">'Input Required'!G45</f>
        <v>0</v>
      </c>
    </row>
    <row r="45" customFormat="false" ht="46.25" hidden="false" customHeight="false" outlineLevel="0" collapsed="false">
      <c r="A45" s="40" t="s">
        <v>154</v>
      </c>
      <c r="B45" s="40" t="s">
        <v>155</v>
      </c>
      <c r="C45" s="42" t="str">
        <f aca="false">IF('Input Required'!F46="","INPUT REQUIRED",IF(AND('Input Required'!H46="Yes",'Input Required'!G46=""),"SOURCE REQUIRED",IF(OR(AND('Input Required'!F46&lt;&gt;"",NOT(ISNUMBER('Input Required'!F46))),AND(ISNUMBER('Input Required'!F46),'Input Required'!F46&lt;0),AND(ISNUMBER('Input Required'!F46),'Input Required'!F46&gt;1000000000000)),"INPUT ERROR","READY")))</f>
        <v>INPUT REQUIRED</v>
      </c>
      <c r="D45" s="40" t="s">
        <v>180</v>
      </c>
      <c r="E45" s="40" t="s">
        <v>127</v>
      </c>
      <c r="F45" s="40" t="s">
        <v>152</v>
      </c>
      <c r="G45" s="40" t="s">
        <v>156</v>
      </c>
      <c r="H45" s="40" t="s">
        <v>221</v>
      </c>
      <c r="I45" s="42" t="n">
        <f aca="false">'Input Required'!G46</f>
        <v>0</v>
      </c>
    </row>
    <row r="46" customFormat="false" ht="46.25" hidden="false" customHeight="false" outlineLevel="0" collapsed="false">
      <c r="A46" s="40" t="s">
        <v>154</v>
      </c>
      <c r="B46" s="40" t="s">
        <v>155</v>
      </c>
      <c r="C46" s="42" t="str">
        <f aca="false">IF('Input Required'!F47="","INPUT REQUIRED",IF(AND('Input Required'!H47="Yes",'Input Required'!G47=""),"SOURCE REQUIRED",IF(OR(AND('Input Required'!F47&lt;&gt;"",NOT(ISNUMBER('Input Required'!F47))),AND(ISNUMBER('Input Required'!F47),'Input Required'!F47&lt;0),AND(ISNUMBER('Input Required'!F47),'Input Required'!F47&gt;1000000000000)),"INPUT ERROR","READY")))</f>
        <v>INPUT REQUIRED</v>
      </c>
      <c r="D46" s="40" t="s">
        <v>180</v>
      </c>
      <c r="E46" s="40" t="s">
        <v>130</v>
      </c>
      <c r="F46" s="40" t="s">
        <v>152</v>
      </c>
      <c r="G46" s="40" t="s">
        <v>156</v>
      </c>
      <c r="H46" s="40" t="s">
        <v>222</v>
      </c>
      <c r="I46" s="42" t="n">
        <f aca="false">'Input Required'!G47</f>
        <v>0</v>
      </c>
    </row>
    <row r="47" customFormat="false" ht="46.25" hidden="false" customHeight="false" outlineLevel="0" collapsed="false">
      <c r="A47" s="40" t="s">
        <v>154</v>
      </c>
      <c r="B47" s="40" t="s">
        <v>155</v>
      </c>
      <c r="C47" s="42" t="str">
        <f aca="false">IF('Input Required'!F48="","INPUT REQUIRED",IF(AND('Input Required'!H48="Yes",'Input Required'!G48=""),"SOURCE REQUIRED",IF(OR(AND('Input Required'!F48&lt;&gt;"",NOT(ISNUMBER('Input Required'!F48))),AND(ISNUMBER('Input Required'!F48),'Input Required'!F48&lt;0),AND(ISNUMBER('Input Required'!F48),'Input Required'!F48&gt;1000000000000)),"INPUT ERROR","READY")))</f>
        <v>INPUT REQUIRED</v>
      </c>
      <c r="D47" s="40" t="s">
        <v>180</v>
      </c>
      <c r="E47" s="40" t="s">
        <v>132</v>
      </c>
      <c r="F47" s="40" t="s">
        <v>152</v>
      </c>
      <c r="G47" s="40" t="s">
        <v>156</v>
      </c>
      <c r="H47" s="40" t="s">
        <v>223</v>
      </c>
      <c r="I47" s="42" t="n">
        <f aca="false">'Input Required'!G48</f>
        <v>0</v>
      </c>
    </row>
    <row r="48" customFormat="false" ht="46.25" hidden="false" customHeight="false" outlineLevel="0" collapsed="false">
      <c r="A48" s="40" t="s">
        <v>154</v>
      </c>
      <c r="B48" s="40" t="s">
        <v>155</v>
      </c>
      <c r="C48" s="42" t="str">
        <f aca="false">IF('Input Required'!F49="","INPUT REQUIRED",IF(AND('Input Required'!H49="Yes",'Input Required'!G49=""),"SOURCE REQUIRED",IF(OR(AND('Input Required'!F49&lt;&gt;"",NOT(ISNUMBER('Input Required'!F49))),AND(ISNUMBER('Input Required'!F49),'Input Required'!F49&lt;0),AND(ISNUMBER('Input Required'!F49),'Input Required'!F49&gt;1000000000000)),"INPUT ERROR","READY")))</f>
        <v>INPUT REQUIRED</v>
      </c>
      <c r="D48" s="40" t="s">
        <v>180</v>
      </c>
      <c r="E48" s="40" t="s">
        <v>134</v>
      </c>
      <c r="F48" s="40" t="s">
        <v>152</v>
      </c>
      <c r="G48" s="40" t="s">
        <v>156</v>
      </c>
      <c r="H48" s="40" t="s">
        <v>224</v>
      </c>
      <c r="I48" s="42" t="n">
        <f aca="false">'Input Required'!G49</f>
        <v>0</v>
      </c>
    </row>
    <row r="49" customFormat="false" ht="46.25" hidden="false" customHeight="false" outlineLevel="0" collapsed="false">
      <c r="A49" s="40" t="s">
        <v>154</v>
      </c>
      <c r="B49" s="40" t="s">
        <v>155</v>
      </c>
      <c r="C49" s="42" t="str">
        <f aca="false">IF('Input Required'!F50="","INPUT REQUIRED",IF(AND('Input Required'!H50="Yes",'Input Required'!G50=""),"SOURCE REQUIRED",IF(OR(AND('Input Required'!F50&lt;&gt;"",NOT(ISNUMBER('Input Required'!F50))),AND(ISNUMBER('Input Required'!F50),'Input Required'!F50&lt;0),AND(ISNUMBER('Input Required'!F50),'Input Required'!F50&gt;1000000000000)),"INPUT ERROR","READY")))</f>
        <v>INPUT REQUIRED</v>
      </c>
      <c r="D49" s="40" t="s">
        <v>180</v>
      </c>
      <c r="E49" s="40" t="s">
        <v>136</v>
      </c>
      <c r="F49" s="40" t="s">
        <v>152</v>
      </c>
      <c r="G49" s="40" t="s">
        <v>156</v>
      </c>
      <c r="H49" s="40" t="s">
        <v>225</v>
      </c>
      <c r="I49" s="42" t="n">
        <f aca="false">'Input Required'!G50</f>
        <v>0</v>
      </c>
    </row>
    <row r="50" customFormat="false" ht="46.25" hidden="false" customHeight="false" outlineLevel="0" collapsed="false">
      <c r="A50" s="40" t="s">
        <v>157</v>
      </c>
      <c r="B50" s="40" t="s">
        <v>158</v>
      </c>
      <c r="C50" s="42" t="str">
        <f aca="false">IF('Input Required'!F51="","INPUT REQUIRED",IF(AND('Input Required'!H51="Yes",'Input Required'!G51=""),"SOURCE REQUIRED",IF(OR(AND('Input Required'!F51&lt;&gt;"",NOT(ISNUMBER('Input Required'!F51))),AND(ISNUMBER('Input Required'!F51),'Input Required'!F51&lt;0),AND(ISNUMBER('Input Required'!F51),'Input Required'!F51&gt;1000000000000)),"INPUT ERROR","READY")))</f>
        <v>INPUT REQUIRED</v>
      </c>
      <c r="D50" s="40" t="s">
        <v>180</v>
      </c>
      <c r="E50" s="40"/>
      <c r="F50" s="40" t="s">
        <v>152</v>
      </c>
      <c r="G50" s="40" t="s">
        <v>159</v>
      </c>
      <c r="H50" s="40" t="s">
        <v>226</v>
      </c>
      <c r="I50" s="42" t="n">
        <f aca="false">'Input Required'!G51</f>
        <v>0</v>
      </c>
    </row>
    <row r="51" customFormat="false" ht="46.25" hidden="false" customHeight="false" outlineLevel="0" collapsed="false">
      <c r="A51" s="40" t="s">
        <v>160</v>
      </c>
      <c r="B51" s="40" t="s">
        <v>161</v>
      </c>
      <c r="C51" s="42" t="str">
        <f aca="false">IF('Input Required'!F52="","INPUT REQUIRED",IF(AND('Input Required'!H52="Yes",'Input Required'!G52=""),"SOURCE REQUIRED",IF(OR(AND('Input Required'!F52&lt;&gt;"",NOT(ISNUMBER('Input Required'!F52))),AND(ISNUMBER('Input Required'!F52),'Input Required'!F52&lt;0),AND(ISNUMBER('Input Required'!F52),'Input Required'!F52&gt;1000000000000)),"INPUT ERROR","READY")))</f>
        <v>INPUT REQUIRED</v>
      </c>
      <c r="D51" s="40" t="s">
        <v>180</v>
      </c>
      <c r="E51" s="40"/>
      <c r="F51" s="40" t="s">
        <v>152</v>
      </c>
      <c r="G51" s="40" t="s">
        <v>162</v>
      </c>
      <c r="H51" s="40" t="s">
        <v>227</v>
      </c>
      <c r="I51" s="42" t="n">
        <f aca="false">'Input Required'!G52</f>
        <v>0</v>
      </c>
    </row>
    <row r="52" customFormat="false" ht="35.05" hidden="false" customHeight="false" outlineLevel="0" collapsed="false">
      <c r="A52" s="40" t="s">
        <v>163</v>
      </c>
      <c r="B52" s="40" t="s">
        <v>164</v>
      </c>
      <c r="C52" s="42" t="str">
        <f aca="false">IF('Input Required'!F53="","INPUT REQUIRED",IF(AND('Input Required'!H53="Yes",'Input Required'!G53=""),"SOURCE REQUIRED",IF(OR(AND('Input Required'!F53&lt;&gt;"",NOT(ISNUMBER('Input Required'!F53))),AND(ISNUMBER('Input Required'!F53),'Input Required'!F53&lt;0),AND(ISNUMBER('Input Required'!F53),'Input Required'!F53&gt;1000000000000)),"INPUT ERROR","READY")))</f>
        <v>INPUT REQUIRED</v>
      </c>
      <c r="D52" s="40" t="s">
        <v>180</v>
      </c>
      <c r="E52" s="40"/>
      <c r="F52" s="40" t="s">
        <v>152</v>
      </c>
      <c r="G52" s="40" t="s">
        <v>165</v>
      </c>
      <c r="H52" s="40" t="s">
        <v>228</v>
      </c>
      <c r="I52" s="42" t="n">
        <f aca="false">'Input Required'!G53</f>
        <v>0</v>
      </c>
    </row>
    <row r="53" customFormat="false" ht="46.25" hidden="false" customHeight="false" outlineLevel="0" collapsed="false">
      <c r="A53" s="40" t="s">
        <v>166</v>
      </c>
      <c r="B53" s="40" t="s">
        <v>44</v>
      </c>
      <c r="C53" s="42" t="str">
        <f aca="false">IF('Input Required'!F54="","INPUT REQUIRED",IF(AND('Input Required'!H54="Yes",'Input Required'!G54=""),"SOURCE REQUIRED",IF(OR(AND('Input Required'!F54&lt;&gt;"",NOT(ISNUMBER('Input Required'!F54))),AND(ISNUMBER('Input Required'!F54),'Input Required'!F54&lt;0),AND(ISNUMBER('Input Required'!F54),'Input Required'!F54&gt;1000000000000)),"INPUT ERROR","READY")))</f>
        <v>INPUT REQUIRED</v>
      </c>
      <c r="D53" s="40" t="s">
        <v>180</v>
      </c>
      <c r="E53" s="40"/>
      <c r="F53" s="40" t="s">
        <v>152</v>
      </c>
      <c r="G53" s="40" t="s">
        <v>167</v>
      </c>
      <c r="H53" s="40" t="s">
        <v>229</v>
      </c>
      <c r="I53" s="42" t="n">
        <f aca="false">'Input Required'!G54</f>
        <v>0</v>
      </c>
    </row>
    <row r="54" customFormat="false" ht="46.25" hidden="false" customHeight="false" outlineLevel="0" collapsed="false">
      <c r="A54" s="40" t="s">
        <v>168</v>
      </c>
      <c r="B54" s="40" t="s">
        <v>169</v>
      </c>
      <c r="C54" s="42" t="str">
        <f aca="false">IF('Input Required'!F55="","INPUT REQUIRED",IF(AND('Input Required'!H55="Yes",'Input Required'!G55=""),"SOURCE REQUIRED",IF(OR(AND('Input Required'!F55&lt;&gt;"",NOT(ISNUMBER('Input Required'!F55))),AND(ISNUMBER('Input Required'!F55),'Input Required'!F55&lt;0),AND(ISNUMBER('Input Required'!F55),'Input Required'!F55&gt;1000000000000)),"INPUT ERROR","READY")))</f>
        <v>INPUT REQUIRED</v>
      </c>
      <c r="D54" s="40" t="s">
        <v>180</v>
      </c>
      <c r="E54" s="40"/>
      <c r="F54" s="40" t="s">
        <v>152</v>
      </c>
      <c r="G54" s="40" t="s">
        <v>170</v>
      </c>
      <c r="H54" s="40" t="s">
        <v>230</v>
      </c>
      <c r="I54" s="42" t="n">
        <f aca="false">'Input Required'!G55</f>
        <v>0</v>
      </c>
    </row>
    <row r="55" customFormat="false" ht="35.05" hidden="false" customHeight="false" outlineLevel="0" collapsed="false">
      <c r="A55" s="40" t="s">
        <v>171</v>
      </c>
      <c r="B55" s="40" t="s">
        <v>172</v>
      </c>
      <c r="C55" s="42" t="str">
        <f aca="false">IF('Input Required'!F56="","INPUT REQUIRED",IF(AND('Input Required'!H56="Yes",'Input Required'!G56=""),"SOURCE REQUIRED",IF(OR(AND('Input Required'!F56&lt;&gt;"",NOT(ISNUMBER('Input Required'!F56))),AND(ISNUMBER('Input Required'!F56),'Input Required'!F56&lt;0),AND(ISNUMBER('Input Required'!F56),'Input Required'!F56&gt;0.1)),"INPUT ERROR","READY")))</f>
        <v>INPUT REQUIRED</v>
      </c>
      <c r="D55" s="40" t="s">
        <v>180</v>
      </c>
      <c r="E55" s="40"/>
      <c r="F55" s="40" t="s">
        <v>86</v>
      </c>
      <c r="G55" s="40" t="s">
        <v>173</v>
      </c>
      <c r="H55" s="40" t="s">
        <v>231</v>
      </c>
      <c r="I55" s="42" t="n">
        <f aca="false">'Input Required'!G56</f>
        <v>0</v>
      </c>
    </row>
    <row r="58" customFormat="false" ht="15" hidden="false" customHeight="false" outlineLevel="0" collapsed="false">
      <c r="A58" s="11" t="s">
        <v>232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customFormat="false" ht="15" hidden="false" customHeight="false" outlineLevel="0" collapsed="false">
      <c r="A59" s="7" t="s">
        <v>76</v>
      </c>
      <c r="B59" s="7" t="s">
        <v>233</v>
      </c>
      <c r="C59" s="7" t="s">
        <v>234</v>
      </c>
      <c r="D59" s="7" t="s">
        <v>78</v>
      </c>
      <c r="E59" s="7" t="s">
        <v>79</v>
      </c>
      <c r="F59" s="7" t="s">
        <v>120</v>
      </c>
      <c r="G59" s="7" t="s">
        <v>235</v>
      </c>
      <c r="H59" s="7" t="s">
        <v>236</v>
      </c>
      <c r="I59" s="7" t="s">
        <v>81</v>
      </c>
      <c r="J59" s="7" t="s">
        <v>82</v>
      </c>
      <c r="K59" s="7" t="s">
        <v>237</v>
      </c>
      <c r="L59" s="7" t="s">
        <v>238</v>
      </c>
      <c r="M59" s="7" t="s">
        <v>239</v>
      </c>
      <c r="N59" s="7" t="s">
        <v>240</v>
      </c>
    </row>
    <row r="60" customFormat="false" ht="53.7" hidden="false" customHeight="false" outlineLevel="0" collapsed="false">
      <c r="A60" s="43" t="s">
        <v>241</v>
      </c>
      <c r="B60" s="43" t="s">
        <v>242</v>
      </c>
      <c r="C60" s="44"/>
      <c r="D60" s="43" t="n">
        <v>2025</v>
      </c>
      <c r="E60" s="45" t="n">
        <v>1692</v>
      </c>
      <c r="F60" s="43" t="s">
        <v>243</v>
      </c>
      <c r="G60" s="43" t="s">
        <v>244</v>
      </c>
      <c r="H60" s="44" t="s">
        <v>245</v>
      </c>
      <c r="I60" s="43"/>
      <c r="J60" s="43" t="s">
        <v>88</v>
      </c>
      <c r="K60" s="43" t="s">
        <v>246</v>
      </c>
      <c r="L60" s="43" t="s">
        <v>247</v>
      </c>
      <c r="M60" s="43" t="s">
        <v>248</v>
      </c>
      <c r="N60" s="44" t="s">
        <v>249</v>
      </c>
    </row>
    <row r="61" customFormat="false" ht="53.7" hidden="false" customHeight="false" outlineLevel="0" collapsed="false">
      <c r="A61" s="43" t="s">
        <v>241</v>
      </c>
      <c r="B61" s="43" t="s">
        <v>242</v>
      </c>
      <c r="C61" s="44"/>
      <c r="D61" s="43" t="n">
        <v>2024</v>
      </c>
      <c r="E61" s="45" t="n">
        <v>1606</v>
      </c>
      <c r="F61" s="43" t="s">
        <v>243</v>
      </c>
      <c r="G61" s="43" t="s">
        <v>244</v>
      </c>
      <c r="H61" s="44" t="s">
        <v>245</v>
      </c>
      <c r="I61" s="43"/>
      <c r="J61" s="43" t="s">
        <v>88</v>
      </c>
      <c r="K61" s="43" t="s">
        <v>246</v>
      </c>
      <c r="L61" s="43" t="s">
        <v>247</v>
      </c>
      <c r="M61" s="43" t="s">
        <v>248</v>
      </c>
      <c r="N61" s="44" t="s">
        <v>250</v>
      </c>
    </row>
    <row r="62" customFormat="false" ht="53.7" hidden="false" customHeight="false" outlineLevel="0" collapsed="false">
      <c r="A62" s="43" t="s">
        <v>241</v>
      </c>
      <c r="B62" s="43" t="s">
        <v>242</v>
      </c>
      <c r="C62" s="44"/>
      <c r="D62" s="43" t="n">
        <v>2023</v>
      </c>
      <c r="E62" s="45" t="n">
        <v>1655</v>
      </c>
      <c r="F62" s="43" t="s">
        <v>243</v>
      </c>
      <c r="G62" s="43" t="s">
        <v>244</v>
      </c>
      <c r="H62" s="44" t="s">
        <v>245</v>
      </c>
      <c r="I62" s="43"/>
      <c r="J62" s="43" t="s">
        <v>88</v>
      </c>
      <c r="K62" s="43" t="s">
        <v>246</v>
      </c>
      <c r="L62" s="43" t="s">
        <v>247</v>
      </c>
      <c r="M62" s="43" t="s">
        <v>248</v>
      </c>
      <c r="N62" s="44" t="s">
        <v>251</v>
      </c>
    </row>
    <row r="63" customFormat="false" ht="53.7" hidden="false" customHeight="false" outlineLevel="0" collapsed="false">
      <c r="A63" s="43" t="s">
        <v>241</v>
      </c>
      <c r="B63" s="43" t="s">
        <v>252</v>
      </c>
      <c r="C63" s="44"/>
      <c r="D63" s="43" t="n">
        <v>2025</v>
      </c>
      <c r="E63" s="45" t="n">
        <v>1671</v>
      </c>
      <c r="F63" s="43" t="s">
        <v>243</v>
      </c>
      <c r="G63" s="43" t="s">
        <v>244</v>
      </c>
      <c r="H63" s="44" t="s">
        <v>245</v>
      </c>
      <c r="I63" s="43"/>
      <c r="J63" s="43" t="s">
        <v>88</v>
      </c>
      <c r="K63" s="43" t="s">
        <v>246</v>
      </c>
      <c r="L63" s="43" t="s">
        <v>247</v>
      </c>
      <c r="M63" s="43" t="s">
        <v>248</v>
      </c>
      <c r="N63" s="44" t="s">
        <v>253</v>
      </c>
    </row>
    <row r="64" customFormat="false" ht="53.7" hidden="false" customHeight="false" outlineLevel="0" collapsed="false">
      <c r="A64" s="43" t="s">
        <v>241</v>
      </c>
      <c r="B64" s="43" t="s">
        <v>252</v>
      </c>
      <c r="C64" s="44"/>
      <c r="D64" s="43" t="n">
        <v>2024</v>
      </c>
      <c r="E64" s="45" t="n">
        <v>1667</v>
      </c>
      <c r="F64" s="43" t="s">
        <v>243</v>
      </c>
      <c r="G64" s="43" t="s">
        <v>244</v>
      </c>
      <c r="H64" s="44" t="s">
        <v>245</v>
      </c>
      <c r="I64" s="43"/>
      <c r="J64" s="43" t="s">
        <v>88</v>
      </c>
      <c r="K64" s="43" t="s">
        <v>246</v>
      </c>
      <c r="L64" s="43" t="s">
        <v>247</v>
      </c>
      <c r="M64" s="43" t="s">
        <v>248</v>
      </c>
      <c r="N64" s="44" t="s">
        <v>254</v>
      </c>
    </row>
    <row r="65" customFormat="false" ht="53.7" hidden="false" customHeight="false" outlineLevel="0" collapsed="false">
      <c r="A65" s="43" t="s">
        <v>241</v>
      </c>
      <c r="B65" s="43" t="s">
        <v>252</v>
      </c>
      <c r="C65" s="44"/>
      <c r="D65" s="43" t="n">
        <v>2023</v>
      </c>
      <c r="E65" s="45" t="n">
        <v>1708</v>
      </c>
      <c r="F65" s="43" t="s">
        <v>243</v>
      </c>
      <c r="G65" s="43" t="s">
        <v>244</v>
      </c>
      <c r="H65" s="44" t="s">
        <v>245</v>
      </c>
      <c r="I65" s="43"/>
      <c r="J65" s="43" t="s">
        <v>88</v>
      </c>
      <c r="K65" s="43" t="s">
        <v>246</v>
      </c>
      <c r="L65" s="43" t="s">
        <v>247</v>
      </c>
      <c r="M65" s="43" t="s">
        <v>248</v>
      </c>
      <c r="N65" s="44" t="s">
        <v>255</v>
      </c>
    </row>
    <row r="66" customFormat="false" ht="53.7" hidden="false" customHeight="false" outlineLevel="0" collapsed="false">
      <c r="A66" s="43" t="s">
        <v>241</v>
      </c>
      <c r="B66" s="43" t="s">
        <v>256</v>
      </c>
      <c r="C66" s="44"/>
      <c r="D66" s="43" t="n">
        <v>2025</v>
      </c>
      <c r="E66" s="45" t="n">
        <v>1702</v>
      </c>
      <c r="F66" s="43" t="s">
        <v>243</v>
      </c>
      <c r="G66" s="43" t="s">
        <v>244</v>
      </c>
      <c r="H66" s="44" t="s">
        <v>245</v>
      </c>
      <c r="I66" s="43"/>
      <c r="J66" s="43" t="s">
        <v>88</v>
      </c>
      <c r="K66" s="43" t="s">
        <v>246</v>
      </c>
      <c r="L66" s="43" t="s">
        <v>247</v>
      </c>
      <c r="M66" s="43" t="s">
        <v>248</v>
      </c>
      <c r="N66" s="44" t="s">
        <v>257</v>
      </c>
    </row>
    <row r="67" customFormat="false" ht="53.7" hidden="false" customHeight="false" outlineLevel="0" collapsed="false">
      <c r="A67" s="43" t="s">
        <v>241</v>
      </c>
      <c r="B67" s="43" t="s">
        <v>256</v>
      </c>
      <c r="C67" s="44"/>
      <c r="D67" s="43" t="n">
        <v>2024</v>
      </c>
      <c r="E67" s="45" t="n">
        <v>1621</v>
      </c>
      <c r="F67" s="43" t="s">
        <v>243</v>
      </c>
      <c r="G67" s="43" t="s">
        <v>244</v>
      </c>
      <c r="H67" s="44" t="s">
        <v>245</v>
      </c>
      <c r="I67" s="43"/>
      <c r="J67" s="43" t="s">
        <v>88</v>
      </c>
      <c r="K67" s="43" t="s">
        <v>246</v>
      </c>
      <c r="L67" s="43" t="s">
        <v>247</v>
      </c>
      <c r="M67" s="43" t="s">
        <v>248</v>
      </c>
      <c r="N67" s="44" t="s">
        <v>258</v>
      </c>
    </row>
    <row r="68" customFormat="false" ht="53.7" hidden="false" customHeight="false" outlineLevel="0" collapsed="false">
      <c r="A68" s="43" t="s">
        <v>241</v>
      </c>
      <c r="B68" s="43" t="s">
        <v>256</v>
      </c>
      <c r="C68" s="44"/>
      <c r="D68" s="43" t="n">
        <v>2023</v>
      </c>
      <c r="E68" s="45" t="n">
        <v>1282</v>
      </c>
      <c r="F68" s="43" t="s">
        <v>243</v>
      </c>
      <c r="G68" s="43" t="s">
        <v>244</v>
      </c>
      <c r="H68" s="44" t="s">
        <v>245</v>
      </c>
      <c r="I68" s="43"/>
      <c r="J68" s="43" t="s">
        <v>88</v>
      </c>
      <c r="K68" s="43" t="s">
        <v>246</v>
      </c>
      <c r="L68" s="43" t="s">
        <v>247</v>
      </c>
      <c r="M68" s="43" t="s">
        <v>248</v>
      </c>
      <c r="N68" s="44" t="s">
        <v>259</v>
      </c>
    </row>
    <row r="69" customFormat="false" ht="53.7" hidden="false" customHeight="false" outlineLevel="0" collapsed="false">
      <c r="A69" s="43" t="s">
        <v>241</v>
      </c>
      <c r="B69" s="43" t="s">
        <v>260</v>
      </c>
      <c r="C69" s="44"/>
      <c r="D69" s="43" t="n">
        <v>2025</v>
      </c>
      <c r="E69" s="45" t="n">
        <v>798</v>
      </c>
      <c r="F69" s="43" t="s">
        <v>243</v>
      </c>
      <c r="G69" s="43" t="s">
        <v>244</v>
      </c>
      <c r="H69" s="44" t="s">
        <v>245</v>
      </c>
      <c r="I69" s="43"/>
      <c r="J69" s="43" t="s">
        <v>88</v>
      </c>
      <c r="K69" s="43" t="s">
        <v>246</v>
      </c>
      <c r="L69" s="43" t="s">
        <v>247</v>
      </c>
      <c r="M69" s="43" t="s">
        <v>248</v>
      </c>
      <c r="N69" s="44" t="s">
        <v>261</v>
      </c>
    </row>
    <row r="70" customFormat="false" ht="53.7" hidden="false" customHeight="false" outlineLevel="0" collapsed="false">
      <c r="A70" s="43" t="s">
        <v>241</v>
      </c>
      <c r="B70" s="43" t="s">
        <v>260</v>
      </c>
      <c r="C70" s="44"/>
      <c r="D70" s="43" t="n">
        <v>2024</v>
      </c>
      <c r="E70" s="45" t="n">
        <v>881</v>
      </c>
      <c r="F70" s="43" t="s">
        <v>243</v>
      </c>
      <c r="G70" s="43" t="s">
        <v>244</v>
      </c>
      <c r="H70" s="44" t="s">
        <v>245</v>
      </c>
      <c r="I70" s="43"/>
      <c r="J70" s="43" t="s">
        <v>88</v>
      </c>
      <c r="K70" s="43" t="s">
        <v>246</v>
      </c>
      <c r="L70" s="43" t="s">
        <v>247</v>
      </c>
      <c r="M70" s="43" t="s">
        <v>248</v>
      </c>
      <c r="N70" s="44" t="s">
        <v>262</v>
      </c>
    </row>
    <row r="71" customFormat="false" ht="53.7" hidden="false" customHeight="false" outlineLevel="0" collapsed="false">
      <c r="A71" s="43" t="s">
        <v>241</v>
      </c>
      <c r="B71" s="43" t="s">
        <v>260</v>
      </c>
      <c r="C71" s="44"/>
      <c r="D71" s="43" t="n">
        <v>2023</v>
      </c>
      <c r="E71" s="45" t="n">
        <v>840</v>
      </c>
      <c r="F71" s="43" t="s">
        <v>243</v>
      </c>
      <c r="G71" s="43" t="s">
        <v>244</v>
      </c>
      <c r="H71" s="44" t="s">
        <v>245</v>
      </c>
      <c r="I71" s="43"/>
      <c r="J71" s="43" t="s">
        <v>88</v>
      </c>
      <c r="K71" s="43" t="s">
        <v>246</v>
      </c>
      <c r="L71" s="43" t="s">
        <v>247</v>
      </c>
      <c r="M71" s="43" t="s">
        <v>248</v>
      </c>
      <c r="N71" s="44" t="s">
        <v>263</v>
      </c>
    </row>
    <row r="72" customFormat="false" ht="53.7" hidden="false" customHeight="false" outlineLevel="0" collapsed="false">
      <c r="A72" s="43" t="s">
        <v>241</v>
      </c>
      <c r="B72" s="43" t="s">
        <v>264</v>
      </c>
      <c r="C72" s="44"/>
      <c r="D72" s="43" t="n">
        <v>2025</v>
      </c>
      <c r="E72" s="45" t="n">
        <v>367</v>
      </c>
      <c r="F72" s="43" t="s">
        <v>243</v>
      </c>
      <c r="G72" s="43" t="s">
        <v>244</v>
      </c>
      <c r="H72" s="44" t="s">
        <v>245</v>
      </c>
      <c r="I72" s="43"/>
      <c r="J72" s="43" t="s">
        <v>88</v>
      </c>
      <c r="K72" s="43" t="s">
        <v>246</v>
      </c>
      <c r="L72" s="43" t="s">
        <v>247</v>
      </c>
      <c r="M72" s="43" t="s">
        <v>248</v>
      </c>
      <c r="N72" s="44" t="s">
        <v>265</v>
      </c>
    </row>
    <row r="73" customFormat="false" ht="53.7" hidden="false" customHeight="false" outlineLevel="0" collapsed="false">
      <c r="A73" s="43" t="s">
        <v>241</v>
      </c>
      <c r="B73" s="43" t="s">
        <v>264</v>
      </c>
      <c r="C73" s="44"/>
      <c r="D73" s="43" t="n">
        <v>2024</v>
      </c>
      <c r="E73" s="45" t="n">
        <v>283</v>
      </c>
      <c r="F73" s="43" t="s">
        <v>243</v>
      </c>
      <c r="G73" s="43" t="s">
        <v>244</v>
      </c>
      <c r="H73" s="44" t="s">
        <v>245</v>
      </c>
      <c r="I73" s="43"/>
      <c r="J73" s="43" t="s">
        <v>88</v>
      </c>
      <c r="K73" s="43" t="s">
        <v>246</v>
      </c>
      <c r="L73" s="43" t="s">
        <v>247</v>
      </c>
      <c r="M73" s="43" t="s">
        <v>248</v>
      </c>
      <c r="N73" s="44" t="s">
        <v>266</v>
      </c>
    </row>
    <row r="74" customFormat="false" ht="53.7" hidden="false" customHeight="false" outlineLevel="0" collapsed="false">
      <c r="A74" s="43" t="s">
        <v>241</v>
      </c>
      <c r="B74" s="43" t="s">
        <v>264</v>
      </c>
      <c r="C74" s="44"/>
      <c r="D74" s="43" t="n">
        <v>2023</v>
      </c>
      <c r="E74" s="45" t="n">
        <v>265</v>
      </c>
      <c r="F74" s="43" t="s">
        <v>243</v>
      </c>
      <c r="G74" s="43" t="s">
        <v>244</v>
      </c>
      <c r="H74" s="44" t="s">
        <v>245</v>
      </c>
      <c r="I74" s="43"/>
      <c r="J74" s="43" t="s">
        <v>88</v>
      </c>
      <c r="K74" s="43" t="s">
        <v>246</v>
      </c>
      <c r="L74" s="43" t="s">
        <v>247</v>
      </c>
      <c r="M74" s="43" t="s">
        <v>248</v>
      </c>
      <c r="N74" s="44" t="s">
        <v>267</v>
      </c>
    </row>
    <row r="75" customFormat="false" ht="53.7" hidden="false" customHeight="false" outlineLevel="0" collapsed="false">
      <c r="A75" s="43" t="s">
        <v>241</v>
      </c>
      <c r="B75" s="43" t="s">
        <v>268</v>
      </c>
      <c r="C75" s="44"/>
      <c r="D75" s="43" t="n">
        <v>2025</v>
      </c>
      <c r="E75" s="45" t="n">
        <v>200</v>
      </c>
      <c r="F75" s="43" t="s">
        <v>243</v>
      </c>
      <c r="G75" s="43" t="s">
        <v>244</v>
      </c>
      <c r="H75" s="44" t="s">
        <v>245</v>
      </c>
      <c r="I75" s="43"/>
      <c r="J75" s="43" t="s">
        <v>88</v>
      </c>
      <c r="K75" s="43" t="s">
        <v>246</v>
      </c>
      <c r="L75" s="43" t="s">
        <v>247</v>
      </c>
      <c r="M75" s="43" t="s">
        <v>248</v>
      </c>
      <c r="N75" s="44" t="s">
        <v>269</v>
      </c>
    </row>
    <row r="76" customFormat="false" ht="53.7" hidden="false" customHeight="false" outlineLevel="0" collapsed="false">
      <c r="A76" s="43" t="s">
        <v>241</v>
      </c>
      <c r="B76" s="43" t="s">
        <v>268</v>
      </c>
      <c r="C76" s="44"/>
      <c r="D76" s="43" t="n">
        <v>2024</v>
      </c>
      <c r="E76" s="45" t="n">
        <v>55</v>
      </c>
      <c r="F76" s="43" t="s">
        <v>243</v>
      </c>
      <c r="G76" s="43" t="s">
        <v>244</v>
      </c>
      <c r="H76" s="44" t="s">
        <v>245</v>
      </c>
      <c r="I76" s="43"/>
      <c r="J76" s="43" t="s">
        <v>88</v>
      </c>
      <c r="K76" s="43" t="s">
        <v>246</v>
      </c>
      <c r="L76" s="43" t="s">
        <v>247</v>
      </c>
      <c r="M76" s="43" t="s">
        <v>248</v>
      </c>
      <c r="N76" s="44" t="s">
        <v>270</v>
      </c>
    </row>
    <row r="77" customFormat="false" ht="53.7" hidden="false" customHeight="false" outlineLevel="0" collapsed="false">
      <c r="A77" s="43" t="s">
        <v>241</v>
      </c>
      <c r="B77" s="43" t="s">
        <v>268</v>
      </c>
      <c r="C77" s="44"/>
      <c r="D77" s="43" t="n">
        <v>2023</v>
      </c>
      <c r="E77" s="45" t="n">
        <v>70</v>
      </c>
      <c r="F77" s="43" t="s">
        <v>243</v>
      </c>
      <c r="G77" s="43" t="s">
        <v>244</v>
      </c>
      <c r="H77" s="44" t="s">
        <v>245</v>
      </c>
      <c r="I77" s="43"/>
      <c r="J77" s="43" t="s">
        <v>88</v>
      </c>
      <c r="K77" s="43" t="s">
        <v>246</v>
      </c>
      <c r="L77" s="43" t="s">
        <v>247</v>
      </c>
      <c r="M77" s="43" t="s">
        <v>248</v>
      </c>
      <c r="N77" s="44" t="s">
        <v>271</v>
      </c>
    </row>
    <row r="78" customFormat="false" ht="53.7" hidden="false" customHeight="false" outlineLevel="0" collapsed="false">
      <c r="A78" s="43" t="s">
        <v>241</v>
      </c>
      <c r="B78" s="43" t="s">
        <v>272</v>
      </c>
      <c r="C78" s="44"/>
      <c r="D78" s="43" t="n">
        <v>2025</v>
      </c>
      <c r="E78" s="45" t="n">
        <v>-487</v>
      </c>
      <c r="F78" s="43" t="s">
        <v>243</v>
      </c>
      <c r="G78" s="43" t="s">
        <v>244</v>
      </c>
      <c r="H78" s="44" t="s">
        <v>245</v>
      </c>
      <c r="I78" s="43"/>
      <c r="J78" s="43" t="s">
        <v>88</v>
      </c>
      <c r="K78" s="43" t="s">
        <v>246</v>
      </c>
      <c r="L78" s="43" t="s">
        <v>247</v>
      </c>
      <c r="M78" s="43" t="s">
        <v>248</v>
      </c>
      <c r="N78" s="44" t="s">
        <v>273</v>
      </c>
    </row>
    <row r="79" customFormat="false" ht="53.7" hidden="false" customHeight="false" outlineLevel="0" collapsed="false">
      <c r="A79" s="43" t="s">
        <v>241</v>
      </c>
      <c r="B79" s="43" t="s">
        <v>272</v>
      </c>
      <c r="C79" s="44"/>
      <c r="D79" s="43" t="n">
        <v>2024</v>
      </c>
      <c r="E79" s="45" t="n">
        <v>-317</v>
      </c>
      <c r="F79" s="43" t="s">
        <v>243</v>
      </c>
      <c r="G79" s="43" t="s">
        <v>244</v>
      </c>
      <c r="H79" s="44" t="s">
        <v>245</v>
      </c>
      <c r="I79" s="43"/>
      <c r="J79" s="43" t="s">
        <v>88</v>
      </c>
      <c r="K79" s="43" t="s">
        <v>246</v>
      </c>
      <c r="L79" s="43" t="s">
        <v>247</v>
      </c>
      <c r="M79" s="43" t="s">
        <v>248</v>
      </c>
      <c r="N79" s="44" t="s">
        <v>274</v>
      </c>
    </row>
    <row r="80" customFormat="false" ht="53.7" hidden="false" customHeight="false" outlineLevel="0" collapsed="false">
      <c r="A80" s="43" t="s">
        <v>241</v>
      </c>
      <c r="B80" s="43" t="s">
        <v>272</v>
      </c>
      <c r="C80" s="44"/>
      <c r="D80" s="43" t="n">
        <v>2023</v>
      </c>
      <c r="E80" s="45" t="n">
        <v>-295</v>
      </c>
      <c r="F80" s="43" t="s">
        <v>243</v>
      </c>
      <c r="G80" s="43" t="s">
        <v>244</v>
      </c>
      <c r="H80" s="44" t="s">
        <v>245</v>
      </c>
      <c r="I80" s="43"/>
      <c r="J80" s="43" t="s">
        <v>88</v>
      </c>
      <c r="K80" s="43" t="s">
        <v>246</v>
      </c>
      <c r="L80" s="43" t="s">
        <v>247</v>
      </c>
      <c r="M80" s="43" t="s">
        <v>248</v>
      </c>
      <c r="N80" s="44" t="s">
        <v>275</v>
      </c>
    </row>
    <row r="81" customFormat="false" ht="32.8" hidden="false" customHeight="false" outlineLevel="0" collapsed="false">
      <c r="A81" s="43" t="s">
        <v>84</v>
      </c>
      <c r="B81" s="43"/>
      <c r="C81" s="44" t="s">
        <v>85</v>
      </c>
      <c r="D81" s="43" t="n">
        <v>2025</v>
      </c>
      <c r="E81" s="46" t="n">
        <v>3.5</v>
      </c>
      <c r="F81" s="43" t="s">
        <v>86</v>
      </c>
      <c r="G81" s="43" t="s">
        <v>86</v>
      </c>
      <c r="H81" s="44" t="s">
        <v>276</v>
      </c>
      <c r="I81" s="43" t="s">
        <v>87</v>
      </c>
      <c r="J81" s="43" t="s">
        <v>88</v>
      </c>
      <c r="K81" s="43" t="s">
        <v>246</v>
      </c>
      <c r="L81" s="43" t="s">
        <v>247</v>
      </c>
      <c r="M81" s="43" t="s">
        <v>248</v>
      </c>
      <c r="N81" s="44" t="s">
        <v>89</v>
      </c>
    </row>
    <row r="82" customFormat="false" ht="32.8" hidden="false" customHeight="false" outlineLevel="0" collapsed="false">
      <c r="A82" s="43" t="s">
        <v>84</v>
      </c>
      <c r="B82" s="43"/>
      <c r="C82" s="44" t="s">
        <v>85</v>
      </c>
      <c r="D82" s="43" t="n">
        <v>2024</v>
      </c>
      <c r="E82" s="46" t="n">
        <v>3.6</v>
      </c>
      <c r="F82" s="43" t="s">
        <v>86</v>
      </c>
      <c r="G82" s="43" t="s">
        <v>86</v>
      </c>
      <c r="H82" s="44" t="s">
        <v>276</v>
      </c>
      <c r="I82" s="43" t="s">
        <v>87</v>
      </c>
      <c r="J82" s="43" t="s">
        <v>88</v>
      </c>
      <c r="K82" s="43" t="s">
        <v>246</v>
      </c>
      <c r="L82" s="43" t="s">
        <v>247</v>
      </c>
      <c r="M82" s="43" t="s">
        <v>248</v>
      </c>
      <c r="N82" s="44" t="s">
        <v>89</v>
      </c>
    </row>
    <row r="83" customFormat="false" ht="32.8" hidden="false" customHeight="false" outlineLevel="0" collapsed="false">
      <c r="A83" s="43" t="s">
        <v>90</v>
      </c>
      <c r="B83" s="43"/>
      <c r="C83" s="44" t="s">
        <v>91</v>
      </c>
      <c r="D83" s="43" t="n">
        <v>2025</v>
      </c>
      <c r="E83" s="46" t="n">
        <v>3.7</v>
      </c>
      <c r="F83" s="43" t="s">
        <v>86</v>
      </c>
      <c r="G83" s="43" t="s">
        <v>86</v>
      </c>
      <c r="H83" s="44" t="s">
        <v>276</v>
      </c>
      <c r="I83" s="43" t="s">
        <v>87</v>
      </c>
      <c r="J83" s="43" t="s">
        <v>88</v>
      </c>
      <c r="K83" s="43" t="s">
        <v>246</v>
      </c>
      <c r="L83" s="43" t="s">
        <v>247</v>
      </c>
      <c r="M83" s="43" t="s">
        <v>248</v>
      </c>
      <c r="N83" s="44" t="s">
        <v>92</v>
      </c>
    </row>
    <row r="84" customFormat="false" ht="32.8" hidden="false" customHeight="false" outlineLevel="0" collapsed="false">
      <c r="A84" s="43" t="s">
        <v>90</v>
      </c>
      <c r="B84" s="43"/>
      <c r="C84" s="44" t="s">
        <v>91</v>
      </c>
      <c r="D84" s="43" t="n">
        <v>2024</v>
      </c>
      <c r="E84" s="46" t="n">
        <v>3.8</v>
      </c>
      <c r="F84" s="43" t="s">
        <v>86</v>
      </c>
      <c r="G84" s="43" t="s">
        <v>86</v>
      </c>
      <c r="H84" s="44" t="s">
        <v>276</v>
      </c>
      <c r="I84" s="43" t="s">
        <v>87</v>
      </c>
      <c r="J84" s="43" t="s">
        <v>88</v>
      </c>
      <c r="K84" s="43" t="s">
        <v>246</v>
      </c>
      <c r="L84" s="43" t="s">
        <v>247</v>
      </c>
      <c r="M84" s="43" t="s">
        <v>248</v>
      </c>
      <c r="N84" s="44" t="s">
        <v>92</v>
      </c>
    </row>
    <row r="85" customFormat="false" ht="22.35" hidden="false" customHeight="false" outlineLevel="0" collapsed="false">
      <c r="A85" s="43" t="s">
        <v>93</v>
      </c>
      <c r="B85" s="43"/>
      <c r="C85" s="44" t="s">
        <v>94</v>
      </c>
      <c r="D85" s="43" t="n">
        <v>2026</v>
      </c>
      <c r="E85" s="45" t="n">
        <v>2121</v>
      </c>
      <c r="F85" s="43" t="s">
        <v>243</v>
      </c>
      <c r="G85" s="43" t="s">
        <v>244</v>
      </c>
      <c r="H85" s="44" t="s">
        <v>276</v>
      </c>
      <c r="I85" s="43"/>
      <c r="J85" s="43" t="s">
        <v>88</v>
      </c>
      <c r="K85" s="43" t="s">
        <v>246</v>
      </c>
      <c r="L85" s="43" t="s">
        <v>247</v>
      </c>
      <c r="M85" s="43" t="s">
        <v>248</v>
      </c>
      <c r="N85" s="44" t="s">
        <v>96</v>
      </c>
    </row>
    <row r="86" customFormat="false" ht="15" hidden="false" customHeight="false" outlineLevel="0" collapsed="false">
      <c r="A86" s="43" t="s">
        <v>97</v>
      </c>
      <c r="B86" s="43"/>
      <c r="C86" s="44" t="s">
        <v>94</v>
      </c>
      <c r="D86" s="43" t="n">
        <v>2025</v>
      </c>
      <c r="E86" s="45" t="n">
        <v>2332</v>
      </c>
      <c r="F86" s="43" t="s">
        <v>243</v>
      </c>
      <c r="G86" s="43" t="s">
        <v>244</v>
      </c>
      <c r="H86" s="44" t="s">
        <v>276</v>
      </c>
      <c r="I86" s="43"/>
      <c r="J86" s="43" t="s">
        <v>88</v>
      </c>
      <c r="K86" s="43" t="s">
        <v>246</v>
      </c>
      <c r="L86" s="43" t="s">
        <v>247</v>
      </c>
      <c r="M86" s="43" t="s">
        <v>248</v>
      </c>
      <c r="N86" s="44" t="s">
        <v>98</v>
      </c>
    </row>
    <row r="87" customFormat="false" ht="22.35" hidden="false" customHeight="false" outlineLevel="0" collapsed="false">
      <c r="A87" s="43" t="s">
        <v>93</v>
      </c>
      <c r="B87" s="43"/>
      <c r="C87" s="44" t="s">
        <v>94</v>
      </c>
      <c r="D87" s="43" t="n">
        <v>2025</v>
      </c>
      <c r="E87" s="45" t="n">
        <v>2732</v>
      </c>
      <c r="F87" s="43" t="s">
        <v>243</v>
      </c>
      <c r="G87" s="43" t="s">
        <v>244</v>
      </c>
      <c r="H87" s="44" t="s">
        <v>276</v>
      </c>
      <c r="I87" s="43"/>
      <c r="J87" s="43" t="s">
        <v>88</v>
      </c>
      <c r="K87" s="43" t="s">
        <v>246</v>
      </c>
      <c r="L87" s="43" t="s">
        <v>247</v>
      </c>
      <c r="M87" s="43" t="s">
        <v>248</v>
      </c>
      <c r="N87" s="44" t="s">
        <v>99</v>
      </c>
    </row>
    <row r="88" customFormat="false" ht="15" hidden="false" customHeight="false" outlineLevel="0" collapsed="false">
      <c r="A88" s="43" t="s">
        <v>97</v>
      </c>
      <c r="B88" s="43"/>
      <c r="C88" s="44" t="s">
        <v>94</v>
      </c>
      <c r="D88" s="43" t="n">
        <v>2024</v>
      </c>
      <c r="E88" s="45" t="n">
        <v>3476</v>
      </c>
      <c r="F88" s="43" t="s">
        <v>243</v>
      </c>
      <c r="G88" s="43" t="s">
        <v>244</v>
      </c>
      <c r="H88" s="44" t="s">
        <v>276</v>
      </c>
      <c r="I88" s="43"/>
      <c r="J88" s="43" t="s">
        <v>88</v>
      </c>
      <c r="K88" s="43" t="s">
        <v>246</v>
      </c>
      <c r="L88" s="43" t="s">
        <v>247</v>
      </c>
      <c r="M88" s="43" t="s">
        <v>248</v>
      </c>
      <c r="N88" s="44" t="s">
        <v>100</v>
      </c>
    </row>
    <row r="89" customFormat="false" ht="22.35" hidden="false" customHeight="false" outlineLevel="0" collapsed="false">
      <c r="A89" s="43" t="s">
        <v>93</v>
      </c>
      <c r="B89" s="43"/>
      <c r="C89" s="44" t="s">
        <v>94</v>
      </c>
      <c r="D89" s="43" t="n">
        <v>2024</v>
      </c>
      <c r="E89" s="45" t="n">
        <v>3476</v>
      </c>
      <c r="F89" s="43" t="s">
        <v>243</v>
      </c>
      <c r="G89" s="43" t="s">
        <v>244</v>
      </c>
      <c r="H89" s="44" t="s">
        <v>276</v>
      </c>
      <c r="I89" s="43"/>
      <c r="J89" s="43" t="s">
        <v>88</v>
      </c>
      <c r="K89" s="43" t="s">
        <v>246</v>
      </c>
      <c r="L89" s="43" t="s">
        <v>247</v>
      </c>
      <c r="M89" s="43" t="s">
        <v>248</v>
      </c>
      <c r="N89" s="44" t="s">
        <v>101</v>
      </c>
    </row>
    <row r="90" customFormat="false" ht="15" hidden="false" customHeight="false" outlineLevel="0" collapsed="false">
      <c r="A90" s="43" t="s">
        <v>93</v>
      </c>
      <c r="B90" s="43"/>
      <c r="C90" s="44" t="s">
        <v>102</v>
      </c>
      <c r="D90" s="43" t="n">
        <v>2026</v>
      </c>
      <c r="E90" s="45" t="n">
        <v>2219</v>
      </c>
      <c r="F90" s="43" t="s">
        <v>243</v>
      </c>
      <c r="G90" s="43" t="s">
        <v>244</v>
      </c>
      <c r="H90" s="44" t="s">
        <v>276</v>
      </c>
      <c r="I90" s="43"/>
      <c r="J90" s="43" t="s">
        <v>88</v>
      </c>
      <c r="K90" s="43" t="s">
        <v>246</v>
      </c>
      <c r="L90" s="43" t="s">
        <v>247</v>
      </c>
      <c r="M90" s="43" t="s">
        <v>248</v>
      </c>
      <c r="N90" s="44" t="s">
        <v>103</v>
      </c>
    </row>
    <row r="91" customFormat="false" ht="15" hidden="false" customHeight="false" outlineLevel="0" collapsed="false">
      <c r="A91" s="43" t="s">
        <v>97</v>
      </c>
      <c r="B91" s="43"/>
      <c r="C91" s="44" t="s">
        <v>102</v>
      </c>
      <c r="D91" s="43" t="n">
        <v>2025</v>
      </c>
      <c r="E91" s="45" t="n">
        <v>400</v>
      </c>
      <c r="F91" s="43" t="s">
        <v>243</v>
      </c>
      <c r="G91" s="43" t="s">
        <v>244</v>
      </c>
      <c r="H91" s="44" t="s">
        <v>276</v>
      </c>
      <c r="I91" s="43"/>
      <c r="J91" s="43" t="s">
        <v>88</v>
      </c>
      <c r="K91" s="43" t="s">
        <v>246</v>
      </c>
      <c r="L91" s="43" t="s">
        <v>247</v>
      </c>
      <c r="M91" s="43" t="s">
        <v>248</v>
      </c>
      <c r="N91" s="44" t="s">
        <v>104</v>
      </c>
    </row>
    <row r="92" customFormat="false" ht="15" hidden="false" customHeight="false" outlineLevel="0" collapsed="false">
      <c r="A92" s="43" t="s">
        <v>93</v>
      </c>
      <c r="B92" s="43"/>
      <c r="C92" s="44" t="s">
        <v>102</v>
      </c>
      <c r="D92" s="43" t="n">
        <v>2025</v>
      </c>
      <c r="E92" s="45" t="n">
        <v>751</v>
      </c>
      <c r="F92" s="43" t="s">
        <v>243</v>
      </c>
      <c r="G92" s="43" t="s">
        <v>244</v>
      </c>
      <c r="H92" s="44" t="s">
        <v>276</v>
      </c>
      <c r="I92" s="43"/>
      <c r="J92" s="43" t="s">
        <v>88</v>
      </c>
      <c r="K92" s="43" t="s">
        <v>246</v>
      </c>
      <c r="L92" s="43" t="s">
        <v>247</v>
      </c>
      <c r="M92" s="43" t="s">
        <v>248</v>
      </c>
      <c r="N92" s="44" t="s">
        <v>105</v>
      </c>
    </row>
    <row r="93" customFormat="false" ht="15" hidden="false" customHeight="false" outlineLevel="0" collapsed="false">
      <c r="A93" s="43" t="s">
        <v>97</v>
      </c>
      <c r="B93" s="43"/>
      <c r="C93" s="44" t="s">
        <v>102</v>
      </c>
      <c r="D93" s="43" t="n">
        <v>2024</v>
      </c>
      <c r="E93" s="45" t="n">
        <v>1485</v>
      </c>
      <c r="F93" s="43" t="s">
        <v>243</v>
      </c>
      <c r="G93" s="43" t="s">
        <v>244</v>
      </c>
      <c r="H93" s="44" t="s">
        <v>276</v>
      </c>
      <c r="I93" s="43"/>
      <c r="J93" s="43" t="s">
        <v>88</v>
      </c>
      <c r="K93" s="43" t="s">
        <v>246</v>
      </c>
      <c r="L93" s="43" t="s">
        <v>247</v>
      </c>
      <c r="M93" s="43" t="s">
        <v>248</v>
      </c>
      <c r="N93" s="44" t="s">
        <v>106</v>
      </c>
    </row>
    <row r="94" customFormat="false" ht="15" hidden="false" customHeight="false" outlineLevel="0" collapsed="false">
      <c r="A94" s="43" t="s">
        <v>93</v>
      </c>
      <c r="B94" s="43"/>
      <c r="C94" s="44" t="s">
        <v>102</v>
      </c>
      <c r="D94" s="43" t="n">
        <v>2024</v>
      </c>
      <c r="E94" s="45" t="n">
        <v>945</v>
      </c>
      <c r="F94" s="43" t="s">
        <v>243</v>
      </c>
      <c r="G94" s="43" t="s">
        <v>244</v>
      </c>
      <c r="H94" s="44" t="s">
        <v>276</v>
      </c>
      <c r="I94" s="43"/>
      <c r="J94" s="43" t="s">
        <v>88</v>
      </c>
      <c r="K94" s="43" t="s">
        <v>246</v>
      </c>
      <c r="L94" s="43" t="s">
        <v>247</v>
      </c>
      <c r="M94" s="43" t="s">
        <v>248</v>
      </c>
      <c r="N94" s="44" t="s">
        <v>107</v>
      </c>
    </row>
    <row r="95" customFormat="false" ht="15" hidden="false" customHeight="false" outlineLevel="0" collapsed="false">
      <c r="A95" s="43" t="s">
        <v>93</v>
      </c>
      <c r="B95" s="43"/>
      <c r="C95" s="44" t="s">
        <v>108</v>
      </c>
      <c r="D95" s="43" t="n">
        <v>2026</v>
      </c>
      <c r="E95" s="45" t="n">
        <v>547</v>
      </c>
      <c r="F95" s="43" t="s">
        <v>243</v>
      </c>
      <c r="G95" s="43" t="s">
        <v>244</v>
      </c>
      <c r="H95" s="44" t="s">
        <v>276</v>
      </c>
      <c r="I95" s="43"/>
      <c r="J95" s="43" t="s">
        <v>88</v>
      </c>
      <c r="K95" s="43" t="s">
        <v>246</v>
      </c>
      <c r="L95" s="43" t="s">
        <v>247</v>
      </c>
      <c r="M95" s="43" t="s">
        <v>248</v>
      </c>
      <c r="N95" s="44" t="s">
        <v>109</v>
      </c>
    </row>
    <row r="96" customFormat="false" ht="15" hidden="false" customHeight="false" outlineLevel="0" collapsed="false">
      <c r="A96" s="43" t="s">
        <v>97</v>
      </c>
      <c r="B96" s="43"/>
      <c r="C96" s="44" t="s">
        <v>108</v>
      </c>
      <c r="D96" s="43" t="n">
        <v>2025</v>
      </c>
      <c r="E96" s="45" t="n">
        <v>760</v>
      </c>
      <c r="F96" s="43" t="s">
        <v>243</v>
      </c>
      <c r="G96" s="43" t="s">
        <v>244</v>
      </c>
      <c r="H96" s="44" t="s">
        <v>276</v>
      </c>
      <c r="I96" s="43"/>
      <c r="J96" s="43" t="s">
        <v>88</v>
      </c>
      <c r="K96" s="43" t="s">
        <v>246</v>
      </c>
      <c r="L96" s="43" t="s">
        <v>247</v>
      </c>
      <c r="M96" s="43" t="s">
        <v>248</v>
      </c>
      <c r="N96" s="44" t="s">
        <v>110</v>
      </c>
    </row>
    <row r="97" customFormat="false" ht="15" hidden="false" customHeight="false" outlineLevel="0" collapsed="false">
      <c r="A97" s="43" t="s">
        <v>93</v>
      </c>
      <c r="B97" s="43"/>
      <c r="C97" s="44" t="s">
        <v>108</v>
      </c>
      <c r="D97" s="43" t="n">
        <v>2025</v>
      </c>
      <c r="E97" s="45" t="n">
        <v>358</v>
      </c>
      <c r="F97" s="43" t="s">
        <v>243</v>
      </c>
      <c r="G97" s="43" t="s">
        <v>244</v>
      </c>
      <c r="H97" s="44" t="s">
        <v>276</v>
      </c>
      <c r="I97" s="43"/>
      <c r="J97" s="43" t="s">
        <v>88</v>
      </c>
      <c r="K97" s="43" t="s">
        <v>246</v>
      </c>
      <c r="L97" s="43" t="s">
        <v>247</v>
      </c>
      <c r="M97" s="43" t="s">
        <v>248</v>
      </c>
      <c r="N97" s="44" t="s">
        <v>111</v>
      </c>
    </row>
    <row r="98" customFormat="false" ht="15" hidden="false" customHeight="false" outlineLevel="0" collapsed="false">
      <c r="A98" s="43" t="s">
        <v>97</v>
      </c>
      <c r="B98" s="43"/>
      <c r="C98" s="44" t="s">
        <v>108</v>
      </c>
      <c r="D98" s="43" t="n">
        <v>2024</v>
      </c>
      <c r="E98" s="45" t="n">
        <v>373</v>
      </c>
      <c r="F98" s="43" t="s">
        <v>243</v>
      </c>
      <c r="G98" s="43" t="s">
        <v>244</v>
      </c>
      <c r="H98" s="44" t="s">
        <v>276</v>
      </c>
      <c r="I98" s="43"/>
      <c r="J98" s="43" t="s">
        <v>88</v>
      </c>
      <c r="K98" s="43" t="s">
        <v>246</v>
      </c>
      <c r="L98" s="43" t="s">
        <v>247</v>
      </c>
      <c r="M98" s="43" t="s">
        <v>248</v>
      </c>
      <c r="N98" s="44" t="s">
        <v>112</v>
      </c>
    </row>
    <row r="99" customFormat="false" ht="15" hidden="false" customHeight="false" outlineLevel="0" collapsed="false">
      <c r="A99" s="43" t="s">
        <v>93</v>
      </c>
      <c r="B99" s="43"/>
      <c r="C99" s="44" t="s">
        <v>108</v>
      </c>
      <c r="D99" s="43" t="n">
        <v>2024</v>
      </c>
      <c r="E99" s="45" t="n">
        <v>373</v>
      </c>
      <c r="F99" s="43" t="s">
        <v>243</v>
      </c>
      <c r="G99" s="43" t="s">
        <v>244</v>
      </c>
      <c r="H99" s="44" t="s">
        <v>276</v>
      </c>
      <c r="I99" s="43"/>
      <c r="J99" s="43" t="s">
        <v>88</v>
      </c>
      <c r="K99" s="43" t="s">
        <v>246</v>
      </c>
      <c r="L99" s="43" t="s">
        <v>247</v>
      </c>
      <c r="M99" s="43" t="s">
        <v>248</v>
      </c>
      <c r="N99" s="44" t="s">
        <v>113</v>
      </c>
    </row>
  </sheetData>
  <autoFilter ref="A4:I55"/>
  <mergeCells count="3">
    <mergeCell ref="A1:I1"/>
    <mergeCell ref="A2:I2"/>
    <mergeCell ref="A58:N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2026-10-03T22:05:49Z</dcterms:created>
  <dc:creator>openpyxl</dc:creator>
  <dc:description/>
  <dc:language>en-AE</dc:language>
  <cp:lastModifiedBy/>
  <dcterms:modified xsi:type="dcterms:W3CDTF">2026-10-03T22:05:49Z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