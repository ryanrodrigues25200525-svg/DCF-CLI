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rtgage REIT Model" sheetId="1" state="visible" r:id="rId3"/>
    <sheet name="Data Review" sheetId="2" state="visible" r:id="rId4"/>
  </sheets>
  <definedNames>
    <definedName function="false" hidden="true" localSheetId="1" name="_xlnm._FilterDatabase" vbProcedure="false">'Data Review'!$A$1:$O$184</definedName>
    <definedName function="false" hidden="false" localSheetId="0" name="_xlnm.Print_Area" vbProcedure="false">'Mortgage REIT Model'!$A$1:$O$83</definedName>
    <definedName function="false" hidden="false" localSheetId="0" name="_xlnm.Print_Titles" vbProcedure="false">'Mortgage REIT Model'!$1:$4</definedName>
    <definedName function="false" hidden="true" localSheetId="0" name="_xlnm._FilterDatabase" vbProcedure="false">'Mortgage REIT Model'!$A$4:$J$34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<sst xmlns="http://schemas.openxmlformats.org/spreadsheetml/2006/main" count="2107" uniqueCount="324">
  <si>
    <t xml:space="preserve">AGNC Investment Corp. (AGNC) — Agency Mortgage REIT Residual-Income Model</t>
  </si>
  <si>
    <t xml:space="preserve">USD actuals display in millions; per-share data display in USD. Filed data are black, formula cells are green, and editable assumptions or current market inputs are blue.</t>
  </si>
  <si>
    <t xml:space="preserve">Historical GAAP and economic funding schedules; formula-driven residual-income forecast</t>
  </si>
  <si>
    <t xml:space="preserve">Historical schedule</t>
  </si>
  <si>
    <t xml:space="preserve">FY2022A</t>
  </si>
  <si>
    <t xml:space="preserve">FY2023A</t>
  </si>
  <si>
    <t xml:space="preserve">FY2024A</t>
  </si>
  <si>
    <t xml:space="preserve">FY2025A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</si>
  <si>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</si>
  <si>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</si>
  <si>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</si>
  <si>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</si>
  <si>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</si>
  <si>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Editable forecast assumptions and current market inputs</t>
  </si>
  <si>
    <t xml:space="preserve">GAAP interest income</t>
  </si>
  <si>
    <t xml:space="preserve">Blue font = editable analyst input or current market data</t>
  </si>
  <si>
    <t xml:space="preserve">GAAP interest expense</t>
  </si>
  <si>
    <t xml:space="preserve">Asset yield</t>
  </si>
  <si>
    <t xml:space="preserve">FY2025 filed weighted-average investment/TBA asset yield. FY2025 filed_10k_mortgage_reit_table_value_normalized; MortgageReitAverageAssetYield (accession 0001423689-26-000043, filed 2026-02-23, FY 2025)</t>
  </si>
  <si>
    <t xml:space="preserve">GAAP net interest income</t>
  </si>
  <si>
    <t xml:space="preserve">Annual asset yield change</t>
  </si>
  <si>
    <t xml:space="preserve">Analyst input: 0.0 percentage-point annual change in asset yield; edit for the forward interest-rate and reinvestment case.</t>
  </si>
  <si>
    <t xml:space="preserve">Economic interest income (non-GAAP)</t>
  </si>
  <si>
    <t xml:space="preserve">Aggregate cost of funds</t>
  </si>
  <si>
    <t xml:space="preserve">Economic interest expense (non-GAAP)</t>
  </si>
  <si>
    <t xml:space="preserve">Annual pre-hedge funding cost change</t>
  </si>
  <si>
    <t xml:space="preserve">Analyst input: 0.0 percentage-point annual change in pre-hedge repo/TBA funding cost; swap coverage and net pay rate are modeled separately.</t>
  </si>
  <si>
    <t xml:space="preserve">Economic net interest income (derived check)</t>
  </si>
  <si>
    <t xml:space="preserve">Average investment assets / common equity</t>
  </si>
  <si>
    <t xml:space="preserve">Median FY2024–FY2025 average investment securities plus net TBA balance divided by average tangible common equity; FY2022 opening common shares are not filed, so leverage calibration uses years with filed endpoint shares. See Data Review.</t>
  </si>
  <si>
    <t xml:space="preserve">Filed average asset yield</t>
  </si>
  <si>
    <t xml:space="preserve">Average mortgage borrowings / common equity</t>
  </si>
  <si>
    <t xml:space="preserve">Median FY2024–FY2025 average mortgage borrowings divided by average tangible common equity; FY2022 opening common shares are not filed, so leverage calibration uses years with filed endpoint shares. See Data Review.</t>
  </si>
  <si>
    <t xml:space="preserve">Filed average aggregate cost of funds</t>
  </si>
  <si>
    <t xml:space="preserve">Other income / average investment assets</t>
  </si>
  <si>
    <t xml:space="preserve">Analyst input: 0.0% of average assets in other gains/losses; GAAP fair-value marks remain separate and are not extrapolated.</t>
  </si>
  <si>
    <t xml:space="preserve">Filed average net interest spread</t>
  </si>
  <si>
    <t xml:space="preserve">Operating expenses / average total assets</t>
  </si>
  <si>
    <t xml:space="preserve">Median FY2023–FY2025 filed operating expenses as a percent of average total assets. See Data Review.</t>
  </si>
  <si>
    <t xml:space="preserve">Asset yield less cost of funds less reported spread check</t>
  </si>
  <si>
    <t xml:space="preserve">Preferred dividend yield</t>
  </si>
  <si>
    <t xml:space="preserve">Median FY2023–FY2025 preferred cash dividends divided by preferred liquidation preference. FY2023 uses its filed year-end balance because FY2022 preferred liquidation preference is unavailable; later years use beginning/ending averages. See Data Review.</t>
  </si>
  <si>
    <t xml:space="preserve">Average investment securities at cost</t>
  </si>
  <si>
    <t xml:space="preserve">Common earnings payout ratio</t>
  </si>
  <si>
    <t xml:space="preserve">FY2025 filed dividends per common share divided by filed net income available to common per diluted share; editable because taxable income and GAAP earnings differ.</t>
  </si>
  <si>
    <t xml:space="preserve">Average net TBA dollar roll position at cost</t>
  </si>
  <si>
    <t xml:space="preserve">Annual dividend growth cap</t>
  </si>
  <si>
    <t xml:space="preserve">Analyst input: 0.0% dividend growth from the latest filed annual common dividend; edit for a dividend policy case.</t>
  </si>
  <si>
    <t xml:space="preserve">Average mortgage borrowings, including TBA</t>
  </si>
  <si>
    <t xml:space="preserve">Tangible book market-value change / share</t>
  </si>
  <si>
    <t xml:space="preserve">Analyst input: 0.0 tangible book-value mark-to-market change per common share in the base case; rate and spread stress cases are editable.</t>
  </si>
  <si>
    <t xml:space="preserve">Average stockholders’ equity</t>
  </si>
  <si>
    <t xml:space="preserve">Entity-level cash tax rate</t>
  </si>
  <si>
    <t xml:space="preserve">Analyst input: 0.0% entity-level corporate tax in the base case under REIT treatment; verify taxable subsidiaries and excise tax separately.</t>
  </si>
  <si>
    <t xml:space="preserve">Average tangible net book value at-risk leverage</t>
  </si>
  <si>
    <t xml:space="preserve">Cost of equity — CAPM</t>
  </si>
  <si>
    <t xml:space="preserve">CAPM cost of equity uses risk-free rate 0.0528 from live, beta 1.303 from openbb_yfinance, and ERP 0.0838 from live, dated 2026-10-03.</t>
  </si>
  <si>
    <t xml:space="preserve">Average interest rate swap notional</t>
  </si>
  <si>
    <t xml:space="preserve">Terminal residual-income growth</t>
  </si>
  <si>
    <t xml:space="preserve">Analyst input: 2.5% perpetual residual-income growth, editable and required to remain below cost of equity.</t>
  </si>
  <si>
    <t xml:space="preserve">Average swap ratio to mortgage borrowings</t>
  </si>
  <si>
    <t xml:space="preserve">Period-end common shares (millions)</t>
  </si>
  <si>
    <t xml:space="preserve">FY2025 period-end shares from FY2025 filed_10k_mortgage_reit_table_value_normalized; MortgageReitPeriodEndCommonShares (accession 0001423689-26-000043, filed 2026-02-23, FY 2025).</t>
  </si>
  <si>
    <t xml:space="preserve">Average swap net pay / (receive) rate</t>
  </si>
  <si>
    <t xml:space="preserve">Latest tangible book value / common share</t>
  </si>
  <si>
    <t xml:space="preserve">Linked to FY2025 filed tangible net book value per common share.</t>
  </si>
  <si>
    <t xml:space="preserve">Operating expenses</t>
  </si>
  <si>
    <t xml:space="preserve">Preferred liquidation preference (USD mm)</t>
  </si>
  <si>
    <t xml:space="preserve">FY2025 preferred-stock liquidation preference from FY2025 filed_10k_mortgage_reit_table_value_normalized; MortgageReitPreferredEquityLiquidationPreference (accession 0001423689-26-000043, filed 2026-02-23, FY 2025).</t>
  </si>
  <si>
    <t xml:space="preserve">Preferred dividends</t>
  </si>
  <si>
    <t xml:space="preserve">Current common share price</t>
  </si>
  <si>
    <t xml:space="preserve">Current market price 8.79 from openbb_yfinance; snapshot timestamp 2026-10-03T22:41:05.443Z; valuation context dated 2026-10-03.</t>
  </si>
  <si>
    <t xml:space="preserve">Net income available to common</t>
  </si>
  <si>
    <t xml:space="preserve">Average swap ratio / mortgage borrowings</t>
  </si>
  <si>
    <t xml:space="preserve">Common dividends per share</t>
  </si>
  <si>
    <t xml:space="preserve">Annual swap ratio change</t>
  </si>
  <si>
    <t xml:space="preserve">Analyst input: 0.0 annual change in swap notional / mortgage borrowing ratio; edit to sensitize hedge coverage.</t>
  </si>
  <si>
    <t xml:space="preserve">Net book value per common share</t>
  </si>
  <si>
    <t xml:space="preserve">Risk-free rate</t>
  </si>
  <si>
    <t xml:space="preserve">Tangible net book value per common share</t>
  </si>
  <si>
    <t xml:space="preserve">Equity risk premium</t>
  </si>
  <si>
    <t xml:space="preserve">Preferred stock liquidation preference</t>
  </si>
  <si>
    <t xml:space="preserve">Levered beta</t>
  </si>
  <si>
    <t xml:space="preserve">Period-end common shares</t>
  </si>
  <si>
    <t xml:space="preserve">Latest common dividend / share</t>
  </si>
  <si>
    <t xml:space="preserve">Linked to FY2025 filed common dividend per share.</t>
  </si>
  <si>
    <t xml:space="preserve">Total assets</t>
  </si>
  <si>
    <t xml:space="preserve">Market and ERP as-of date</t>
  </si>
  <si>
    <t xml:space="preserve">2026-10-03</t>
  </si>
  <si>
    <t xml:space="preserve">Current market price, beta, risk-free rate, and ERP were captured within 24 hours.</t>
  </si>
  <si>
    <t xml:space="preserve">Repo and other debt</t>
  </si>
  <si>
    <t xml:space="preserve">Total stockholders’ equity</t>
  </si>
  <si>
    <t xml:space="preserve">Annual swap net pay-rate change</t>
  </si>
  <si>
    <t xml:space="preserve">Analyst input: 0.0 percentage-point annual change in swap net pay/(receive) rate; edit to sensitize hedge economics.</t>
  </si>
  <si>
    <t xml:space="preserve">Total liabilities</t>
  </si>
  <si>
    <t xml:space="preserve">Implied funding cost before swap adjustment</t>
  </si>
  <si>
    <t xml:space="preserve">Derived from filed aggregate cost of funds less the filed average swap ratio × average net pay/(receive) rate; it is the forecast base before editable annual funding and hedge changes.</t>
  </si>
  <si>
    <t xml:space="preserve">Reported net book value bridge check</t>
  </si>
  <si>
    <t xml:space="preserve">Assets less liabilities and stockholders’ equity check (USD mm)</t>
  </si>
  <si>
    <t xml:space="preserve">Forecast schedule</t>
  </si>
  <si>
    <t xml:space="preserve">Beginning tangible book value / common share</t>
  </si>
  <si>
    <t xml:space="preserve">Beginning tangible common equity capital base (USD mm)</t>
  </si>
  <si>
    <t xml:space="preserve">Average investment assets (USD mm)</t>
  </si>
  <si>
    <t xml:space="preserve">Average mortgage borrowings (USD mm)</t>
  </si>
  <si>
    <t xml:space="preserve">Economic interest income (USD mm)</t>
  </si>
  <si>
    <t xml:space="preserve">Swap hedge cost / (benefit) as % of borrowings</t>
  </si>
  <si>
    <t xml:space="preserve">Funding cost before swap adjustment</t>
  </si>
  <si>
    <t xml:space="preserve">Effective aggregate cost of funds after hedge</t>
  </si>
  <si>
    <t xml:space="preserve">Economic interest expense (USD mm)</t>
  </si>
  <si>
    <t xml:space="preserve">Economic net interest income (USD mm)</t>
  </si>
  <si>
    <t xml:space="preserve">Other income / (loss) (USD mm)</t>
  </si>
  <si>
    <t xml:space="preserve">Operating expenses (USD mm)</t>
  </si>
  <si>
    <t xml:space="preserve">Preferred dividends (USD mm)</t>
  </si>
  <si>
    <t xml:space="preserve">Pre-tax income available to common (USD mm)</t>
  </si>
  <si>
    <t xml:space="preserve">Taxes (USD mm)</t>
  </si>
  <si>
    <t xml:space="preserve">Net income available to common (USD mm)</t>
  </si>
  <si>
    <t xml:space="preserve">Earnings per common share</t>
  </si>
  <si>
    <t xml:space="preserve">Common payout ratio</t>
  </si>
  <si>
    <t xml:space="preserve">Common dividend per share</t>
  </si>
  <si>
    <t xml:space="preserve">Tangible book value market change / share</t>
  </si>
  <si>
    <t xml:space="preserve">Ending tangible book value / common share</t>
  </si>
  <si>
    <t xml:space="preserve">Residual income / common share</t>
  </si>
  <si>
    <t xml:space="preserve">Discount factor</t>
  </si>
  <si>
    <t xml:space="preserve">Present value of residual income / common share</t>
  </si>
  <si>
    <t xml:space="preserve">Economic net interest income formula check (USD mm)</t>
  </si>
  <si>
    <t xml:space="preserve">Tangible book roll-forward check / share</t>
  </si>
  <si>
    <t xml:space="preserve">Common equity residual-income valuation</t>
  </si>
  <si>
    <t xml:space="preserve">Terminal residual income / share</t>
  </si>
  <si>
    <t xml:space="preserve">Valuation basis</t>
  </si>
  <si>
    <t xml:space="preserve">Common equity / tangible book</t>
  </si>
  <si>
    <t xml:space="preserve">Present value of terminal residual income / share</t>
  </si>
  <si>
    <t xml:space="preserve">Enterprise value</t>
  </si>
  <si>
    <t xml:space="preserve">Not applicable</t>
  </si>
  <si>
    <t xml:space="preserve">Implied value / common share</t>
  </si>
  <si>
    <t xml:space="preserve">Implied common equity value (USD mm)</t>
  </si>
  <si>
    <t xml:space="preserve">Upside / (downside)</t>
  </si>
  <si>
    <t xml:space="preserve">Implied value / share sensitivity — cost of equity vs. terminal growth</t>
  </si>
  <si>
    <t xml:space="preserve">Fiscal year</t>
  </si>
  <si>
    <t xml:space="preserve">Canonical field</t>
  </si>
  <si>
    <t xml:space="preserve">Canonical value</t>
  </si>
  <si>
    <t xml:space="preserve">Reported value</t>
  </si>
  <si>
    <t xml:space="preserve">Unit</t>
  </si>
  <si>
    <t xml:space="preserve">Scale</t>
  </si>
  <si>
    <t xml:space="preserve">Source type</t>
  </si>
  <si>
    <t xml:space="preserve">Normalization / method</t>
  </si>
  <si>
    <t xml:space="preserve">SEC concept</t>
  </si>
  <si>
    <t xml:space="preserve">Filed label</t>
  </si>
  <si>
    <t xml:space="preserve">Source statement</t>
  </si>
  <si>
    <t xml:space="preserve">Fiscal period</t>
  </si>
  <si>
    <t xml:space="preserve">Accession</t>
  </si>
  <si>
    <t xml:space="preserve">Filed date</t>
  </si>
  <si>
    <t xml:space="preserve">Report date</t>
  </si>
  <si>
    <t xml:space="preserve">investment_securities_fair_value</t>
  </si>
  <si>
    <t xml:space="preserve">USD</t>
  </si>
  <si>
    <t xml:space="preserve">millions</t>
  </si>
  <si>
    <t xml:space="preserve">sec_native</t>
  </si>
  <si>
    <t xml:space="preserve">filed_10k_mortgage_reit_table_value_normalized</t>
  </si>
  <si>
    <t xml:space="preserve">MortgageReitInvestmentSecuritiesFairValue</t>
  </si>
  <si>
    <t xml:space="preserve">Investment securities and other mortgage credit investments at fair value</t>
  </si>
  <si>
    <t xml:space="preserve">SEC 10-K selected financial data, balance sheet table</t>
  </si>
  <si>
    <t xml:space="preserve">FY 2022</t>
  </si>
  <si>
    <t xml:space="preserve">0001423689-25-000007</t>
  </si>
  <si>
    <t xml:space="preserve">2025-02-21</t>
  </si>
  <si>
    <t xml:space="preserve">2022-12-31</t>
  </si>
  <si>
    <t xml:space="preserve">total_assets</t>
  </si>
  <si>
    <t xml:space="preserve">MortgageReitTotalAssets</t>
  </si>
  <si>
    <t xml:space="preserve">repo_and_other_debt</t>
  </si>
  <si>
    <t xml:space="preserve">MortgageReitRepoAndOtherDebt</t>
  </si>
  <si>
    <t xml:space="preserve">Repurchase agreements and other debt</t>
  </si>
  <si>
    <t xml:space="preserve">total_liabilities</t>
  </si>
  <si>
    <t xml:space="preserve">MortgageReitTotalLiabilities</t>
  </si>
  <si>
    <t xml:space="preserve">total_stockholders_equity</t>
  </si>
  <si>
    <t xml:space="preserve">MortgageReitTotalStockholdersEquity</t>
  </si>
  <si>
    <t xml:space="preserve">Total stockholders' equity</t>
  </si>
  <si>
    <t xml:space="preserve">net_book_value_per_common_share</t>
  </si>
  <si>
    <t xml:space="preserve">USD per share</t>
  </si>
  <si>
    <t xml:space="preserve">actual</t>
  </si>
  <si>
    <t xml:space="preserve">MortgageReitNetBookValuePerCommonShare</t>
  </si>
  <si>
    <t xml:space="preserve">tangible_book_value_per_common_share</t>
  </si>
  <si>
    <t xml:space="preserve">MortgageReitTangibleBookValuePerCommonShare</t>
  </si>
  <si>
    <t xml:space="preserve">period_end_common_shares</t>
  </si>
  <si>
    <t xml:space="preserve">missing</t>
  </si>
  <si>
    <t xml:space="preserve">missing_filed_mortgage_reit_table_line</t>
  </si>
  <si>
    <t xml:space="preserve">MortgageReitPeriodEndCommonShares</t>
  </si>
  <si>
    <t xml:space="preserve">preferred_equity_carrying_value</t>
  </si>
  <si>
    <t xml:space="preserve">MortgageReitPreferredEquityCarryingValue</t>
  </si>
  <si>
    <t xml:space="preserve">preferred_equity_liquidation_preference</t>
  </si>
  <si>
    <t xml:space="preserve">MortgageReitPreferredEquityLiquidationPreference</t>
  </si>
  <si>
    <t xml:space="preserve">gaap_interest_income</t>
  </si>
  <si>
    <t xml:space="preserve">MortgageReitGAAPInterestIncome</t>
  </si>
  <si>
    <t xml:space="preserve">SEC 10-K selected financial data, comprehensive income table</t>
  </si>
  <si>
    <t xml:space="preserve">gaap_interest_expense</t>
  </si>
  <si>
    <t xml:space="preserve">MortgageReitGAAPInterestExpense</t>
  </si>
  <si>
    <t xml:space="preserve">gaap_net_interest_income</t>
  </si>
  <si>
    <t xml:space="preserve">MortgageReitGAAPNetInterestIncome</t>
  </si>
  <si>
    <t xml:space="preserve">economic_interest_income</t>
  </si>
  <si>
    <t xml:space="preserve">MortgageReitEconomicInterestIncome</t>
  </si>
  <si>
    <t xml:space="preserve">economic_interest_expense</t>
  </si>
  <si>
    <t xml:space="preserve">MortgageReitEconomicInterestExpense</t>
  </si>
  <si>
    <t xml:space="preserve">Total economic interest expense including TBA and swap settlements</t>
  </si>
  <si>
    <t xml:space="preserve">SEC 10-K economic interest expense and cost-of-funds table, amount column</t>
  </si>
  <si>
    <t xml:space="preserve">other_gain_net</t>
  </si>
  <si>
    <t xml:space="preserve">MortgageReitOtherGainNet</t>
  </si>
  <si>
    <t xml:space="preserve">operating_expenses</t>
  </si>
  <si>
    <t xml:space="preserve">MortgageReitOperatingExpenses</t>
  </si>
  <si>
    <t xml:space="preserve">net_income</t>
  </si>
  <si>
    <t xml:space="preserve">MortgageReitNetIncome</t>
  </si>
  <si>
    <t xml:space="preserve">Net income</t>
  </si>
  <si>
    <t xml:space="preserve">preferred_dividends</t>
  </si>
  <si>
    <t xml:space="preserve">MortgageReitPreferredDividends</t>
  </si>
  <si>
    <t xml:space="preserve">Dividends on preferred stock</t>
  </si>
  <si>
    <t xml:space="preserve">net_income_available_to_common</t>
  </si>
  <si>
    <t xml:space="preserve">MortgageReitNetIncomeAvailableToCommon</t>
  </si>
  <si>
    <t xml:space="preserve">other_comprehensive_income</t>
  </si>
  <si>
    <t xml:space="preserve">MortgageReitOtherComprehensiveIncome</t>
  </si>
  <si>
    <t xml:space="preserve">Other comprehensive income (loss), net</t>
  </si>
  <si>
    <t xml:space="preserve">comprehensive_income</t>
  </si>
  <si>
    <t xml:space="preserve">MortgageReitComprehensiveIncome</t>
  </si>
  <si>
    <t xml:space="preserve">comprehensive_income_available_to_common</t>
  </si>
  <si>
    <t xml:space="preserve">MortgageReitComprehensiveIncomeAvailableToCommon</t>
  </si>
  <si>
    <t xml:space="preserve">common_dividends_per_share</t>
  </si>
  <si>
    <t xml:space="preserve">MortgageReitCommonDividendsPerShareDeclared</t>
  </si>
  <si>
    <t xml:space="preserve">Dividends declared per common share</t>
  </si>
  <si>
    <t xml:space="preserve">average_investment_securities_at_cost</t>
  </si>
  <si>
    <t xml:space="preserve">MortgageReitAverageInvestmentSecuritiesAtCost</t>
  </si>
  <si>
    <t xml:space="preserve">SEC 10-K selected financial data, average balance and leverage table</t>
  </si>
  <si>
    <t xml:space="preserve">average_tba_dollar_roll_position_at_cost</t>
  </si>
  <si>
    <t xml:space="preserve">MortgageReitAverageTbaDollarRollPositionAtCost</t>
  </si>
  <si>
    <t xml:space="preserve">average_total_assets_fair_value</t>
  </si>
  <si>
    <t xml:space="preserve">MortgageReitAverageTotalAssetsFairValue</t>
  </si>
  <si>
    <t xml:space="preserve">Average total assets at fair value</t>
  </si>
  <si>
    <t xml:space="preserve">average_repo_borrowings</t>
  </si>
  <si>
    <t xml:space="preserve">MortgageReitAverageRepoBorrowings</t>
  </si>
  <si>
    <t xml:space="preserve">Average repurchase agreements and other debt outstanding</t>
  </si>
  <si>
    <t xml:space="preserve">average_mortgage_borrowings</t>
  </si>
  <si>
    <t xml:space="preserve">MortgageReitAverageMortgageBorrowings</t>
  </si>
  <si>
    <t xml:space="preserve">Average mortgage borrowings outstanding</t>
  </si>
  <si>
    <t xml:space="preserve">SEC 10-K economic funding and hedge balance table</t>
  </si>
  <si>
    <t xml:space="preserve">average_stockholders_equity</t>
  </si>
  <si>
    <t xml:space="preserve">MortgageReitAverageStockholdersEquity</t>
  </si>
  <si>
    <t xml:space="preserve">Average stockholders' equity</t>
  </si>
  <si>
    <t xml:space="preserve">average_at_risk_leverage</t>
  </si>
  <si>
    <t xml:space="preserve">multiple</t>
  </si>
  <si>
    <t xml:space="preserve">times</t>
  </si>
  <si>
    <t xml:space="preserve">MortgageReitAverageAtRiskLeverage</t>
  </si>
  <si>
    <t xml:space="preserve">period_end_at_risk_leverage</t>
  </si>
  <si>
    <t xml:space="preserve">MortgageReitPeriodEndAtRiskLeverage</t>
  </si>
  <si>
    <t xml:space="preserve">Period-end tangible net book value at-risk leverage</t>
  </si>
  <si>
    <t xml:space="preserve">economic_return_on_tangible_common_equity</t>
  </si>
  <si>
    <t xml:space="preserve">percent</t>
  </si>
  <si>
    <t xml:space="preserve">annual</t>
  </si>
  <si>
    <t xml:space="preserve">MortgageReitEconomicReturnOnTangibleCommonEquity</t>
  </si>
  <si>
    <t xml:space="preserve">Economic return on tangible common equity</t>
  </si>
  <si>
    <t xml:space="preserve">expenses_pct_average_assets</t>
  </si>
  <si>
    <t xml:space="preserve">MortgageReitExpensesPctAverageAssets</t>
  </si>
  <si>
    <t xml:space="preserve">Expenses as a percent of average total assets</t>
  </si>
  <si>
    <t xml:space="preserve">average_asset_yield</t>
  </si>
  <si>
    <t xml:space="preserve">MortgageReitAverageAssetYield</t>
  </si>
  <si>
    <t xml:space="preserve">Average asset yield</t>
  </si>
  <si>
    <t xml:space="preserve">SEC 10-K economic investment/TBA net interest spread table</t>
  </si>
  <si>
    <t xml:space="preserve">average_aggregate_cost_of_funds</t>
  </si>
  <si>
    <t xml:space="preserve">MortgageReitAverageAggregateCostOfFunds</t>
  </si>
  <si>
    <t xml:space="preserve">Average aggregate cost of funds</t>
  </si>
  <si>
    <t xml:space="preserve">average_net_interest_spread</t>
  </si>
  <si>
    <t xml:space="preserve">MortgageReitAverageNetInterestSpread</t>
  </si>
  <si>
    <t xml:space="preserve">Average net interest spread</t>
  </si>
  <si>
    <t xml:space="preserve">average_swap_notional</t>
  </si>
  <si>
    <t xml:space="preserve">MortgageReitAverageSwapNotional</t>
  </si>
  <si>
    <t xml:space="preserve">Average notional interest rate swap amount</t>
  </si>
  <si>
    <t xml:space="preserve">average_swap_ratio</t>
  </si>
  <si>
    <t xml:space="preserve">MortgageReitAverageSwapRatio</t>
  </si>
  <si>
    <t xml:space="preserve">Average interest rate swap ratio to mortgage borrowings</t>
  </si>
  <si>
    <t xml:space="preserve">average_swap_net_pay_rate</t>
  </si>
  <si>
    <t xml:space="preserve">MortgageReitAverageSwapNetPayRate</t>
  </si>
  <si>
    <t xml:space="preserve">Average interest rate swap net pay/(receive) rate</t>
  </si>
  <si>
    <t xml:space="preserve">FY 2023</t>
  </si>
  <si>
    <t xml:space="preserve">0001423689-26-000043</t>
  </si>
  <si>
    <t xml:space="preserve">2026-02-23</t>
  </si>
  <si>
    <t xml:space="preserve">2023-12-31</t>
  </si>
  <si>
    <t xml:space="preserve">shares</t>
  </si>
  <si>
    <t xml:space="preserve">Common shares issued and outstanding at period end</t>
  </si>
  <si>
    <t xml:space="preserve">SEC 10-K consolidated balance sheet, common stock line</t>
  </si>
  <si>
    <t xml:space="preserve">Preferred stock carrying value</t>
  </si>
  <si>
    <t xml:space="preserve">SEC 10-K consolidated balance sheet, preferred stock line</t>
  </si>
  <si>
    <t xml:space="preserve">Preferred stock aggregate liquidation preference</t>
  </si>
  <si>
    <t xml:space="preserve">SEC 10-K consolidated balance sheet, preferred stock liquidation-preference label</t>
  </si>
  <si>
    <t xml:space="preserve">Economic interest income including implied TBA dollar roll income</t>
  </si>
  <si>
    <t xml:space="preserve">SEC 10-K economic interest income and asset yield table, amount column</t>
  </si>
  <si>
    <t xml:space="preserve">Other gain, net</t>
  </si>
  <si>
    <t xml:space="preserve">Net income available to common stockholders</t>
  </si>
  <si>
    <t xml:space="preserve">Comprehensive income available to common stockholders</t>
  </si>
  <si>
    <t xml:space="preserve">FY 2024</t>
  </si>
  <si>
    <t xml:space="preserve">2024-12-31</t>
  </si>
  <si>
    <t xml:space="preserve">FY 2025</t>
  </si>
  <si>
    <t xml:space="preserve">2025-12-31</t>
  </si>
  <si>
    <t xml:space="preserve">Assumption</t>
  </si>
  <si>
    <t xml:space="preserve">assetYield</t>
  </si>
  <si>
    <t xml:space="preserve">analyst_input_or_market</t>
  </si>
  <si>
    <t xml:space="preserve">assetYieldChange</t>
  </si>
  <si>
    <t xml:space="preserve">fundingCost</t>
  </si>
  <si>
    <t xml:space="preserve">FY2025 filed aggregate cost of funds including repo/TBA/swap economics. FY2025 filed_10k_mortgage_reit_table_value_normalized; MortgageReitAverageAggregateCostOfFunds (accession 0001423689-26-000043, filed 2026-02-23, FY 2025)</t>
  </si>
  <si>
    <t xml:space="preserve">fundingCostChange</t>
  </si>
  <si>
    <t xml:space="preserve">swapRatio</t>
  </si>
  <si>
    <t xml:space="preserve">FY2025 filed average swap notional / mortgage borrowings ratio. FY2025 filed_10k_mortgage_reit_table_value_normalized; MortgageReitAverageSwapRatio (accession 0001423689-26-000043, filed 2026-02-23, FY 2025)</t>
  </si>
  <si>
    <t xml:space="preserve">swapRatioChange</t>
  </si>
  <si>
    <t xml:space="preserve">swapNetPayRate</t>
  </si>
  <si>
    <t xml:space="preserve">FY2025 filed average swap net pay/(receive) rate. Negative values represent a net receipt and reduce funding cost. FY2025 filed_10k_mortgage_reit_table_value_normalized; MortgageReitAverageSwapNetPayRate (accession 0001423689-26-000043, filed 2026-02-23, FY 2025)</t>
  </si>
  <si>
    <t xml:space="preserve">swapNetPayRateChange</t>
  </si>
  <si>
    <t xml:space="preserve">investmentAssetsToCommonEquity</t>
  </si>
  <si>
    <t xml:space="preserve">mortgageBorrowingsToCommonEquity</t>
  </si>
  <si>
    <t xml:space="preserve">otherIncomePctAverageAssets</t>
  </si>
  <si>
    <t xml:space="preserve">operatingExpensesPctAverageAssets</t>
  </si>
  <si>
    <t xml:space="preserve">preferredDividendYield</t>
  </si>
  <si>
    <t xml:space="preserve">payoutRatio</t>
  </si>
  <si>
    <t xml:space="preserve">dividendPerShareGrowth</t>
  </si>
  <si>
    <t xml:space="preserve">marketValueChangePerShare</t>
  </si>
  <si>
    <t xml:space="preserve">taxRate</t>
  </si>
  <si>
    <t xml:space="preserve">costOfEquity</t>
  </si>
  <si>
    <t xml:space="preserve">terminalGrowthRate</t>
  </si>
  <si>
    <t xml:space="preserve">commonSharesOutstanding</t>
  </si>
  <si>
    <t xml:space="preserve">commonBookValuePerShare</t>
  </si>
  <si>
    <t xml:space="preserve">FY2025 tangible net book value per common share from FY2025 filed_10k_mortgage_reit_table_value_normalized; MortgageReitTangibleBookValuePerCommonShare (accession 0001423689-26-000043, filed 2026-02-23, FY 2025).</t>
  </si>
  <si>
    <t xml:space="preserve">preferredLiquidationPreference</t>
  </si>
  <si>
    <t xml:space="preserve">currentPrice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</si>
</sst>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_-* #,##0.00_-;\-* #,##0.00_-;_-* \-??_-;_-@_-"/>
    <numFmt numFmtId="166" formatCode="_-\$* #,##0.00_-;&quot;-$&quot;* #,##0.00_-;_-\$* \-??_-;_-@_-"/>
    <numFmt numFmtId="167" formatCode="0%"/>
    <numFmt numFmtId="168" formatCode="#,##0.0;[RED]\(#,##0.0\);\-"/>
    <numFmt numFmtId="169" formatCode="0.0%;[RED]\(0.0%\);0.0%"/>
    <numFmt numFmtId="170" formatCode="0.0\x;[RED]\(0.0&quot;x)&quot;;\-"/>
    <numFmt numFmtId="171" formatCode="\$0.00;[RED]&quot;($&quot;0.00\);\-"/>
    <numFmt numFmtId="172" formatCode="\$#,##0.00;[RED]&quot;($&quot;#,##0.00\);\-"/>
    <numFmt numFmtId="173" formatCode="0.00\x"/>
    <numFmt numFmtId="174" formatCode="#,##0.00"/>
  </numFmts>
  <fonts count="2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Aptos Narrow"/>
      <family val="2"/>
      <charset val="1"/>
    </font>
    <font>
      <sz val="8"/>
      <name val="Arial"/>
      <family val="2"/>
      <charset val="1"/>
    </font>
    <font>
      <sz val="11"/>
      <color rgb="FF000000"/>
      <name val="Aptos Narrow"/>
      <family val="2"/>
      <charset val="1"/>
    </font>
    <font>
      <b val="true"/>
      <sz val="12"/>
      <color theme="1"/>
      <name val="Aptos Narrow"/>
      <family val="2"/>
      <charset val="1"/>
    </font>
    <font>
      <sz val="10"/>
      <color rgb="FF000000"/>
      <name val="Times New Roman"/>
      <family val="1"/>
      <charset val="1"/>
    </font>
    <font>
      <sz val="9"/>
      <color theme="1"/>
      <name val="Arial"/>
      <family val="2"/>
      <charset val="1"/>
    </font>
    <font>
      <sz val="8"/>
      <color theme="1"/>
      <name val="Arial"/>
      <family val="2"/>
      <charset val="1"/>
    </font>
    <font>
      <sz val="10"/>
      <color rgb="FF000000"/>
      <name val="Aptos Narrow"/>
      <family val="2"/>
      <charset val="1"/>
    </font>
    <font>
      <sz val="10"/>
      <color theme="1"/>
      <name val="Trebuchet MS"/>
      <family val="2"/>
      <charset val="1"/>
    </font>
    <font>
      <sz val="9"/>
      <color rgb="FF000000"/>
      <name val="Arial"/>
      <family val="2"/>
      <charset val="1"/>
    </font>
    <font>
      <b val="true"/>
      <sz val="16"/>
      <color rgb="FFFFFFFF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0"/>
      <color rgb="FF17365D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40404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7365D"/>
        <bgColor rgb="FF333399"/>
      </patternFill>
    </fill>
    <fill>
      <patternFill patternType="solid">
        <fgColor rgb="FFD9EAF7"/>
        <bgColor rgb="FFE2F0D9"/>
      </patternFill>
    </fill>
    <fill>
      <patternFill patternType="solid">
        <fgColor rgb="FF365F91"/>
        <bgColor rgb="FF33339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9EA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5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22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22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21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22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22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21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22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22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21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4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3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FE" xfId="20"/>
    <cellStyle name="Comma 2" xfId="21"/>
    <cellStyle name="Comma 3" xfId="22"/>
    <cellStyle name="Comma 4" xfId="23"/>
    <cellStyle name="Comma 4 2" xfId="24"/>
    <cellStyle name="Comma 5" xfId="25"/>
    <cellStyle name="Comma 6" xfId="26"/>
    <cellStyle name="Currency 2" xfId="27"/>
    <cellStyle name="Currency 4" xfId="28"/>
    <cellStyle name="HeaderCellStyle" xfId="29"/>
    <cellStyle name="Normal 10" xfId="30"/>
    <cellStyle name="Normal 17" xfId="31"/>
    <cellStyle name="Normal 18" xfId="32"/>
    <cellStyle name="Normal 2" xfId="33"/>
    <cellStyle name="Normal 2 2" xfId="34"/>
    <cellStyle name="Normal 2 2 2" xfId="35"/>
    <cellStyle name="Normal 2 3" xfId="36"/>
    <cellStyle name="Normal 3" xfId="37"/>
    <cellStyle name="Normal 3 2 3" xfId="38"/>
    <cellStyle name="Normal 3 2 3 2" xfId="39"/>
    <cellStyle name="Normal 4" xfId="40"/>
    <cellStyle name="Normal 5" xfId="41"/>
    <cellStyle name="Normal 5 2" xfId="42"/>
    <cellStyle name="Normal 5 3" xfId="43"/>
    <cellStyle name="Normal 5 4" xfId="44"/>
    <cellStyle name="Normal 6" xfId="45"/>
    <cellStyle name="Normal 7" xfId="46"/>
    <cellStyle name="Normal 8" xfId="47"/>
    <cellStyle name="Normal_Ch01 Pics v2.2" xfId="48"/>
    <cellStyle name="Percent 2" xfId="49"/>
    <cellStyle name="Percent 3" xfId="50"/>
  </cellStyles>
  <dxfs count="9">
    <dxf>
      <fill>
        <patternFill patternType="solid">
          <fgColor rgb="FF17365D"/>
          <bgColor rgb="FF000000"/>
        </patternFill>
      </fill>
    </dxf>
    <dxf>
      <fill>
        <patternFill patternType="solid">
          <fgColor rgb="FFD9EA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fgColor rgb="FF365F91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5F91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83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7382812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10" min="2" style="0" width="15"/>
    <col collapsed="false" customWidth="true" hidden="false" outlineLevel="0" max="12" min="11" style="0" width="3"/>
    <col collapsed="false" customWidth="true" hidden="false" outlineLevel="0" max="13" min="13" style="0" width="48"/>
    <col collapsed="false" customWidth="true" hidden="false" outlineLevel="0" max="14" min="14" style="0" width="17"/>
    <col collapsed="false" customWidth="true" hidden="false" outlineLevel="0" max="15" min="15" style="0" width="7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15" hidden="false" customHeight="false" outlineLevel="0" collapsed="false">
      <c r="A4" s="3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3"/>
      <c r="L4" s="3"/>
      <c r="M4" s="6" t="s">
        <v>13</v>
      </c>
      <c r="N4" s="3"/>
      <c r="O4" s="3"/>
    </row>
    <row r="5" customFormat="false" ht="15" hidden="false" customHeight="false" outlineLevel="0" collapsed="false">
      <c r="A5" s="7" t="s">
        <v>14</v>
      </c>
      <c r="B5" s="8" t="n">
        <v>1590</v>
      </c>
      <c r="C5" s="8" t="n">
        <v>2041</v>
      </c>
      <c r="D5" s="8" t="n">
        <v>2949</v>
      </c>
      <c r="E5" s="8" t="n">
        <v>3523</v>
      </c>
      <c r="M5" s="9" t="s">
        <v>15</v>
      </c>
    </row>
    <row r="6" customFormat="false" ht="39" hidden="false" customHeight="true" outlineLevel="0" collapsed="false">
      <c r="A6" s="7" t="s">
        <v>16</v>
      </c>
      <c r="B6" s="8" t="n">
        <v>625</v>
      </c>
      <c r="C6" s="8" t="n">
        <v>2287</v>
      </c>
      <c r="D6" s="8" t="n">
        <v>2931</v>
      </c>
      <c r="E6" s="8" t="n">
        <v>2848</v>
      </c>
      <c r="M6" s="10" t="s">
        <v>17</v>
      </c>
      <c r="N6" s="11" t="n">
        <v>0.049</v>
      </c>
      <c r="O6" s="12" t="s">
        <v>18</v>
      </c>
    </row>
    <row r="7" customFormat="false" ht="25.5" hidden="false" customHeight="true" outlineLevel="0" collapsed="false">
      <c r="A7" s="13" t="s">
        <v>19</v>
      </c>
      <c r="B7" s="8" t="n">
        <v>965</v>
      </c>
      <c r="C7" s="8" t="n">
        <v>-246</v>
      </c>
      <c r="D7" s="8" t="n">
        <v>18</v>
      </c>
      <c r="E7" s="8" t="n">
        <v>675</v>
      </c>
      <c r="M7" s="10" t="s">
        <v>20</v>
      </c>
      <c r="N7" s="11" t="n">
        <v>0</v>
      </c>
      <c r="O7" s="12" t="s">
        <v>21</v>
      </c>
    </row>
    <row r="8" customFormat="false" ht="15" hidden="false" customHeight="false" outlineLevel="0" collapsed="false">
      <c r="A8" s="13" t="s">
        <v>22</v>
      </c>
      <c r="C8" s="8" t="n">
        <v>4.11</v>
      </c>
      <c r="D8" s="8" t="n">
        <v>4.7</v>
      </c>
      <c r="E8" s="8" t="n">
        <v>4097</v>
      </c>
      <c r="M8" s="10" t="s">
        <v>23</v>
      </c>
      <c r="N8" s="11" t="n">
        <v>0.0298</v>
      </c>
    </row>
    <row r="9" customFormat="false" ht="25.5" hidden="false" customHeight="true" outlineLevel="0" collapsed="false">
      <c r="A9" s="13" t="s">
        <v>24</v>
      </c>
      <c r="B9" s="8" t="n">
        <v>0.27</v>
      </c>
      <c r="C9" s="8" t="n">
        <v>578</v>
      </c>
      <c r="D9" s="8" t="n">
        <v>1395</v>
      </c>
      <c r="E9" s="8" t="n">
        <v>2276</v>
      </c>
      <c r="M9" s="10" t="s">
        <v>25</v>
      </c>
      <c r="N9" s="11" t="n">
        <v>0</v>
      </c>
      <c r="O9" s="12" t="s">
        <v>26</v>
      </c>
    </row>
    <row r="10" customFormat="false" ht="39" hidden="false" customHeight="true" outlineLevel="0" collapsed="false">
      <c r="A10" s="14" t="s">
        <v>27</v>
      </c>
      <c r="B10" s="15" t="str">
        <f aca="false">IF(OR(B8="",B9=""),"",B8-B9)</f>
        <v/>
      </c>
      <c r="C10" s="15" t="n">
        <f aca="false">IF(OR(C8="",C9=""),"",C8-C9)</f>
        <v>-573.89</v>
      </c>
      <c r="D10" s="15" t="n">
        <f aca="false">IF(OR(D8="",D9=""),"",D8-D9)</f>
        <v>-1390.3</v>
      </c>
      <c r="E10" s="15" t="n">
        <f aca="false">IF(OR(E8="",E9=""),"",E8-E9)</f>
        <v>1821</v>
      </c>
      <c r="M10" s="10" t="s">
        <v>28</v>
      </c>
      <c r="N10" s="16" t="n">
        <v>9.81981226707526</v>
      </c>
      <c r="O10" s="12" t="s">
        <v>29</v>
      </c>
    </row>
    <row r="11" customFormat="false" ht="39" hidden="false" customHeight="true" outlineLevel="0" collapsed="false">
      <c r="A11" s="7" t="s">
        <v>30</v>
      </c>
      <c r="B11" s="17" t="n">
        <v>0.03</v>
      </c>
      <c r="C11" s="17" t="n">
        <v>0.0411</v>
      </c>
      <c r="D11" s="17" t="n">
        <v>0.047</v>
      </c>
      <c r="E11" s="17" t="n">
        <v>0.049</v>
      </c>
      <c r="M11" s="10" t="s">
        <v>31</v>
      </c>
      <c r="N11" s="16" t="n">
        <v>8.75261897833421</v>
      </c>
      <c r="O11" s="12" t="s">
        <v>32</v>
      </c>
    </row>
    <row r="12" customFormat="false" ht="25.5" hidden="false" customHeight="true" outlineLevel="0" collapsed="false">
      <c r="A12" s="7" t="s">
        <v>33</v>
      </c>
      <c r="B12" s="17" t="n">
        <v>0.0027</v>
      </c>
      <c r="C12" s="17" t="n">
        <v>0.0105</v>
      </c>
      <c r="D12" s="17" t="n">
        <v>0.0228</v>
      </c>
      <c r="E12" s="17" t="n">
        <v>0.0298</v>
      </c>
      <c r="M12" s="10" t="s">
        <v>34</v>
      </c>
      <c r="N12" s="11" t="n">
        <v>0</v>
      </c>
      <c r="O12" s="12" t="s">
        <v>35</v>
      </c>
    </row>
    <row r="13" customFormat="false" ht="25.5" hidden="false" customHeight="true" outlineLevel="0" collapsed="false">
      <c r="A13" s="7" t="s">
        <v>36</v>
      </c>
      <c r="B13" s="17" t="n">
        <v>0.0273</v>
      </c>
      <c r="C13" s="17" t="n">
        <v>0.0306</v>
      </c>
      <c r="D13" s="17" t="n">
        <v>0.0242</v>
      </c>
      <c r="E13" s="17" t="n">
        <v>0.0192</v>
      </c>
      <c r="M13" s="10" t="s">
        <v>37</v>
      </c>
      <c r="N13" s="11" t="n">
        <v>1.4E-005</v>
      </c>
      <c r="O13" s="12" t="s">
        <v>38</v>
      </c>
    </row>
    <row r="14" customFormat="false" ht="39" hidden="false" customHeight="true" outlineLevel="0" collapsed="false">
      <c r="A14" s="14" t="s">
        <v>39</v>
      </c>
      <c r="B14" s="18" t="n">
        <f aca="false">IF(OR(B11="",B12="",B13=""),"",B11-B12-B13)</f>
        <v>0</v>
      </c>
      <c r="C14" s="18" t="n">
        <f aca="false">IF(OR(C11="",C12="",C13=""),"",C11-C12-C13)</f>
        <v>0</v>
      </c>
      <c r="D14" s="18" t="n">
        <f aca="false">IF(OR(D11="",D12="",D13=""),"",D11-D12-D13)</f>
        <v>0</v>
      </c>
      <c r="E14" s="18" t="n">
        <f aca="false">IF(OR(E11="",E12="",E13=""),"",E11-E12-E13)</f>
        <v>0</v>
      </c>
      <c r="M14" s="10" t="s">
        <v>40</v>
      </c>
      <c r="N14" s="11" t="n">
        <v>0.0781990521327014</v>
      </c>
      <c r="O14" s="12" t="s">
        <v>41</v>
      </c>
    </row>
    <row r="15" customFormat="false" ht="25.5" hidden="false" customHeight="true" outlineLevel="0" collapsed="false">
      <c r="A15" s="7" t="s">
        <v>42</v>
      </c>
      <c r="B15" s="8" t="n">
        <v>49195</v>
      </c>
      <c r="C15" s="8" t="n">
        <v>52262</v>
      </c>
      <c r="D15" s="8" t="n">
        <v>62698</v>
      </c>
      <c r="E15" s="8" t="n">
        <v>72737</v>
      </c>
      <c r="M15" s="10" t="s">
        <v>43</v>
      </c>
      <c r="N15" s="11" t="n">
        <v>0.976890656063618</v>
      </c>
      <c r="O15" s="12" t="s">
        <v>44</v>
      </c>
    </row>
    <row r="16" customFormat="false" ht="25.5" hidden="false" customHeight="true" outlineLevel="0" collapsed="false">
      <c r="A16" s="7" t="s">
        <v>45</v>
      </c>
      <c r="B16" s="8" t="n">
        <v>20631</v>
      </c>
      <c r="C16" s="8" t="n">
        <v>10000</v>
      </c>
      <c r="D16" s="8" t="n">
        <v>5389</v>
      </c>
      <c r="E16" s="8" t="n">
        <v>10853</v>
      </c>
      <c r="M16" s="10" t="s">
        <v>46</v>
      </c>
      <c r="N16" s="11" t="n">
        <v>0</v>
      </c>
      <c r="O16" s="12" t="s">
        <v>47</v>
      </c>
    </row>
    <row r="17" customFormat="false" ht="25.5" hidden="false" customHeight="true" outlineLevel="0" collapsed="false">
      <c r="A17" s="7" t="s">
        <v>48</v>
      </c>
      <c r="B17" s="8" t="n">
        <v>61994</v>
      </c>
      <c r="C17" s="8" t="n">
        <v>54027</v>
      </c>
      <c r="D17" s="8" t="n">
        <v>60047</v>
      </c>
      <c r="E17" s="8" t="n">
        <v>75325</v>
      </c>
      <c r="M17" s="10" t="s">
        <v>49</v>
      </c>
      <c r="N17" s="19" t="n">
        <v>0</v>
      </c>
      <c r="O17" s="12" t="s">
        <v>50</v>
      </c>
    </row>
    <row r="18" customFormat="false" ht="25.5" hidden="false" customHeight="true" outlineLevel="0" collapsed="false">
      <c r="A18" s="7" t="s">
        <v>51</v>
      </c>
      <c r="B18" s="8" t="n">
        <v>8475</v>
      </c>
      <c r="C18" s="8" t="n">
        <v>7817</v>
      </c>
      <c r="D18" s="8" t="n">
        <v>8885</v>
      </c>
      <c r="E18" s="8" t="n">
        <v>10663</v>
      </c>
      <c r="M18" s="10" t="s">
        <v>52</v>
      </c>
      <c r="N18" s="11" t="n">
        <v>0</v>
      </c>
      <c r="O18" s="12" t="s">
        <v>53</v>
      </c>
    </row>
    <row r="19" customFormat="false" ht="25.5" hidden="false" customHeight="true" outlineLevel="0" collapsed="false">
      <c r="A19" s="7" t="s">
        <v>54</v>
      </c>
      <c r="B19" s="20" t="n">
        <v>7.8</v>
      </c>
      <c r="C19" s="20" t="n">
        <v>7.4</v>
      </c>
      <c r="D19" s="20" t="n">
        <v>7.2</v>
      </c>
      <c r="E19" s="20" t="n">
        <v>7.4</v>
      </c>
      <c r="M19" s="10" t="s">
        <v>55</v>
      </c>
      <c r="N19" s="18" t="n">
        <f aca="false">N27+N28*N29</f>
        <v>0.162009749681374</v>
      </c>
      <c r="O19" s="12" t="s">
        <v>56</v>
      </c>
    </row>
    <row r="20" customFormat="false" ht="25.5" hidden="false" customHeight="true" outlineLevel="0" collapsed="false">
      <c r="A20" s="7" t="s">
        <v>57</v>
      </c>
      <c r="B20" s="8" t="n">
        <v>49334</v>
      </c>
      <c r="C20" s="8" t="n">
        <v>47012</v>
      </c>
      <c r="D20" s="8" t="n">
        <v>43351</v>
      </c>
      <c r="E20" s="8" t="n">
        <v>48921</v>
      </c>
      <c r="M20" s="10" t="s">
        <v>58</v>
      </c>
      <c r="N20" s="11" t="n">
        <v>0.025</v>
      </c>
      <c r="O20" s="12" t="s">
        <v>59</v>
      </c>
    </row>
    <row r="21" customFormat="false" ht="25.5" hidden="false" customHeight="true" outlineLevel="0" collapsed="false">
      <c r="A21" s="7" t="s">
        <v>60</v>
      </c>
      <c r="B21" s="17" t="n">
        <v>0.8</v>
      </c>
      <c r="C21" s="17" t="n">
        <v>0.87</v>
      </c>
      <c r="D21" s="17" t="n">
        <v>0.72</v>
      </c>
      <c r="E21" s="17" t="n">
        <v>0.65</v>
      </c>
      <c r="M21" s="10" t="s">
        <v>61</v>
      </c>
      <c r="N21" s="21" t="n">
        <v>1107.6</v>
      </c>
      <c r="O21" s="12" t="s">
        <v>62</v>
      </c>
    </row>
    <row r="22" customFormat="false" ht="39" hidden="false" customHeight="true" outlineLevel="0" collapsed="false">
      <c r="A22" s="7" t="s">
        <v>63</v>
      </c>
      <c r="B22" s="17" t="n">
        <v>-0.0135</v>
      </c>
      <c r="C22" s="17" t="n">
        <v>-0.0462</v>
      </c>
      <c r="D22" s="17" t="n">
        <v>-0.0409</v>
      </c>
      <c r="E22" s="17" t="n">
        <v>-0.0218</v>
      </c>
      <c r="M22" s="10" t="s">
        <v>64</v>
      </c>
      <c r="N22" s="22" t="n">
        <f aca="false">E28</f>
        <v>8.88</v>
      </c>
      <c r="O22" s="12" t="s">
        <v>65</v>
      </c>
    </row>
    <row r="23" customFormat="false" ht="39" hidden="false" customHeight="true" outlineLevel="0" collapsed="false">
      <c r="A23" s="7" t="s">
        <v>66</v>
      </c>
      <c r="B23" s="8" t="n">
        <v>74</v>
      </c>
      <c r="C23" s="8" t="n">
        <v>96</v>
      </c>
      <c r="D23" s="8" t="n">
        <v>110</v>
      </c>
      <c r="E23" s="8" t="n">
        <v>127</v>
      </c>
      <c r="M23" s="10" t="s">
        <v>67</v>
      </c>
      <c r="N23" s="21" t="n">
        <v>2033</v>
      </c>
      <c r="O23" s="12" t="s">
        <v>68</v>
      </c>
    </row>
    <row r="24" customFormat="false" ht="25.5" hidden="false" customHeight="true" outlineLevel="0" collapsed="false">
      <c r="A24" s="7" t="s">
        <v>69</v>
      </c>
      <c r="B24" s="8" t="n">
        <v>105</v>
      </c>
      <c r="C24" s="8" t="n">
        <v>123</v>
      </c>
      <c r="D24" s="8" t="n">
        <v>132</v>
      </c>
      <c r="E24" s="8" t="n">
        <v>161</v>
      </c>
      <c r="M24" s="10" t="s">
        <v>70</v>
      </c>
      <c r="N24" s="23" t="n">
        <v>8.79</v>
      </c>
      <c r="O24" s="12" t="s">
        <v>71</v>
      </c>
    </row>
    <row r="25" customFormat="false" ht="15" hidden="false" customHeight="false" outlineLevel="0" collapsed="false">
      <c r="A25" s="7" t="s">
        <v>72</v>
      </c>
      <c r="C25" s="8" t="n">
        <v>32</v>
      </c>
      <c r="D25" s="8" t="n">
        <v>731</v>
      </c>
      <c r="E25" s="8" t="n">
        <v>1509</v>
      </c>
      <c r="M25" s="10" t="s">
        <v>73</v>
      </c>
      <c r="N25" s="11" t="n">
        <v>0.65</v>
      </c>
    </row>
    <row r="26" customFormat="false" ht="25.5" hidden="false" customHeight="true" outlineLevel="0" collapsed="false">
      <c r="A26" s="7" t="s">
        <v>74</v>
      </c>
      <c r="B26" s="24" t="n">
        <v>1.44</v>
      </c>
      <c r="C26" s="24" t="n">
        <v>1.44</v>
      </c>
      <c r="D26" s="24" t="n">
        <v>1.44</v>
      </c>
      <c r="E26" s="24" t="n">
        <v>1.44</v>
      </c>
      <c r="M26" s="10" t="s">
        <v>75</v>
      </c>
      <c r="N26" s="11" t="n">
        <v>0</v>
      </c>
      <c r="O26" s="12" t="s">
        <v>76</v>
      </c>
    </row>
    <row r="27" customFormat="false" ht="25.5" hidden="false" customHeight="true" outlineLevel="0" collapsed="false">
      <c r="A27" s="7" t="s">
        <v>77</v>
      </c>
      <c r="B27" s="24" t="n">
        <v>10.76</v>
      </c>
      <c r="C27" s="24" t="n">
        <v>9.46</v>
      </c>
      <c r="D27" s="24" t="n">
        <v>9</v>
      </c>
      <c r="E27" s="24" t="n">
        <v>9.35</v>
      </c>
      <c r="M27" s="10" t="s">
        <v>78</v>
      </c>
      <c r="N27" s="11" t="n">
        <v>0.0527699995040894</v>
      </c>
      <c r="O27" s="12" t="s">
        <v>56</v>
      </c>
    </row>
    <row r="28" customFormat="false" ht="25.5" hidden="false" customHeight="true" outlineLevel="0" collapsed="false">
      <c r="A28" s="13" t="s">
        <v>79</v>
      </c>
      <c r="B28" s="24" t="n">
        <v>9.84</v>
      </c>
      <c r="C28" s="24" t="n">
        <v>8.7</v>
      </c>
      <c r="D28" s="24" t="n">
        <v>8.41</v>
      </c>
      <c r="E28" s="24" t="n">
        <v>8.88</v>
      </c>
      <c r="M28" s="10" t="s">
        <v>80</v>
      </c>
      <c r="N28" s="11" t="n">
        <v>0.0838371068129586</v>
      </c>
      <c r="O28" s="12" t="s">
        <v>56</v>
      </c>
    </row>
    <row r="29" customFormat="false" ht="25.5" hidden="false" customHeight="true" outlineLevel="0" collapsed="false">
      <c r="A29" s="7" t="s">
        <v>81</v>
      </c>
      <c r="C29" s="8" t="n">
        <v>1688</v>
      </c>
      <c r="D29" s="8" t="n">
        <v>1688</v>
      </c>
      <c r="E29" s="8" t="n">
        <v>2033</v>
      </c>
      <c r="M29" s="10" t="s">
        <v>82</v>
      </c>
      <c r="N29" s="25" t="n">
        <v>1.303</v>
      </c>
      <c r="O29" s="12" t="s">
        <v>56</v>
      </c>
    </row>
    <row r="30" customFormat="false" ht="15" hidden="false" customHeight="false" outlineLevel="0" collapsed="false">
      <c r="A30" s="7" t="s">
        <v>83</v>
      </c>
      <c r="C30" s="8" t="n">
        <v>694.3</v>
      </c>
      <c r="D30" s="8" t="n">
        <v>897.4</v>
      </c>
      <c r="E30" s="8" t="n">
        <v>1107.6</v>
      </c>
      <c r="M30" s="10" t="s">
        <v>84</v>
      </c>
      <c r="N30" s="22" t="n">
        <f aca="false">E26</f>
        <v>1.44</v>
      </c>
      <c r="O30" s="12" t="s">
        <v>85</v>
      </c>
    </row>
    <row r="31" customFormat="false" ht="15" hidden="false" customHeight="false" outlineLevel="0" collapsed="false">
      <c r="A31" s="7" t="s">
        <v>86</v>
      </c>
      <c r="B31" s="8" t="n">
        <v>51748</v>
      </c>
      <c r="C31" s="8" t="n">
        <v>71596</v>
      </c>
      <c r="D31" s="8" t="n">
        <v>88015</v>
      </c>
      <c r="E31" s="8" t="n">
        <v>115077</v>
      </c>
      <c r="M31" s="10" t="s">
        <v>87</v>
      </c>
      <c r="N31" s="26" t="s">
        <v>88</v>
      </c>
      <c r="O31" s="12" t="s">
        <v>89</v>
      </c>
    </row>
    <row r="32" customFormat="false" ht="15" hidden="false" customHeight="false" outlineLevel="0" collapsed="false">
      <c r="A32" s="7" t="s">
        <v>90</v>
      </c>
      <c r="B32" s="8" t="n">
        <v>36357</v>
      </c>
      <c r="C32" s="8" t="n">
        <v>50506</v>
      </c>
      <c r="D32" s="8" t="n">
        <v>60862</v>
      </c>
      <c r="E32" s="8" t="n">
        <v>85342</v>
      </c>
      <c r="M32" s="10" t="s">
        <v>63</v>
      </c>
      <c r="N32" s="11" t="n">
        <v>-0.0218</v>
      </c>
    </row>
    <row r="33" customFormat="false" ht="25.5" hidden="false" customHeight="true" outlineLevel="0" collapsed="false">
      <c r="A33" s="7" t="s">
        <v>91</v>
      </c>
      <c r="B33" s="8" t="n">
        <v>7870</v>
      </c>
      <c r="C33" s="8" t="n">
        <v>8257</v>
      </c>
      <c r="D33" s="8" t="n">
        <v>9762</v>
      </c>
      <c r="E33" s="8" t="n">
        <v>12393</v>
      </c>
      <c r="M33" s="10" t="s">
        <v>92</v>
      </c>
      <c r="N33" s="11" t="n">
        <v>0</v>
      </c>
      <c r="O33" s="12" t="s">
        <v>93</v>
      </c>
    </row>
    <row r="34" customFormat="false" ht="35.05" hidden="false" customHeight="false" outlineLevel="0" collapsed="false">
      <c r="A34" s="7" t="s">
        <v>94</v>
      </c>
      <c r="B34" s="8" t="n">
        <v>43878</v>
      </c>
      <c r="C34" s="8" t="n">
        <v>63339</v>
      </c>
      <c r="D34" s="8" t="n">
        <v>78253</v>
      </c>
      <c r="E34" s="8" t="n">
        <v>102684</v>
      </c>
      <c r="M34" s="10" t="s">
        <v>95</v>
      </c>
      <c r="N34" s="18" t="n">
        <f aca="false">N8-N25*N32</f>
        <v>0.04397</v>
      </c>
      <c r="O34" s="12" t="s">
        <v>96</v>
      </c>
    </row>
    <row r="35" customFormat="false" ht="15" hidden="false" customHeight="false" outlineLevel="0" collapsed="false">
      <c r="A35" s="14" t="s">
        <v>97</v>
      </c>
      <c r="B35" s="22" t="str">
        <f aca="false">IF(OR(B30="",B29=""),"",IFERROR(B27-(B33-B29)/B30,""))</f>
        <v/>
      </c>
      <c r="C35" s="22" t="n">
        <f aca="false">IF(OR(C30="",C29=""),"",IFERROR(C27-(C33-C29)/C30,""))</f>
        <v>-0.00132795621489201</v>
      </c>
      <c r="D35" s="22" t="n">
        <f aca="false">IF(OR(D30="",D29=""),"",IFERROR(D27-(D33-D29)/D30,""))</f>
        <v>0.0028972587474918</v>
      </c>
      <c r="E35" s="22" t="n">
        <f aca="false">IF(OR(E30="",E29=""),"",IFERROR(E27-(E33-E29)/E30,""))</f>
        <v>-0.00355724088118592</v>
      </c>
    </row>
    <row r="36" customFormat="false" ht="15" hidden="false" customHeight="false" outlineLevel="0" collapsed="false">
      <c r="A36" s="14" t="s">
        <v>98</v>
      </c>
      <c r="B36" s="15" t="n">
        <f aca="false">IF(OR(B31="",B33="",B34=""),"",B31-B33-B34)</f>
        <v>0</v>
      </c>
      <c r="C36" s="15" t="n">
        <f aca="false">IF(OR(C31="",C33="",C34=""),"",C31-C33-C34)</f>
        <v>0</v>
      </c>
      <c r="D36" s="15" t="n">
        <f aca="false">IF(OR(D31="",D33="",D34=""),"",D31-D33-D34)</f>
        <v>0</v>
      </c>
      <c r="E36" s="15" t="n">
        <f aca="false">IF(OR(E31="",E33="",E34=""),"",E31-E33-E34)</f>
        <v>0</v>
      </c>
    </row>
    <row r="37" customFormat="false" ht="15" hidden="false" customHeight="false" outlineLevel="0" collapsed="false">
      <c r="A37" s="3" t="s">
        <v>99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customFormat="false" ht="15" hidden="false" customHeight="false" outlineLevel="0" collapsed="false">
      <c r="A38" s="7" t="s">
        <v>100</v>
      </c>
      <c r="F38" s="22" t="n">
        <f aca="false">$N$22</f>
        <v>8.88</v>
      </c>
      <c r="G38" s="22" t="n">
        <f aca="false">F61</f>
        <v>9.25188849575601</v>
      </c>
      <c r="H38" s="22" t="n">
        <f aca="false">G61</f>
        <v>9.7056688011647</v>
      </c>
      <c r="I38" s="22" t="n">
        <f aca="false">H61</f>
        <v>10.2593739249497</v>
      </c>
      <c r="J38" s="22" t="n">
        <f aca="false">I61</f>
        <v>10.9350078395367</v>
      </c>
    </row>
    <row r="39" customFormat="false" ht="15" hidden="false" customHeight="false" outlineLevel="0" collapsed="false">
      <c r="A39" s="7" t="s">
        <v>101</v>
      </c>
      <c r="F39" s="15" t="n">
        <f aca="false">F38*$N$21</f>
        <v>9835.488</v>
      </c>
      <c r="G39" s="15" t="n">
        <f aca="false">G38*$N$21</f>
        <v>10247.3916978994</v>
      </c>
      <c r="H39" s="15" t="n">
        <f aca="false">H38*$N$21</f>
        <v>10749.99876417</v>
      </c>
      <c r="I39" s="15" t="n">
        <f aca="false">I38*$N$21</f>
        <v>11363.2825592743</v>
      </c>
      <c r="J39" s="15" t="n">
        <f aca="false">J38*$N$21</f>
        <v>12111.6146830709</v>
      </c>
    </row>
    <row r="40" customFormat="false" ht="15" hidden="false" customHeight="false" outlineLevel="0" collapsed="false">
      <c r="A40" s="7" t="s">
        <v>102</v>
      </c>
      <c r="F40" s="15" t="n">
        <f aca="false">F39*$N$10</f>
        <v>96582.6457150715</v>
      </c>
      <c r="G40" s="15" t="n">
        <f aca="false">G39*$N$10</f>
        <v>100627.462700557</v>
      </c>
      <c r="H40" s="15" t="n">
        <f aca="false">H39*$N$10</f>
        <v>105562.969735441</v>
      </c>
      <c r="I40" s="15" t="n">
        <f aca="false">I39*$N$10</f>
        <v>111585.301469804</v>
      </c>
      <c r="J40" s="15" t="n">
        <f aca="false">J39*$N$10</f>
        <v>118933.782438908</v>
      </c>
    </row>
    <row r="41" customFormat="false" ht="15" hidden="false" customHeight="false" outlineLevel="0" collapsed="false">
      <c r="A41" s="7" t="s">
        <v>103</v>
      </c>
      <c r="F41" s="15" t="n">
        <f aca="false">F39*$N$11</f>
        <v>86086.2789299784</v>
      </c>
      <c r="G41" s="15" t="n">
        <f aca="false">G39*$N$11</f>
        <v>89691.5150534583</v>
      </c>
      <c r="H41" s="15" t="n">
        <f aca="false">H39*$N$11</f>
        <v>94090.6432003438</v>
      </c>
      <c r="I41" s="15" t="n">
        <f aca="false">I39*$N$11</f>
        <v>99458.4825844783</v>
      </c>
      <c r="J41" s="15" t="n">
        <f aca="false">J39*$N$11</f>
        <v>106008.348533317</v>
      </c>
    </row>
    <row r="42" customFormat="false" ht="15" hidden="false" customHeight="false" outlineLevel="0" collapsed="false">
      <c r="A42" s="7" t="s">
        <v>17</v>
      </c>
      <c r="F42" s="18" t="n">
        <f aca="false">$N$6+1*$N$7</f>
        <v>0.049</v>
      </c>
      <c r="G42" s="18" t="n">
        <f aca="false">$N$6+2*$N$7</f>
        <v>0.049</v>
      </c>
      <c r="H42" s="18" t="n">
        <f aca="false">$N$6+3*$N$7</f>
        <v>0.049</v>
      </c>
      <c r="I42" s="18" t="n">
        <f aca="false">$N$6+4*$N$7</f>
        <v>0.049</v>
      </c>
      <c r="J42" s="18" t="n">
        <f aca="false">$N$6+5*$N$7</f>
        <v>0.049</v>
      </c>
    </row>
    <row r="43" customFormat="false" ht="15" hidden="false" customHeight="false" outlineLevel="0" collapsed="false">
      <c r="A43" s="7" t="s">
        <v>104</v>
      </c>
      <c r="F43" s="15" t="n">
        <f aca="false">F40*F42</f>
        <v>4732.54964003851</v>
      </c>
      <c r="G43" s="15" t="n">
        <f aca="false">G40*G42</f>
        <v>4930.74567232731</v>
      </c>
      <c r="H43" s="15" t="n">
        <f aca="false">H40*H42</f>
        <v>5172.58551703659</v>
      </c>
      <c r="I43" s="15" t="n">
        <f aca="false">I40*I42</f>
        <v>5467.6797720204</v>
      </c>
      <c r="J43" s="15" t="n">
        <f aca="false">J40*J42</f>
        <v>5827.75533950651</v>
      </c>
    </row>
    <row r="44" customFormat="false" ht="15" hidden="false" customHeight="false" outlineLevel="0" collapsed="false">
      <c r="A44" s="7" t="s">
        <v>73</v>
      </c>
      <c r="F44" s="18" t="n">
        <f aca="false">$N$25+1*$N$26</f>
        <v>0.65</v>
      </c>
      <c r="G44" s="18" t="n">
        <f aca="false">$N$25+2*$N$26</f>
        <v>0.65</v>
      </c>
      <c r="H44" s="18" t="n">
        <f aca="false">$N$25+3*$N$26</f>
        <v>0.65</v>
      </c>
      <c r="I44" s="18" t="n">
        <f aca="false">$N$25+4*$N$26</f>
        <v>0.65</v>
      </c>
      <c r="J44" s="18" t="n">
        <f aca="false">$N$25+5*$N$26</f>
        <v>0.65</v>
      </c>
    </row>
    <row r="45" customFormat="false" ht="15" hidden="false" customHeight="false" outlineLevel="0" collapsed="false">
      <c r="A45" s="7" t="s">
        <v>63</v>
      </c>
      <c r="F45" s="18" t="n">
        <f aca="false">$N$32+1*$N$33</f>
        <v>-0.0218</v>
      </c>
      <c r="G45" s="18" t="n">
        <f aca="false">$N$32+2*$N$33</f>
        <v>-0.0218</v>
      </c>
      <c r="H45" s="18" t="n">
        <f aca="false">$N$32+3*$N$33</f>
        <v>-0.0218</v>
      </c>
      <c r="I45" s="18" t="n">
        <f aca="false">$N$32+4*$N$33</f>
        <v>-0.0218</v>
      </c>
      <c r="J45" s="18" t="n">
        <f aca="false">$N$32+5*$N$33</f>
        <v>-0.0218</v>
      </c>
    </row>
    <row r="46" customFormat="false" ht="15" hidden="false" customHeight="false" outlineLevel="0" collapsed="false">
      <c r="A46" s="13" t="s">
        <v>105</v>
      </c>
      <c r="F46" s="18" t="n">
        <f aca="false">F44*F45</f>
        <v>-0.01417</v>
      </c>
      <c r="G46" s="18" t="n">
        <f aca="false">G44*G45</f>
        <v>-0.01417</v>
      </c>
      <c r="H46" s="18" t="n">
        <f aca="false">H44*H45</f>
        <v>-0.01417</v>
      </c>
      <c r="I46" s="18" t="n">
        <f aca="false">I44*I45</f>
        <v>-0.01417</v>
      </c>
      <c r="J46" s="18" t="n">
        <f aca="false">J44*J45</f>
        <v>-0.01417</v>
      </c>
    </row>
    <row r="47" customFormat="false" ht="15" hidden="false" customHeight="false" outlineLevel="0" collapsed="false">
      <c r="A47" s="7" t="s">
        <v>106</v>
      </c>
      <c r="F47" s="18" t="n">
        <f aca="false">$N$34+1*$N$9</f>
        <v>0.04397</v>
      </c>
      <c r="G47" s="18" t="n">
        <f aca="false">$N$34+2*$N$9</f>
        <v>0.04397</v>
      </c>
      <c r="H47" s="18" t="n">
        <f aca="false">$N$34+3*$N$9</f>
        <v>0.04397</v>
      </c>
      <c r="I47" s="18" t="n">
        <f aca="false">$N$34+4*$N$9</f>
        <v>0.04397</v>
      </c>
      <c r="J47" s="18" t="n">
        <f aca="false">$N$34+5*$N$9</f>
        <v>0.04397</v>
      </c>
    </row>
    <row r="48" customFormat="false" ht="15" hidden="false" customHeight="false" outlineLevel="0" collapsed="false">
      <c r="A48" s="7" t="s">
        <v>107</v>
      </c>
      <c r="F48" s="18" t="n">
        <f aca="false">F47+F46</f>
        <v>0.0298</v>
      </c>
      <c r="G48" s="18" t="n">
        <f aca="false">G47+G46</f>
        <v>0.0298</v>
      </c>
      <c r="H48" s="18" t="n">
        <f aca="false">H47+H46</f>
        <v>0.0298</v>
      </c>
      <c r="I48" s="18" t="n">
        <f aca="false">I47+I46</f>
        <v>0.0298</v>
      </c>
      <c r="J48" s="18" t="n">
        <f aca="false">J47+J46</f>
        <v>0.0298</v>
      </c>
    </row>
    <row r="49" customFormat="false" ht="15" hidden="false" customHeight="false" outlineLevel="0" collapsed="false">
      <c r="A49" s="7" t="s">
        <v>108</v>
      </c>
      <c r="F49" s="15" t="n">
        <f aca="false">F41*F48</f>
        <v>2565.37111211336</v>
      </c>
      <c r="G49" s="15" t="n">
        <f aca="false">G41*G48</f>
        <v>2672.80714859306</v>
      </c>
      <c r="H49" s="15" t="n">
        <f aca="false">H41*H48</f>
        <v>2803.90116737025</v>
      </c>
      <c r="I49" s="15" t="n">
        <f aca="false">I41*I48</f>
        <v>2963.86278101745</v>
      </c>
      <c r="J49" s="15" t="n">
        <f aca="false">J41*J48</f>
        <v>3159.04878629286</v>
      </c>
    </row>
    <row r="50" customFormat="false" ht="15" hidden="false" customHeight="false" outlineLevel="0" collapsed="false">
      <c r="A50" s="7" t="s">
        <v>109</v>
      </c>
      <c r="F50" s="15" t="n">
        <f aca="false">F43-F49</f>
        <v>2167.17852792515</v>
      </c>
      <c r="G50" s="15" t="n">
        <f aca="false">G43-G49</f>
        <v>2257.93852373425</v>
      </c>
      <c r="H50" s="15" t="n">
        <f aca="false">H43-H49</f>
        <v>2368.68434966635</v>
      </c>
      <c r="I50" s="15" t="n">
        <f aca="false">I43-I49</f>
        <v>2503.81699100295</v>
      </c>
      <c r="J50" s="15" t="n">
        <f aca="false">J43-J49</f>
        <v>2668.70655321365</v>
      </c>
    </row>
    <row r="51" customFormat="false" ht="15" hidden="false" customHeight="false" outlineLevel="0" collapsed="false">
      <c r="A51" s="7" t="s">
        <v>110</v>
      </c>
      <c r="F51" s="15" t="n">
        <f aca="false">F40*$N$12</f>
        <v>0</v>
      </c>
      <c r="G51" s="15" t="n">
        <f aca="false">G40*$N$12</f>
        <v>0</v>
      </c>
      <c r="H51" s="15" t="n">
        <f aca="false">H40*$N$12</f>
        <v>0</v>
      </c>
      <c r="I51" s="15" t="n">
        <f aca="false">I40*$N$12</f>
        <v>0</v>
      </c>
      <c r="J51" s="15" t="n">
        <f aca="false">J40*$N$12</f>
        <v>0</v>
      </c>
    </row>
    <row r="52" customFormat="false" ht="15" hidden="false" customHeight="false" outlineLevel="0" collapsed="false">
      <c r="A52" s="13" t="s">
        <v>111</v>
      </c>
      <c r="F52" s="15" t="n">
        <f aca="false">F40*$N$13</f>
        <v>1.352157040011</v>
      </c>
      <c r="G52" s="15" t="n">
        <f aca="false">G40*$N$13</f>
        <v>1.4087844778078</v>
      </c>
      <c r="H52" s="15" t="n">
        <f aca="false">H40*$N$13</f>
        <v>1.47788157629617</v>
      </c>
      <c r="I52" s="15" t="n">
        <f aca="false">I40*$N$13</f>
        <v>1.56219422057726</v>
      </c>
      <c r="J52" s="15" t="n">
        <f aca="false">J40*$N$13</f>
        <v>1.66507295414472</v>
      </c>
    </row>
    <row r="53" customFormat="false" ht="15" hidden="false" customHeight="false" outlineLevel="0" collapsed="false">
      <c r="A53" s="7" t="s">
        <v>112</v>
      </c>
      <c r="F53" s="15" t="n">
        <f aca="false">$N$23*$N$14</f>
        <v>158.978672985782</v>
      </c>
      <c r="G53" s="15" t="n">
        <f aca="false">$N$23*$N$14</f>
        <v>158.978672985782</v>
      </c>
      <c r="H53" s="15" t="n">
        <f aca="false">$N$23*$N$14</f>
        <v>158.978672985782</v>
      </c>
      <c r="I53" s="15" t="n">
        <f aca="false">$N$23*$N$14</f>
        <v>158.978672985782</v>
      </c>
      <c r="J53" s="15" t="n">
        <f aca="false">$N$23*$N$14</f>
        <v>158.978672985782</v>
      </c>
    </row>
    <row r="54" customFormat="false" ht="15" hidden="false" customHeight="false" outlineLevel="0" collapsed="false">
      <c r="A54" s="7" t="s">
        <v>113</v>
      </c>
      <c r="F54" s="15" t="n">
        <f aca="false">F50+F51-F52-F53</f>
        <v>2006.84769789936</v>
      </c>
      <c r="G54" s="15" t="n">
        <f aca="false">G50+G51-G52-G53</f>
        <v>2097.55106627066</v>
      </c>
      <c r="H54" s="15" t="n">
        <f aca="false">H50+H51-H52-H53</f>
        <v>2208.22779510427</v>
      </c>
      <c r="I54" s="15" t="n">
        <f aca="false">I50+I51-I52-I53</f>
        <v>2343.27612379659</v>
      </c>
      <c r="J54" s="15" t="n">
        <f aca="false">J50+J51-J52-J53</f>
        <v>2508.06280727372</v>
      </c>
    </row>
    <row r="55" customFormat="false" ht="15" hidden="false" customHeight="false" outlineLevel="0" collapsed="false">
      <c r="A55" s="7" t="s">
        <v>114</v>
      </c>
      <c r="F55" s="15" t="n">
        <f aca="false">MAX(0,F54)*$N$18</f>
        <v>0</v>
      </c>
      <c r="G55" s="15" t="n">
        <f aca="false">MAX(0,G54)*$N$18</f>
        <v>0</v>
      </c>
      <c r="H55" s="15" t="n">
        <f aca="false">MAX(0,H54)*$N$18</f>
        <v>0</v>
      </c>
      <c r="I55" s="15" t="n">
        <f aca="false">MAX(0,I54)*$N$18</f>
        <v>0</v>
      </c>
      <c r="J55" s="15" t="n">
        <f aca="false">MAX(0,J54)*$N$18</f>
        <v>0</v>
      </c>
    </row>
    <row r="56" customFormat="false" ht="15" hidden="false" customHeight="false" outlineLevel="0" collapsed="false">
      <c r="A56" s="7" t="s">
        <v>115</v>
      </c>
      <c r="F56" s="15" t="n">
        <f aca="false">F54-F55</f>
        <v>2006.84769789936</v>
      </c>
      <c r="G56" s="15" t="n">
        <f aca="false">G54-G55</f>
        <v>2097.55106627066</v>
      </c>
      <c r="H56" s="15" t="n">
        <f aca="false">H54-H55</f>
        <v>2208.22779510427</v>
      </c>
      <c r="I56" s="15" t="n">
        <f aca="false">I54-I55</f>
        <v>2343.27612379659</v>
      </c>
      <c r="J56" s="15" t="n">
        <f aca="false">J54-J55</f>
        <v>2508.06280727372</v>
      </c>
    </row>
    <row r="57" customFormat="false" ht="15" hidden="false" customHeight="false" outlineLevel="0" collapsed="false">
      <c r="A57" s="13" t="s">
        <v>116</v>
      </c>
      <c r="F57" s="22" t="n">
        <f aca="false">F56/$N$21</f>
        <v>1.81188849575601</v>
      </c>
      <c r="G57" s="22" t="n">
        <f aca="false">G56/$N$21</f>
        <v>1.89378030540869</v>
      </c>
      <c r="H57" s="22" t="n">
        <f aca="false">H56/$N$21</f>
        <v>1.993705123785</v>
      </c>
      <c r="I57" s="22" t="n">
        <f aca="false">I56/$N$21</f>
        <v>2.11563391458702</v>
      </c>
      <c r="J57" s="22" t="n">
        <f aca="false">J56/$N$21</f>
        <v>2.26441206868339</v>
      </c>
    </row>
    <row r="58" customFormat="false" ht="15" hidden="false" customHeight="false" outlineLevel="0" collapsed="false">
      <c r="A58" s="13" t="s">
        <v>117</v>
      </c>
      <c r="F58" s="18" t="n">
        <f aca="false">$N$15</f>
        <v>0.976890656063618</v>
      </c>
      <c r="G58" s="18" t="n">
        <f aca="false">$N$15</f>
        <v>0.976890656063618</v>
      </c>
      <c r="H58" s="18" t="n">
        <f aca="false">$N$15</f>
        <v>0.976890656063618</v>
      </c>
      <c r="I58" s="18" t="n">
        <f aca="false">$N$15</f>
        <v>0.976890656063618</v>
      </c>
      <c r="J58" s="18" t="n">
        <f aca="false">$N$15</f>
        <v>0.976890656063618</v>
      </c>
    </row>
    <row r="59" customFormat="false" ht="15" hidden="false" customHeight="false" outlineLevel="0" collapsed="false">
      <c r="A59" s="7" t="s">
        <v>118</v>
      </c>
      <c r="F59" s="22" t="n">
        <f aca="false">MIN(MAX(0,F57)*F58,MAX(0,$N$30*(1+$N$16)))</f>
        <v>1.44</v>
      </c>
      <c r="G59" s="22" t="n">
        <f aca="false">MIN(MAX(0,G57)*G58,MAX(0,F59*(1+$N$16)))</f>
        <v>1.44</v>
      </c>
      <c r="H59" s="22" t="n">
        <f aca="false">MIN(MAX(0,H57)*H58,MAX(0,G59*(1+$N$16)))</f>
        <v>1.44</v>
      </c>
      <c r="I59" s="22" t="n">
        <f aca="false">MIN(MAX(0,I57)*I58,MAX(0,H59*(1+$N$16)))</f>
        <v>1.44</v>
      </c>
      <c r="J59" s="22" t="n">
        <f aca="false">MIN(MAX(0,J57)*J58,MAX(0,I59*(1+$N$16)))</f>
        <v>1.44</v>
      </c>
    </row>
    <row r="60" customFormat="false" ht="15" hidden="false" customHeight="false" outlineLevel="0" collapsed="false">
      <c r="A60" s="13" t="s">
        <v>119</v>
      </c>
      <c r="F60" s="22" t="n">
        <f aca="false">$N$17</f>
        <v>0</v>
      </c>
      <c r="G60" s="22" t="n">
        <f aca="false">$N$17</f>
        <v>0</v>
      </c>
      <c r="H60" s="22" t="n">
        <f aca="false">$N$17</f>
        <v>0</v>
      </c>
      <c r="I60" s="22" t="n">
        <f aca="false">$N$17</f>
        <v>0</v>
      </c>
      <c r="J60" s="22" t="n">
        <f aca="false">$N$17</f>
        <v>0</v>
      </c>
    </row>
    <row r="61" customFormat="false" ht="15" hidden="false" customHeight="false" outlineLevel="0" collapsed="false">
      <c r="A61" s="7" t="s">
        <v>120</v>
      </c>
      <c r="F61" s="22" t="n">
        <f aca="false">F38+F57-F59+F60</f>
        <v>9.25188849575601</v>
      </c>
      <c r="G61" s="22" t="n">
        <f aca="false">G38+G57-G59+G60</f>
        <v>9.7056688011647</v>
      </c>
      <c r="H61" s="22" t="n">
        <f aca="false">H38+H57-H59+H60</f>
        <v>10.2593739249497</v>
      </c>
      <c r="I61" s="22" t="n">
        <f aca="false">I38+I57-I59+I60</f>
        <v>10.9350078395367</v>
      </c>
      <c r="J61" s="22" t="n">
        <f aca="false">J38+J57-J59+J60</f>
        <v>11.7594199082201</v>
      </c>
    </row>
    <row r="62" customFormat="false" ht="15" hidden="false" customHeight="false" outlineLevel="0" collapsed="false">
      <c r="A62" s="7" t="s">
        <v>121</v>
      </c>
      <c r="F62" s="22" t="n">
        <f aca="false">F57-$N$19*F38</f>
        <v>0.373241918585405</v>
      </c>
      <c r="G62" s="22" t="n">
        <f aca="false">G57-$N$19*G38</f>
        <v>0.394884166131267</v>
      </c>
      <c r="H62" s="22" t="n">
        <f aca="false">H57-$N$19*H38</f>
        <v>0.421292150817986</v>
      </c>
      <c r="I62" s="22" t="n">
        <f aca="false">I57-$N$19*I38</f>
        <v>0.453515313118303</v>
      </c>
      <c r="J62" s="22" t="n">
        <f aca="false">J57-$N$19*J38</f>
        <v>0.492834185836176</v>
      </c>
    </row>
    <row r="63" customFormat="false" ht="15" hidden="false" customHeight="false" outlineLevel="0" collapsed="false">
      <c r="A63" s="7" t="s">
        <v>122</v>
      </c>
      <c r="F63" s="18" t="n">
        <f aca="false">1/(1+$N$19)^1</f>
        <v>0.860577977314048</v>
      </c>
      <c r="G63" s="18" t="n">
        <f aca="false">1/(1+$N$19)^2</f>
        <v>0.740594455037938</v>
      </c>
      <c r="H63" s="18" t="n">
        <f aca="false">1/(1+$N$19)^3</f>
        <v>0.637339278126548</v>
      </c>
      <c r="I63" s="18" t="n">
        <f aca="false">1/(1+$N$19)^4</f>
        <v>0.54848014683294</v>
      </c>
      <c r="J63" s="18" t="n">
        <f aca="false">1/(1+$N$19)^5</f>
        <v>0.472009935358403</v>
      </c>
    </row>
    <row r="64" customFormat="false" ht="15" hidden="false" customHeight="false" outlineLevel="0" collapsed="false">
      <c r="A64" s="7" t="s">
        <v>123</v>
      </c>
      <c r="F64" s="22" t="n">
        <f aca="false">F62*F63</f>
        <v>0.321203775345042</v>
      </c>
      <c r="G64" s="22" t="n">
        <f aca="false">G62*G63</f>
        <v>0.292449023819096</v>
      </c>
      <c r="H64" s="22" t="n">
        <f aca="false">H62*H63</f>
        <v>0.268506035282716</v>
      </c>
      <c r="I64" s="22" t="n">
        <f aca="false">I62*I63</f>
        <v>0.248744145530114</v>
      </c>
      <c r="J64" s="22" t="n">
        <f aca="false">J62*J63</f>
        <v>0.232622632198945</v>
      </c>
    </row>
    <row r="65" customFormat="false" ht="15" hidden="false" customHeight="false" outlineLevel="0" collapsed="false">
      <c r="A65" s="7" t="s">
        <v>124</v>
      </c>
      <c r="F65" s="15" t="n">
        <f aca="false">F50-(F43-F49)</f>
        <v>0</v>
      </c>
      <c r="G65" s="15" t="n">
        <f aca="false">G50-(G43-G49)</f>
        <v>0</v>
      </c>
      <c r="H65" s="15" t="n">
        <f aca="false">H50-(H43-H49)</f>
        <v>0</v>
      </c>
      <c r="I65" s="15" t="n">
        <f aca="false">I50-(I43-I49)</f>
        <v>0</v>
      </c>
      <c r="J65" s="15" t="n">
        <f aca="false">J50-(J43-J49)</f>
        <v>0</v>
      </c>
    </row>
    <row r="66" customFormat="false" ht="15" hidden="false" customHeight="false" outlineLevel="0" collapsed="false">
      <c r="A66" s="7" t="s">
        <v>125</v>
      </c>
      <c r="F66" s="22" t="n">
        <f aca="false">F61-(F38+F57-F59+F60)</f>
        <v>0</v>
      </c>
      <c r="G66" s="22" t="n">
        <f aca="false">G61-(G38+G57-G59+G60)</f>
        <v>0</v>
      </c>
      <c r="H66" s="22" t="n">
        <f aca="false">H61-(H38+H57-H59+H60)</f>
        <v>0</v>
      </c>
      <c r="I66" s="22" t="n">
        <f aca="false">I61-(I38+I57-I59+I60)</f>
        <v>0</v>
      </c>
      <c r="J66" s="22" t="n">
        <f aca="false">J61-(J38+J57-J59+J60)</f>
        <v>0</v>
      </c>
    </row>
    <row r="68" customFormat="false" ht="15" hidden="false" customHeight="false" outlineLevel="0" collapsed="false">
      <c r="A68" s="3" t="s">
        <v>126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customFormat="false" ht="15" hidden="false" customHeight="false" outlineLevel="0" collapsed="false">
      <c r="A69" s="10" t="s">
        <v>127</v>
      </c>
      <c r="B69" s="22" t="n">
        <f aca="false">J62*(1+$N$20)/($N$19-$N$20)</f>
        <v>3.68700068175333</v>
      </c>
      <c r="D69" s="10" t="s">
        <v>128</v>
      </c>
      <c r="E69" s="26" t="s">
        <v>129</v>
      </c>
    </row>
    <row r="70" customFormat="false" ht="15" hidden="false" customHeight="false" outlineLevel="0" collapsed="false">
      <c r="A70" s="10" t="s">
        <v>130</v>
      </c>
      <c r="B70" s="22" t="n">
        <f aca="false">B69*J63</f>
        <v>1.74030095346078</v>
      </c>
      <c r="D70" s="10" t="s">
        <v>131</v>
      </c>
      <c r="E70" s="26" t="s">
        <v>132</v>
      </c>
    </row>
    <row r="71" customFormat="false" ht="15" hidden="false" customHeight="false" outlineLevel="0" collapsed="false">
      <c r="A71" s="10" t="s">
        <v>133</v>
      </c>
      <c r="B71" s="27" t="n">
        <f aca="false">N22+SUM(F64:J64)+B70</f>
        <v>11.9838265656367</v>
      </c>
    </row>
    <row r="72" customFormat="false" ht="15" hidden="false" customHeight="false" outlineLevel="0" collapsed="false">
      <c r="A72" s="10" t="s">
        <v>134</v>
      </c>
      <c r="B72" s="15" t="n">
        <f aca="false">B71*N21</f>
        <v>13273.2863040992</v>
      </c>
    </row>
    <row r="73" customFormat="false" ht="15" hidden="false" customHeight="false" outlineLevel="0" collapsed="false">
      <c r="A73" s="10" t="s">
        <v>70</v>
      </c>
      <c r="B73" s="27" t="n">
        <f aca="false">N24</f>
        <v>8.79</v>
      </c>
    </row>
    <row r="74" customFormat="false" ht="15" hidden="false" customHeight="false" outlineLevel="0" collapsed="false">
      <c r="A74" s="10" t="s">
        <v>135</v>
      </c>
      <c r="B74" s="18" t="n">
        <f aca="false">B71/B73-1</f>
        <v>0.363347732154345</v>
      </c>
    </row>
    <row r="77" customFormat="false" ht="15" hidden="false" customHeight="false" outlineLevel="0" collapsed="false">
      <c r="A77" s="3" t="s">
        <v>136</v>
      </c>
      <c r="B77" s="3"/>
      <c r="C77" s="3"/>
      <c r="D77" s="3"/>
      <c r="E77" s="3"/>
      <c r="F77" s="3"/>
      <c r="G77" s="3"/>
    </row>
    <row r="78" customFormat="false" ht="15" hidden="false" customHeight="false" outlineLevel="0" collapsed="false">
      <c r="C78" s="18" t="n">
        <f aca="false">$N$20+-2*0.005</f>
        <v>0.015</v>
      </c>
      <c r="D78" s="18" t="n">
        <f aca="false">$N$20+-1*0.005</f>
        <v>0.02</v>
      </c>
      <c r="E78" s="18" t="n">
        <f aca="false">$N$20+0*0.005</f>
        <v>0.025</v>
      </c>
      <c r="F78" s="18" t="n">
        <f aca="false">$N$20+1*0.005</f>
        <v>0.03</v>
      </c>
      <c r="G78" s="18" t="n">
        <f aca="false">$N$20+2*0.005</f>
        <v>0.035</v>
      </c>
    </row>
    <row r="79" customFormat="false" ht="15" hidden="false" customHeight="false" outlineLevel="0" collapsed="false">
      <c r="B79" s="18" t="n">
        <f aca="false">$N$19+(-0.01)</f>
        <v>0.152009749681374</v>
      </c>
      <c r="C79" s="27" t="n">
        <f aca="false">$N$22+$F$62/(1+$B79)^1+$G$62/(1+$B79)^2+$H$62/(1+$B79)^3+$I$62/(1+$B79)^4+$J$62/(1+$B79)^5+$J$62*(1+C$78)/($B79-C$78)/(1+$B79)^5</f>
        <v>12.0769179993251</v>
      </c>
      <c r="D79" s="27" t="n">
        <f aca="false">$N$22+$F$62/(1+$B79)^1+$G$62/(1+$B79)^2+$H$62/(1+$B79)^3+$I$62/(1+$B79)^4+$J$62/(1+$B79)^5+$J$62*(1+D$78)/($B79-D$78)/(1+$B79)^5</f>
        <v>12.1542730599498</v>
      </c>
      <c r="E79" s="27" t="n">
        <f aca="false">$N$22+$F$62/(1+$B79)^1+$G$62/(1+$B79)^2+$H$62/(1+$B79)^3+$I$62/(1+$B79)^4+$J$62/(1+$B79)^5+$J$62*(1+E$78)/($B79-E$78)/(1+$B79)^5</f>
        <v>12.237718602669</v>
      </c>
      <c r="F79" s="27" t="n">
        <f aca="false">$N$22+$F$62/(1+$B79)^1+$G$62/(1+$B79)^2+$H$62/(1+$B79)^3+$I$62/(1+$B79)^4+$J$62/(1+$B79)^5+$J$62*(1+F$78)/($B79-F$78)/(1+$B79)^5</f>
        <v>12.32800339741</v>
      </c>
      <c r="G79" s="27" t="n">
        <f aca="false">$N$22+$F$62/(1+$B79)^1+$G$62/(1+$B79)^2+$H$62/(1+$B79)^3+$I$62/(1+$B79)^4+$J$62/(1+$B79)^5+$J$62*(1+G$78)/($B79-G$78)/(1+$B79)^5</f>
        <v>12.4260041982946</v>
      </c>
    </row>
    <row r="80" customFormat="false" ht="15" hidden="false" customHeight="false" outlineLevel="0" collapsed="false">
      <c r="B80" s="18" t="n">
        <f aca="false">$N$19+(-0.005)</f>
        <v>0.157009749681374</v>
      </c>
      <c r="C80" s="27" t="n">
        <f aca="false">$N$22+$F$62/(1+$B80)^1+$G$62/(1+$B80)^2+$H$62/(1+$B80)^3+$I$62/(1+$B80)^4+$J$62/(1+$B80)^5+$J$62*(1+C$78)/($B80-C$78)/(1+$B80)^5</f>
        <v>11.9592241695669</v>
      </c>
      <c r="D80" s="27" t="n">
        <f aca="false">$N$22+$F$62/(1+$B80)^1+$G$62/(1+$B80)^2+$H$62/(1+$B80)^3+$I$62/(1+$B80)^4+$J$62/(1+$B80)^5+$J$62*(1+D$78)/($B80-D$78)/(1+$B80)^5</f>
        <v>12.029897103411</v>
      </c>
      <c r="E80" s="27" t="n">
        <f aca="false">$N$22+$F$62/(1+$B80)^1+$G$62/(1+$B80)^2+$H$62/(1+$B80)^3+$I$62/(1+$B80)^4+$J$62/(1+$B80)^5+$J$62*(1+E$78)/($B80-E$78)/(1+$B80)^5</f>
        <v>12.1059236519703</v>
      </c>
      <c r="F80" s="27" t="n">
        <f aca="false">$N$22+$F$62/(1+$B80)^1+$G$62/(1+$B80)^2+$H$62/(1+$B80)^3+$I$62/(1+$B80)^4+$J$62/(1+$B80)^5+$J$62*(1+F$78)/($B80-F$78)/(1+$B80)^5</f>
        <v>12.1879360834048</v>
      </c>
      <c r="G80" s="27" t="n">
        <f aca="false">$N$22+$F$62/(1+$B80)^1+$G$62/(1+$B80)^2+$H$62/(1+$B80)^3+$I$62/(1+$B80)^4+$J$62/(1+$B80)^5+$J$62*(1+G$78)/($B80-G$78)/(1+$B80)^5</f>
        <v>12.2766703081098</v>
      </c>
    </row>
    <row r="81" customFormat="false" ht="15" hidden="false" customHeight="false" outlineLevel="0" collapsed="false">
      <c r="B81" s="18" t="n">
        <f aca="false">$N$19+(0)</f>
        <v>0.162009749681374</v>
      </c>
      <c r="C81" s="27" t="n">
        <f aca="false">$N$22+$F$62/(1+$B81)^1+$G$62/(1+$B81)^2+$H$62/(1+$B81)^3+$I$62/(1+$B81)^4+$J$62/(1+$B81)^5+$J$62*(1+C$78)/($B81-C$78)/(1+$B81)^5</f>
        <v>11.8496229777838</v>
      </c>
      <c r="D81" s="27" t="n">
        <f aca="false">$N$22+$F$62/(1+$B81)^1+$G$62/(1+$B81)^2+$H$62/(1+$B81)^3+$I$62/(1+$B81)^4+$J$62/(1+$B81)^5+$J$62*(1+D$78)/($B81-D$78)/(1+$B81)^5</f>
        <v>11.9143621947014</v>
      </c>
      <c r="E81" s="27" t="n">
        <f aca="false">$N$22+$F$62/(1+$B81)^1+$G$62/(1+$B81)^2+$H$62/(1+$B81)^3+$I$62/(1+$B81)^4+$J$62/(1+$B81)^5+$J$62*(1+E$78)/($B81-E$78)/(1+$B81)^5</f>
        <v>11.9838265656367</v>
      </c>
      <c r="F81" s="27" t="n">
        <f aca="false">$N$22+$F$62/(1+$B81)^1+$G$62/(1+$B81)^2+$H$62/(1+$B81)^3+$I$62/(1+$B81)^4+$J$62/(1+$B81)^5+$J$62*(1+F$78)/($B81-F$78)/(1+$B81)^5</f>
        <v>12.0585530002531</v>
      </c>
      <c r="G81" s="27" t="n">
        <f aca="false">$N$22+$F$62/(1+$B81)^1+$G$62/(1+$B81)^2+$H$62/(1+$B81)^3+$I$62/(1+$B81)^4+$J$62/(1+$B81)^5+$J$62*(1+G$78)/($B81-G$78)/(1+$B81)^5</f>
        <v>12.1391629544265</v>
      </c>
    </row>
    <row r="82" customFormat="false" ht="15" hidden="false" customHeight="false" outlineLevel="0" collapsed="false">
      <c r="B82" s="18" t="n">
        <f aca="false">$N$19+(0.005)</f>
        <v>0.167009749681374</v>
      </c>
      <c r="C82" s="27" t="n">
        <f aca="false">$N$22+$F$62/(1+$B82)^1+$G$62/(1+$B82)^2+$H$62/(1+$B82)^3+$I$62/(1+$B82)^4+$J$62/(1+$B82)^5+$J$62*(1+C$78)/($B82-C$78)/(1+$B82)^5</f>
        <v>11.7473139581375</v>
      </c>
      <c r="D82" s="27" t="n">
        <f aca="false">$N$22+$F$62/(1+$B82)^1+$G$62/(1+$B82)^2+$H$62/(1+$B82)^3+$I$62/(1+$B82)^4+$J$62/(1+$B82)^5+$J$62*(1+D$78)/($B82-D$78)/(1+$B82)^5</f>
        <v>11.8067644306076</v>
      </c>
      <c r="E82" s="27" t="n">
        <f aca="false">$N$22+$F$62/(1+$B82)^1+$G$62/(1+$B82)^2+$H$62/(1+$B82)^3+$I$62/(1+$B82)^4+$J$62/(1+$B82)^5+$J$62*(1+E$78)/($B82-E$78)/(1+$B82)^5</f>
        <v>11.8704012686338</v>
      </c>
      <c r="F82" s="27" t="n">
        <f aca="false">$N$22+$F$62/(1+$B82)^1+$G$62/(1+$B82)^2+$H$62/(1+$B82)^3+$I$62/(1+$B82)^4+$J$62/(1+$B82)^5+$J$62*(1+F$78)/($B82-F$78)/(1+$B82)^5</f>
        <v>11.9386828007912</v>
      </c>
      <c r="G82" s="27" t="n">
        <f aca="false">$N$22+$F$62/(1+$B82)^1+$G$62/(1+$B82)^2+$H$62/(1+$B82)^3+$I$62/(1+$B82)^4+$J$62/(1+$B82)^5+$J$62*(1+G$78)/($B82-G$78)/(1+$B82)^5</f>
        <v>12.0121367942495</v>
      </c>
    </row>
    <row r="83" customFormat="false" ht="15" hidden="false" customHeight="false" outlineLevel="0" collapsed="false">
      <c r="B83" s="18" t="n">
        <f aca="false">$N$19+(0.01)</f>
        <v>0.172009749681374</v>
      </c>
      <c r="C83" s="27" t="n">
        <f aca="false">$N$22+$F$62/(1+$B83)^1+$G$62/(1+$B83)^2+$H$62/(1+$B83)^3+$I$62/(1+$B83)^4+$J$62/(1+$B83)^5+$J$62*(1+C$78)/($B83-C$78)/(1+$B83)^5</f>
        <v>11.6515986590209</v>
      </c>
      <c r="D83" s="27" t="n">
        <f aca="false">$N$22+$F$62/(1+$B83)^1+$G$62/(1+$B83)^2+$H$62/(1+$B83)^3+$I$62/(1+$B83)^4+$J$62/(1+$B83)^5+$J$62*(1+D$78)/($B83-D$78)/(1+$B83)^5</f>
        <v>11.7063188830422</v>
      </c>
      <c r="E83" s="27" t="n">
        <f aca="false">$N$22+$F$62/(1+$B83)^1+$G$62/(1+$B83)^2+$H$62/(1+$B83)^3+$I$62/(1+$B83)^4+$J$62/(1+$B83)^5+$J$62*(1+E$78)/($B83-E$78)/(1+$B83)^5</f>
        <v>11.764761324409</v>
      </c>
      <c r="F83" s="27" t="n">
        <f aca="false">$N$22+$F$62/(1+$B83)^1+$G$62/(1+$B83)^2+$H$62/(1+$B83)^3+$I$62/(1+$B83)^4+$J$62/(1+$B83)^5+$J$62*(1+F$78)/($B83-F$78)/(1+$B83)^5</f>
        <v>11.8273191480998</v>
      </c>
      <c r="G83" s="27" t="n">
        <f aca="false">$N$22+$F$62/(1+$B83)^1+$G$62/(1+$B83)^2+$H$62/(1+$B83)^3+$I$62/(1+$B83)^4+$J$62/(1+$B83)^5+$J$62*(1+G$78)/($B83-G$78)/(1+$B83)^5</f>
        <v>11.8944429113558</v>
      </c>
    </row>
  </sheetData>
  <autoFilter ref="A4:J34"/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48"/>
    <col collapsed="false" customWidth="true" hidden="false" outlineLevel="0" max="9" min="9" style="0" width="42"/>
    <col collapsed="false" customWidth="true" hidden="false" outlineLevel="0" max="11" min="10" style="0" width="52"/>
    <col collapsed="false" customWidth="true" hidden="false" outlineLevel="0" max="12" min="12" style="0" width="16"/>
    <col collapsed="false" customWidth="true" hidden="false" outlineLevel="0" max="13" min="13" style="0" width="24"/>
    <col collapsed="false" customWidth="true" hidden="false" outlineLevel="0" max="15" min="14" style="0" width="15"/>
  </cols>
  <sheetData>
    <row r="1" customFormat="false" ht="33.75" hidden="false" customHeight="true" outlineLevel="0" collapsed="false">
      <c r="A1" s="28" t="s">
        <v>137</v>
      </c>
      <c r="B1" s="28" t="s">
        <v>138</v>
      </c>
      <c r="C1" s="28" t="s">
        <v>139</v>
      </c>
      <c r="D1" s="28" t="s">
        <v>140</v>
      </c>
      <c r="E1" s="28" t="s">
        <v>141</v>
      </c>
      <c r="F1" s="28" t="s">
        <v>142</v>
      </c>
      <c r="G1" s="28" t="s">
        <v>143</v>
      </c>
      <c r="H1" s="28" t="s">
        <v>144</v>
      </c>
      <c r="I1" s="28" t="s">
        <v>145</v>
      </c>
      <c r="J1" s="28" t="s">
        <v>146</v>
      </c>
      <c r="K1" s="28" t="s">
        <v>147</v>
      </c>
      <c r="L1" s="28" t="s">
        <v>148</v>
      </c>
      <c r="M1" s="28" t="s">
        <v>149</v>
      </c>
      <c r="N1" s="28" t="s">
        <v>150</v>
      </c>
      <c r="O1" s="28" t="s">
        <v>151</v>
      </c>
    </row>
    <row r="2" customFormat="false" ht="24" hidden="false" customHeight="true" outlineLevel="0" collapsed="false">
      <c r="A2" s="29" t="n">
        <v>2022</v>
      </c>
      <c r="B2" s="29" t="s">
        <v>152</v>
      </c>
      <c r="C2" s="30" t="n">
        <v>40929000000</v>
      </c>
      <c r="D2" s="30" t="n">
        <v>40929</v>
      </c>
      <c r="E2" s="29" t="s">
        <v>153</v>
      </c>
      <c r="F2" s="29" t="s">
        <v>154</v>
      </c>
      <c r="G2" s="29" t="s">
        <v>155</v>
      </c>
      <c r="H2" s="31" t="s">
        <v>156</v>
      </c>
      <c r="I2" s="31" t="s">
        <v>157</v>
      </c>
      <c r="J2" s="31" t="s">
        <v>158</v>
      </c>
      <c r="K2" s="31" t="s">
        <v>159</v>
      </c>
      <c r="L2" s="31" t="s">
        <v>160</v>
      </c>
      <c r="M2" s="31" t="s">
        <v>161</v>
      </c>
      <c r="N2" s="31" t="s">
        <v>162</v>
      </c>
      <c r="O2" s="31" t="s">
        <v>163</v>
      </c>
    </row>
    <row r="3" customFormat="false" ht="24" hidden="false" customHeight="true" outlineLevel="0" collapsed="false">
      <c r="A3" s="29" t="n">
        <v>2022</v>
      </c>
      <c r="B3" s="29" t="s">
        <v>164</v>
      </c>
      <c r="C3" s="30" t="n">
        <v>51748000000</v>
      </c>
      <c r="D3" s="30" t="n">
        <v>51748</v>
      </c>
      <c r="E3" s="29" t="s">
        <v>153</v>
      </c>
      <c r="F3" s="29" t="s">
        <v>154</v>
      </c>
      <c r="G3" s="29" t="s">
        <v>155</v>
      </c>
      <c r="H3" s="31" t="s">
        <v>156</v>
      </c>
      <c r="I3" s="31" t="s">
        <v>165</v>
      </c>
      <c r="J3" s="31" t="s">
        <v>86</v>
      </c>
      <c r="K3" s="31" t="s">
        <v>159</v>
      </c>
      <c r="L3" s="31" t="s">
        <v>160</v>
      </c>
      <c r="M3" s="31" t="s">
        <v>161</v>
      </c>
      <c r="N3" s="31" t="s">
        <v>162</v>
      </c>
      <c r="O3" s="31" t="s">
        <v>163</v>
      </c>
    </row>
    <row r="4" customFormat="false" ht="24" hidden="false" customHeight="true" outlineLevel="0" collapsed="false">
      <c r="A4" s="29" t="n">
        <v>2022</v>
      </c>
      <c r="B4" s="29" t="s">
        <v>166</v>
      </c>
      <c r="C4" s="30" t="n">
        <v>36357000000</v>
      </c>
      <c r="D4" s="30" t="n">
        <v>36357</v>
      </c>
      <c r="E4" s="29" t="s">
        <v>153</v>
      </c>
      <c r="F4" s="29" t="s">
        <v>154</v>
      </c>
      <c r="G4" s="29" t="s">
        <v>155</v>
      </c>
      <c r="H4" s="31" t="s">
        <v>156</v>
      </c>
      <c r="I4" s="31" t="s">
        <v>167</v>
      </c>
      <c r="J4" s="31" t="s">
        <v>168</v>
      </c>
      <c r="K4" s="31" t="s">
        <v>159</v>
      </c>
      <c r="L4" s="31" t="s">
        <v>160</v>
      </c>
      <c r="M4" s="31" t="s">
        <v>161</v>
      </c>
      <c r="N4" s="31" t="s">
        <v>162</v>
      </c>
      <c r="O4" s="31" t="s">
        <v>163</v>
      </c>
    </row>
    <row r="5" customFormat="false" ht="24" hidden="false" customHeight="true" outlineLevel="0" collapsed="false">
      <c r="A5" s="29" t="n">
        <v>2022</v>
      </c>
      <c r="B5" s="29" t="s">
        <v>169</v>
      </c>
      <c r="C5" s="30" t="n">
        <v>43878000000</v>
      </c>
      <c r="D5" s="30" t="n">
        <v>43878</v>
      </c>
      <c r="E5" s="29" t="s">
        <v>153</v>
      </c>
      <c r="F5" s="29" t="s">
        <v>154</v>
      </c>
      <c r="G5" s="29" t="s">
        <v>155</v>
      </c>
      <c r="H5" s="31" t="s">
        <v>156</v>
      </c>
      <c r="I5" s="31" t="s">
        <v>170</v>
      </c>
      <c r="J5" s="31" t="s">
        <v>94</v>
      </c>
      <c r="K5" s="31" t="s">
        <v>159</v>
      </c>
      <c r="L5" s="31" t="s">
        <v>160</v>
      </c>
      <c r="M5" s="31" t="s">
        <v>161</v>
      </c>
      <c r="N5" s="31" t="s">
        <v>162</v>
      </c>
      <c r="O5" s="31" t="s">
        <v>163</v>
      </c>
    </row>
    <row r="6" customFormat="false" ht="24" hidden="false" customHeight="true" outlineLevel="0" collapsed="false">
      <c r="A6" s="29" t="n">
        <v>2022</v>
      </c>
      <c r="B6" s="29" t="s">
        <v>171</v>
      </c>
      <c r="C6" s="30" t="n">
        <v>7870000000</v>
      </c>
      <c r="D6" s="30" t="n">
        <v>7870</v>
      </c>
      <c r="E6" s="29" t="s">
        <v>153</v>
      </c>
      <c r="F6" s="29" t="s">
        <v>154</v>
      </c>
      <c r="G6" s="29" t="s">
        <v>155</v>
      </c>
      <c r="H6" s="31" t="s">
        <v>156</v>
      </c>
      <c r="I6" s="31" t="s">
        <v>172</v>
      </c>
      <c r="J6" s="31" t="s">
        <v>173</v>
      </c>
      <c r="K6" s="31" t="s">
        <v>159</v>
      </c>
      <c r="L6" s="31" t="s">
        <v>160</v>
      </c>
      <c r="M6" s="31" t="s">
        <v>161</v>
      </c>
      <c r="N6" s="31" t="s">
        <v>162</v>
      </c>
      <c r="O6" s="31" t="s">
        <v>163</v>
      </c>
    </row>
    <row r="7" customFormat="false" ht="24" hidden="false" customHeight="true" outlineLevel="0" collapsed="false">
      <c r="A7" s="29" t="n">
        <v>2022</v>
      </c>
      <c r="B7" s="29" t="s">
        <v>174</v>
      </c>
      <c r="C7" s="30" t="n">
        <v>10.76</v>
      </c>
      <c r="D7" s="30" t="n">
        <v>10.76</v>
      </c>
      <c r="E7" s="29" t="s">
        <v>175</v>
      </c>
      <c r="F7" s="29" t="s">
        <v>176</v>
      </c>
      <c r="G7" s="29" t="s">
        <v>155</v>
      </c>
      <c r="H7" s="31" t="s">
        <v>156</v>
      </c>
      <c r="I7" s="31" t="s">
        <v>177</v>
      </c>
      <c r="J7" s="31" t="s">
        <v>77</v>
      </c>
      <c r="K7" s="31" t="s">
        <v>159</v>
      </c>
      <c r="L7" s="31" t="s">
        <v>160</v>
      </c>
      <c r="M7" s="31" t="s">
        <v>161</v>
      </c>
      <c r="N7" s="31" t="s">
        <v>162</v>
      </c>
      <c r="O7" s="31" t="s">
        <v>163</v>
      </c>
    </row>
    <row r="8" customFormat="false" ht="24" hidden="false" customHeight="true" outlineLevel="0" collapsed="false">
      <c r="A8" s="29" t="n">
        <v>2022</v>
      </c>
      <c r="B8" s="29" t="s">
        <v>178</v>
      </c>
      <c r="C8" s="30" t="n">
        <v>9.84</v>
      </c>
      <c r="D8" s="30" t="n">
        <v>9.84</v>
      </c>
      <c r="E8" s="29" t="s">
        <v>175</v>
      </c>
      <c r="F8" s="29" t="s">
        <v>176</v>
      </c>
      <c r="G8" s="29" t="s">
        <v>155</v>
      </c>
      <c r="H8" s="31" t="s">
        <v>156</v>
      </c>
      <c r="I8" s="31" t="s">
        <v>179</v>
      </c>
      <c r="J8" s="31" t="s">
        <v>79</v>
      </c>
      <c r="K8" s="31" t="s">
        <v>159</v>
      </c>
      <c r="L8" s="31" t="s">
        <v>160</v>
      </c>
      <c r="M8" s="31" t="s">
        <v>161</v>
      </c>
      <c r="N8" s="31" t="s">
        <v>162</v>
      </c>
      <c r="O8" s="31" t="s">
        <v>163</v>
      </c>
    </row>
    <row r="9" customFormat="false" ht="15" hidden="false" customHeight="true" outlineLevel="0" collapsed="false">
      <c r="A9" s="29" t="n">
        <v>2022</v>
      </c>
      <c r="B9" s="29" t="s">
        <v>180</v>
      </c>
      <c r="C9" s="29"/>
      <c r="D9" s="29"/>
      <c r="E9" s="29"/>
      <c r="F9" s="29"/>
      <c r="G9" s="29" t="s">
        <v>181</v>
      </c>
      <c r="H9" s="31" t="s">
        <v>182</v>
      </c>
      <c r="I9" s="31" t="s">
        <v>183</v>
      </c>
      <c r="J9" s="31"/>
      <c r="K9" s="31"/>
      <c r="L9" s="31"/>
      <c r="M9" s="31"/>
      <c r="N9" s="31"/>
      <c r="O9" s="31"/>
    </row>
    <row r="10" customFormat="false" ht="15" hidden="false" customHeight="true" outlineLevel="0" collapsed="false">
      <c r="A10" s="29" t="n">
        <v>2022</v>
      </c>
      <c r="B10" s="29" t="s">
        <v>184</v>
      </c>
      <c r="C10" s="29"/>
      <c r="D10" s="29"/>
      <c r="E10" s="29"/>
      <c r="F10" s="29"/>
      <c r="G10" s="29" t="s">
        <v>181</v>
      </c>
      <c r="H10" s="31" t="s">
        <v>182</v>
      </c>
      <c r="I10" s="31" t="s">
        <v>185</v>
      </c>
      <c r="J10" s="31"/>
      <c r="K10" s="31"/>
      <c r="L10" s="31"/>
      <c r="M10" s="31"/>
      <c r="N10" s="31"/>
      <c r="O10" s="31"/>
    </row>
    <row r="11" customFormat="false" ht="24" hidden="false" customHeight="true" outlineLevel="0" collapsed="false">
      <c r="A11" s="29" t="n">
        <v>2022</v>
      </c>
      <c r="B11" s="29" t="s">
        <v>186</v>
      </c>
      <c r="C11" s="29"/>
      <c r="D11" s="29"/>
      <c r="E11" s="29"/>
      <c r="F11" s="29"/>
      <c r="G11" s="29" t="s">
        <v>181</v>
      </c>
      <c r="H11" s="31" t="s">
        <v>182</v>
      </c>
      <c r="I11" s="31" t="s">
        <v>187</v>
      </c>
      <c r="J11" s="31"/>
      <c r="K11" s="31"/>
      <c r="L11" s="31"/>
      <c r="M11" s="31"/>
      <c r="N11" s="31"/>
      <c r="O11" s="31"/>
    </row>
    <row r="12" customFormat="false" ht="24" hidden="false" customHeight="true" outlineLevel="0" collapsed="false">
      <c r="A12" s="29" t="n">
        <v>2022</v>
      </c>
      <c r="B12" s="29" t="s">
        <v>188</v>
      </c>
      <c r="C12" s="30" t="n">
        <v>1590000000</v>
      </c>
      <c r="D12" s="30" t="n">
        <v>1590</v>
      </c>
      <c r="E12" s="29" t="s">
        <v>153</v>
      </c>
      <c r="F12" s="29" t="s">
        <v>154</v>
      </c>
      <c r="G12" s="29" t="s">
        <v>155</v>
      </c>
      <c r="H12" s="31" t="s">
        <v>156</v>
      </c>
      <c r="I12" s="31" t="s">
        <v>189</v>
      </c>
      <c r="J12" s="31" t="s">
        <v>14</v>
      </c>
      <c r="K12" s="31" t="s">
        <v>190</v>
      </c>
      <c r="L12" s="31" t="s">
        <v>160</v>
      </c>
      <c r="M12" s="31" t="s">
        <v>161</v>
      </c>
      <c r="N12" s="31" t="s">
        <v>162</v>
      </c>
      <c r="O12" s="31" t="s">
        <v>163</v>
      </c>
    </row>
    <row r="13" customFormat="false" ht="24" hidden="false" customHeight="true" outlineLevel="0" collapsed="false">
      <c r="A13" s="29" t="n">
        <v>2022</v>
      </c>
      <c r="B13" s="29" t="s">
        <v>191</v>
      </c>
      <c r="C13" s="30" t="n">
        <v>625000000</v>
      </c>
      <c r="D13" s="30" t="n">
        <v>625</v>
      </c>
      <c r="E13" s="29" t="s">
        <v>153</v>
      </c>
      <c r="F13" s="29" t="s">
        <v>154</v>
      </c>
      <c r="G13" s="29" t="s">
        <v>155</v>
      </c>
      <c r="H13" s="31" t="s">
        <v>156</v>
      </c>
      <c r="I13" s="31" t="s">
        <v>192</v>
      </c>
      <c r="J13" s="31" t="s">
        <v>16</v>
      </c>
      <c r="K13" s="31" t="s">
        <v>190</v>
      </c>
      <c r="L13" s="31" t="s">
        <v>160</v>
      </c>
      <c r="M13" s="31" t="s">
        <v>161</v>
      </c>
      <c r="N13" s="31" t="s">
        <v>162</v>
      </c>
      <c r="O13" s="31" t="s">
        <v>163</v>
      </c>
    </row>
    <row r="14" customFormat="false" ht="24" hidden="false" customHeight="true" outlineLevel="0" collapsed="false">
      <c r="A14" s="29" t="n">
        <v>2022</v>
      </c>
      <c r="B14" s="29" t="s">
        <v>193</v>
      </c>
      <c r="C14" s="30" t="n">
        <v>965000000</v>
      </c>
      <c r="D14" s="30" t="n">
        <v>965</v>
      </c>
      <c r="E14" s="29" t="s">
        <v>153</v>
      </c>
      <c r="F14" s="29" t="s">
        <v>154</v>
      </c>
      <c r="G14" s="29" t="s">
        <v>155</v>
      </c>
      <c r="H14" s="31" t="s">
        <v>156</v>
      </c>
      <c r="I14" s="31" t="s">
        <v>194</v>
      </c>
      <c r="J14" s="31" t="s">
        <v>19</v>
      </c>
      <c r="K14" s="31" t="s">
        <v>190</v>
      </c>
      <c r="L14" s="31" t="s">
        <v>160</v>
      </c>
      <c r="M14" s="31" t="s">
        <v>161</v>
      </c>
      <c r="N14" s="31" t="s">
        <v>162</v>
      </c>
      <c r="O14" s="31" t="s">
        <v>163</v>
      </c>
    </row>
    <row r="15" customFormat="false" ht="15" hidden="false" customHeight="true" outlineLevel="0" collapsed="false">
      <c r="A15" s="29" t="n">
        <v>2022</v>
      </c>
      <c r="B15" s="29" t="s">
        <v>195</v>
      </c>
      <c r="C15" s="29"/>
      <c r="D15" s="29"/>
      <c r="E15" s="29"/>
      <c r="F15" s="29"/>
      <c r="G15" s="29" t="s">
        <v>181</v>
      </c>
      <c r="H15" s="31" t="s">
        <v>182</v>
      </c>
      <c r="I15" s="31" t="s">
        <v>196</v>
      </c>
      <c r="J15" s="31"/>
      <c r="K15" s="31"/>
      <c r="L15" s="31"/>
      <c r="M15" s="31"/>
      <c r="N15" s="31"/>
      <c r="O15" s="31"/>
    </row>
    <row r="16" customFormat="false" ht="24" hidden="false" customHeight="true" outlineLevel="0" collapsed="false">
      <c r="A16" s="29" t="n">
        <v>2022</v>
      </c>
      <c r="B16" s="29" t="s">
        <v>197</v>
      </c>
      <c r="C16" s="30" t="n">
        <v>270000</v>
      </c>
      <c r="D16" s="30" t="n">
        <v>0.27</v>
      </c>
      <c r="E16" s="29" t="s">
        <v>153</v>
      </c>
      <c r="F16" s="29" t="s">
        <v>154</v>
      </c>
      <c r="G16" s="29" t="s">
        <v>155</v>
      </c>
      <c r="H16" s="31" t="s">
        <v>156</v>
      </c>
      <c r="I16" s="31" t="s">
        <v>198</v>
      </c>
      <c r="J16" s="31" t="s">
        <v>199</v>
      </c>
      <c r="K16" s="31" t="s">
        <v>200</v>
      </c>
      <c r="L16" s="31" t="s">
        <v>160</v>
      </c>
      <c r="M16" s="31" t="s">
        <v>161</v>
      </c>
      <c r="N16" s="31" t="s">
        <v>162</v>
      </c>
      <c r="O16" s="31" t="s">
        <v>163</v>
      </c>
    </row>
    <row r="17" customFormat="false" ht="15" hidden="false" customHeight="true" outlineLevel="0" collapsed="false">
      <c r="A17" s="29" t="n">
        <v>2022</v>
      </c>
      <c r="B17" s="29" t="s">
        <v>201</v>
      </c>
      <c r="C17" s="29"/>
      <c r="D17" s="29"/>
      <c r="E17" s="29"/>
      <c r="F17" s="29"/>
      <c r="G17" s="29" t="s">
        <v>181</v>
      </c>
      <c r="H17" s="31" t="s">
        <v>182</v>
      </c>
      <c r="I17" s="31" t="s">
        <v>202</v>
      </c>
      <c r="J17" s="31"/>
      <c r="K17" s="31"/>
      <c r="L17" s="31"/>
      <c r="M17" s="31"/>
      <c r="N17" s="31"/>
      <c r="O17" s="31"/>
    </row>
    <row r="18" customFormat="false" ht="24" hidden="false" customHeight="true" outlineLevel="0" collapsed="false">
      <c r="A18" s="29" t="n">
        <v>2022</v>
      </c>
      <c r="B18" s="29" t="s">
        <v>203</v>
      </c>
      <c r="C18" s="30" t="n">
        <v>74000000</v>
      </c>
      <c r="D18" s="30" t="n">
        <v>74</v>
      </c>
      <c r="E18" s="29" t="s">
        <v>153</v>
      </c>
      <c r="F18" s="29" t="s">
        <v>154</v>
      </c>
      <c r="G18" s="29" t="s">
        <v>155</v>
      </c>
      <c r="H18" s="31" t="s">
        <v>156</v>
      </c>
      <c r="I18" s="31" t="s">
        <v>204</v>
      </c>
      <c r="J18" s="31" t="s">
        <v>66</v>
      </c>
      <c r="K18" s="31" t="s">
        <v>190</v>
      </c>
      <c r="L18" s="31" t="s">
        <v>160</v>
      </c>
      <c r="M18" s="31" t="s">
        <v>161</v>
      </c>
      <c r="N18" s="31" t="s">
        <v>162</v>
      </c>
      <c r="O18" s="31" t="s">
        <v>163</v>
      </c>
    </row>
    <row r="19" customFormat="false" ht="24" hidden="false" customHeight="true" outlineLevel="0" collapsed="false">
      <c r="A19" s="29" t="n">
        <v>2022</v>
      </c>
      <c r="B19" s="29" t="s">
        <v>205</v>
      </c>
      <c r="C19" s="30" t="n">
        <v>-1190000000</v>
      </c>
      <c r="D19" s="30" t="n">
        <v>-1190</v>
      </c>
      <c r="E19" s="29" t="s">
        <v>153</v>
      </c>
      <c r="F19" s="29" t="s">
        <v>154</v>
      </c>
      <c r="G19" s="29" t="s">
        <v>155</v>
      </c>
      <c r="H19" s="31" t="s">
        <v>156</v>
      </c>
      <c r="I19" s="31" t="s">
        <v>206</v>
      </c>
      <c r="J19" s="31" t="s">
        <v>207</v>
      </c>
      <c r="K19" s="31" t="s">
        <v>190</v>
      </c>
      <c r="L19" s="31" t="s">
        <v>160</v>
      </c>
      <c r="M19" s="31" t="s">
        <v>161</v>
      </c>
      <c r="N19" s="31" t="s">
        <v>162</v>
      </c>
      <c r="O19" s="31" t="s">
        <v>163</v>
      </c>
    </row>
    <row r="20" customFormat="false" ht="24" hidden="false" customHeight="true" outlineLevel="0" collapsed="false">
      <c r="A20" s="29" t="n">
        <v>2022</v>
      </c>
      <c r="B20" s="29" t="s">
        <v>208</v>
      </c>
      <c r="C20" s="30" t="n">
        <v>105000000</v>
      </c>
      <c r="D20" s="30" t="n">
        <v>105</v>
      </c>
      <c r="E20" s="29" t="s">
        <v>153</v>
      </c>
      <c r="F20" s="29" t="s">
        <v>154</v>
      </c>
      <c r="G20" s="29" t="s">
        <v>155</v>
      </c>
      <c r="H20" s="31" t="s">
        <v>156</v>
      </c>
      <c r="I20" s="31" t="s">
        <v>209</v>
      </c>
      <c r="J20" s="31" t="s">
        <v>210</v>
      </c>
      <c r="K20" s="31" t="s">
        <v>190</v>
      </c>
      <c r="L20" s="31" t="s">
        <v>160</v>
      </c>
      <c r="M20" s="31" t="s">
        <v>161</v>
      </c>
      <c r="N20" s="31" t="s">
        <v>162</v>
      </c>
      <c r="O20" s="31" t="s">
        <v>163</v>
      </c>
    </row>
    <row r="21" customFormat="false" ht="15" hidden="false" customHeight="true" outlineLevel="0" collapsed="false">
      <c r="A21" s="29" t="n">
        <v>2022</v>
      </c>
      <c r="B21" s="29" t="s">
        <v>211</v>
      </c>
      <c r="C21" s="29"/>
      <c r="D21" s="29"/>
      <c r="E21" s="29"/>
      <c r="F21" s="29"/>
      <c r="G21" s="29" t="s">
        <v>181</v>
      </c>
      <c r="H21" s="31" t="s">
        <v>182</v>
      </c>
      <c r="I21" s="31" t="s">
        <v>212</v>
      </c>
      <c r="J21" s="31"/>
      <c r="K21" s="31"/>
      <c r="L21" s="31"/>
      <c r="M21" s="31"/>
      <c r="N21" s="31"/>
      <c r="O21" s="31"/>
    </row>
    <row r="22" customFormat="false" ht="24" hidden="false" customHeight="true" outlineLevel="0" collapsed="false">
      <c r="A22" s="29" t="n">
        <v>2022</v>
      </c>
      <c r="B22" s="29" t="s">
        <v>213</v>
      </c>
      <c r="C22" s="30" t="n">
        <v>-973000000</v>
      </c>
      <c r="D22" s="30" t="n">
        <v>-973</v>
      </c>
      <c r="E22" s="29" t="s">
        <v>153</v>
      </c>
      <c r="F22" s="29" t="s">
        <v>154</v>
      </c>
      <c r="G22" s="29" t="s">
        <v>155</v>
      </c>
      <c r="H22" s="31" t="s">
        <v>156</v>
      </c>
      <c r="I22" s="31" t="s">
        <v>214</v>
      </c>
      <c r="J22" s="31" t="s">
        <v>215</v>
      </c>
      <c r="K22" s="31" t="s">
        <v>190</v>
      </c>
      <c r="L22" s="31" t="s">
        <v>160</v>
      </c>
      <c r="M22" s="31" t="s">
        <v>161</v>
      </c>
      <c r="N22" s="31" t="s">
        <v>162</v>
      </c>
      <c r="O22" s="31" t="s">
        <v>163</v>
      </c>
    </row>
    <row r="23" customFormat="false" ht="15" hidden="false" customHeight="true" outlineLevel="0" collapsed="false">
      <c r="A23" s="29" t="n">
        <v>2022</v>
      </c>
      <c r="B23" s="29" t="s">
        <v>216</v>
      </c>
      <c r="C23" s="29"/>
      <c r="D23" s="29"/>
      <c r="E23" s="29"/>
      <c r="F23" s="29"/>
      <c r="G23" s="29" t="s">
        <v>181</v>
      </c>
      <c r="H23" s="31" t="s">
        <v>182</v>
      </c>
      <c r="I23" s="31" t="s">
        <v>217</v>
      </c>
      <c r="J23" s="31"/>
      <c r="K23" s="31"/>
      <c r="L23" s="31"/>
      <c r="M23" s="31"/>
      <c r="N23" s="31"/>
      <c r="O23" s="31"/>
    </row>
    <row r="24" customFormat="false" ht="24" hidden="false" customHeight="true" outlineLevel="0" collapsed="false">
      <c r="A24" s="29" t="n">
        <v>2022</v>
      </c>
      <c r="B24" s="29" t="s">
        <v>218</v>
      </c>
      <c r="C24" s="29"/>
      <c r="D24" s="29"/>
      <c r="E24" s="29"/>
      <c r="F24" s="29"/>
      <c r="G24" s="29" t="s">
        <v>181</v>
      </c>
      <c r="H24" s="31" t="s">
        <v>182</v>
      </c>
      <c r="I24" s="31" t="s">
        <v>219</v>
      </c>
      <c r="J24" s="31"/>
      <c r="K24" s="31"/>
      <c r="L24" s="31"/>
      <c r="M24" s="31"/>
      <c r="N24" s="31"/>
      <c r="O24" s="31"/>
    </row>
    <row r="25" customFormat="false" ht="24" hidden="false" customHeight="true" outlineLevel="0" collapsed="false">
      <c r="A25" s="29" t="n">
        <v>2022</v>
      </c>
      <c r="B25" s="29" t="s">
        <v>220</v>
      </c>
      <c r="C25" s="30" t="n">
        <v>1.44</v>
      </c>
      <c r="D25" s="30" t="n">
        <v>1.44</v>
      </c>
      <c r="E25" s="29" t="s">
        <v>175</v>
      </c>
      <c r="F25" s="29" t="s">
        <v>176</v>
      </c>
      <c r="G25" s="29" t="s">
        <v>155</v>
      </c>
      <c r="H25" s="31" t="s">
        <v>156</v>
      </c>
      <c r="I25" s="31" t="s">
        <v>221</v>
      </c>
      <c r="J25" s="31" t="s">
        <v>222</v>
      </c>
      <c r="K25" s="31" t="s">
        <v>190</v>
      </c>
      <c r="L25" s="31" t="s">
        <v>160</v>
      </c>
      <c r="M25" s="31" t="s">
        <v>161</v>
      </c>
      <c r="N25" s="31" t="s">
        <v>162</v>
      </c>
      <c r="O25" s="31" t="s">
        <v>163</v>
      </c>
    </row>
    <row r="26" customFormat="false" ht="24" hidden="false" customHeight="true" outlineLevel="0" collapsed="false">
      <c r="A26" s="29" t="n">
        <v>2022</v>
      </c>
      <c r="B26" s="29" t="s">
        <v>223</v>
      </c>
      <c r="C26" s="30" t="n">
        <v>49195000000</v>
      </c>
      <c r="D26" s="30" t="n">
        <v>49195</v>
      </c>
      <c r="E26" s="29" t="s">
        <v>153</v>
      </c>
      <c r="F26" s="29" t="s">
        <v>154</v>
      </c>
      <c r="G26" s="29" t="s">
        <v>155</v>
      </c>
      <c r="H26" s="31" t="s">
        <v>156</v>
      </c>
      <c r="I26" s="31" t="s">
        <v>224</v>
      </c>
      <c r="J26" s="31" t="s">
        <v>42</v>
      </c>
      <c r="K26" s="31" t="s">
        <v>225</v>
      </c>
      <c r="L26" s="31" t="s">
        <v>160</v>
      </c>
      <c r="M26" s="31" t="s">
        <v>161</v>
      </c>
      <c r="N26" s="31" t="s">
        <v>162</v>
      </c>
      <c r="O26" s="31" t="s">
        <v>163</v>
      </c>
    </row>
    <row r="27" customFormat="false" ht="24" hidden="false" customHeight="true" outlineLevel="0" collapsed="false">
      <c r="A27" s="29" t="n">
        <v>2022</v>
      </c>
      <c r="B27" s="29" t="s">
        <v>226</v>
      </c>
      <c r="C27" s="30" t="n">
        <v>20631000000</v>
      </c>
      <c r="D27" s="30" t="n">
        <v>20631</v>
      </c>
      <c r="E27" s="29" t="s">
        <v>153</v>
      </c>
      <c r="F27" s="29" t="s">
        <v>154</v>
      </c>
      <c r="G27" s="29" t="s">
        <v>155</v>
      </c>
      <c r="H27" s="31" t="s">
        <v>156</v>
      </c>
      <c r="I27" s="31" t="s">
        <v>227</v>
      </c>
      <c r="J27" s="31" t="s">
        <v>45</v>
      </c>
      <c r="K27" s="31" t="s">
        <v>225</v>
      </c>
      <c r="L27" s="31" t="s">
        <v>160</v>
      </c>
      <c r="M27" s="31" t="s">
        <v>161</v>
      </c>
      <c r="N27" s="31" t="s">
        <v>162</v>
      </c>
      <c r="O27" s="31" t="s">
        <v>163</v>
      </c>
    </row>
    <row r="28" customFormat="false" ht="24" hidden="false" customHeight="true" outlineLevel="0" collapsed="false">
      <c r="A28" s="29" t="n">
        <v>2022</v>
      </c>
      <c r="B28" s="29" t="s">
        <v>228</v>
      </c>
      <c r="C28" s="30" t="n">
        <v>61028000000</v>
      </c>
      <c r="D28" s="30" t="n">
        <v>61028</v>
      </c>
      <c r="E28" s="29" t="s">
        <v>153</v>
      </c>
      <c r="F28" s="29" t="s">
        <v>154</v>
      </c>
      <c r="G28" s="29" t="s">
        <v>155</v>
      </c>
      <c r="H28" s="31" t="s">
        <v>156</v>
      </c>
      <c r="I28" s="31" t="s">
        <v>229</v>
      </c>
      <c r="J28" s="31" t="s">
        <v>230</v>
      </c>
      <c r="K28" s="31" t="s">
        <v>225</v>
      </c>
      <c r="L28" s="31" t="s">
        <v>160</v>
      </c>
      <c r="M28" s="31" t="s">
        <v>161</v>
      </c>
      <c r="N28" s="31" t="s">
        <v>162</v>
      </c>
      <c r="O28" s="31" t="s">
        <v>163</v>
      </c>
    </row>
    <row r="29" customFormat="false" ht="24" hidden="false" customHeight="true" outlineLevel="0" collapsed="false">
      <c r="A29" s="29" t="n">
        <v>2022</v>
      </c>
      <c r="B29" s="29" t="s">
        <v>231</v>
      </c>
      <c r="C29" s="30" t="n">
        <v>41363000000</v>
      </c>
      <c r="D29" s="30" t="n">
        <v>41363</v>
      </c>
      <c r="E29" s="29" t="s">
        <v>153</v>
      </c>
      <c r="F29" s="29" t="s">
        <v>154</v>
      </c>
      <c r="G29" s="29" t="s">
        <v>155</v>
      </c>
      <c r="H29" s="31" t="s">
        <v>156</v>
      </c>
      <c r="I29" s="31" t="s">
        <v>232</v>
      </c>
      <c r="J29" s="31" t="s">
        <v>233</v>
      </c>
      <c r="K29" s="31" t="s">
        <v>225</v>
      </c>
      <c r="L29" s="31" t="s">
        <v>160</v>
      </c>
      <c r="M29" s="31" t="s">
        <v>161</v>
      </c>
      <c r="N29" s="31" t="s">
        <v>162</v>
      </c>
      <c r="O29" s="31" t="s">
        <v>163</v>
      </c>
    </row>
    <row r="30" customFormat="false" ht="15" hidden="false" customHeight="true" outlineLevel="0" collapsed="false">
      <c r="A30" s="29" t="n">
        <v>2022</v>
      </c>
      <c r="B30" s="29" t="s">
        <v>234</v>
      </c>
      <c r="C30" s="30" t="n">
        <v>61994000000</v>
      </c>
      <c r="D30" s="30" t="n">
        <v>61994</v>
      </c>
      <c r="E30" s="29" t="s">
        <v>153</v>
      </c>
      <c r="F30" s="29" t="s">
        <v>154</v>
      </c>
      <c r="G30" s="29" t="s">
        <v>155</v>
      </c>
      <c r="H30" s="31" t="s">
        <v>156</v>
      </c>
      <c r="I30" s="31" t="s">
        <v>235</v>
      </c>
      <c r="J30" s="31" t="s">
        <v>236</v>
      </c>
      <c r="K30" s="31" t="s">
        <v>237</v>
      </c>
      <c r="L30" s="31" t="s">
        <v>160</v>
      </c>
      <c r="M30" s="31" t="s">
        <v>161</v>
      </c>
      <c r="N30" s="31" t="s">
        <v>162</v>
      </c>
      <c r="O30" s="31" t="s">
        <v>163</v>
      </c>
    </row>
    <row r="31" customFormat="false" ht="24" hidden="false" customHeight="true" outlineLevel="0" collapsed="false">
      <c r="A31" s="29" t="n">
        <v>2022</v>
      </c>
      <c r="B31" s="29" t="s">
        <v>238</v>
      </c>
      <c r="C31" s="30" t="n">
        <v>8475000000</v>
      </c>
      <c r="D31" s="30" t="n">
        <v>8475</v>
      </c>
      <c r="E31" s="29" t="s">
        <v>153</v>
      </c>
      <c r="F31" s="29" t="s">
        <v>154</v>
      </c>
      <c r="G31" s="29" t="s">
        <v>155</v>
      </c>
      <c r="H31" s="31" t="s">
        <v>156</v>
      </c>
      <c r="I31" s="31" t="s">
        <v>239</v>
      </c>
      <c r="J31" s="31" t="s">
        <v>240</v>
      </c>
      <c r="K31" s="31" t="s">
        <v>225</v>
      </c>
      <c r="L31" s="31" t="s">
        <v>160</v>
      </c>
      <c r="M31" s="31" t="s">
        <v>161</v>
      </c>
      <c r="N31" s="31" t="s">
        <v>162</v>
      </c>
      <c r="O31" s="31" t="s">
        <v>163</v>
      </c>
    </row>
    <row r="32" customFormat="false" ht="24" hidden="false" customHeight="true" outlineLevel="0" collapsed="false">
      <c r="A32" s="29" t="n">
        <v>2022</v>
      </c>
      <c r="B32" s="29" t="s">
        <v>241</v>
      </c>
      <c r="C32" s="30" t="n">
        <v>7.8</v>
      </c>
      <c r="D32" s="30" t="n">
        <v>7.8</v>
      </c>
      <c r="E32" s="29" t="s">
        <v>242</v>
      </c>
      <c r="F32" s="29" t="s">
        <v>243</v>
      </c>
      <c r="G32" s="29" t="s">
        <v>155</v>
      </c>
      <c r="H32" s="31" t="s">
        <v>156</v>
      </c>
      <c r="I32" s="31" t="s">
        <v>244</v>
      </c>
      <c r="J32" s="31" t="s">
        <v>54</v>
      </c>
      <c r="K32" s="31" t="s">
        <v>225</v>
      </c>
      <c r="L32" s="31" t="s">
        <v>160</v>
      </c>
      <c r="M32" s="31" t="s">
        <v>161</v>
      </c>
      <c r="N32" s="31" t="s">
        <v>162</v>
      </c>
      <c r="O32" s="31" t="s">
        <v>163</v>
      </c>
    </row>
    <row r="33" customFormat="false" ht="24" hidden="false" customHeight="true" outlineLevel="0" collapsed="false">
      <c r="A33" s="29" t="n">
        <v>2022</v>
      </c>
      <c r="B33" s="29" t="s">
        <v>245</v>
      </c>
      <c r="C33" s="30" t="n">
        <v>7.4</v>
      </c>
      <c r="D33" s="30" t="n">
        <v>7.4</v>
      </c>
      <c r="E33" s="29" t="s">
        <v>242</v>
      </c>
      <c r="F33" s="29" t="s">
        <v>243</v>
      </c>
      <c r="G33" s="29" t="s">
        <v>155</v>
      </c>
      <c r="H33" s="31" t="s">
        <v>156</v>
      </c>
      <c r="I33" s="31" t="s">
        <v>246</v>
      </c>
      <c r="J33" s="31" t="s">
        <v>247</v>
      </c>
      <c r="K33" s="31" t="s">
        <v>225</v>
      </c>
      <c r="L33" s="31" t="s">
        <v>160</v>
      </c>
      <c r="M33" s="31" t="s">
        <v>161</v>
      </c>
      <c r="N33" s="31" t="s">
        <v>162</v>
      </c>
      <c r="O33" s="31" t="s">
        <v>163</v>
      </c>
    </row>
    <row r="34" customFormat="false" ht="24" hidden="false" customHeight="true" outlineLevel="0" collapsed="false">
      <c r="A34" s="29" t="n">
        <v>2022</v>
      </c>
      <c r="B34" s="29" t="s">
        <v>248</v>
      </c>
      <c r="C34" s="30" t="n">
        <v>-0.284</v>
      </c>
      <c r="D34" s="30" t="n">
        <v>-28.4</v>
      </c>
      <c r="E34" s="29" t="s">
        <v>249</v>
      </c>
      <c r="F34" s="29" t="s">
        <v>250</v>
      </c>
      <c r="G34" s="29" t="s">
        <v>155</v>
      </c>
      <c r="H34" s="31" t="s">
        <v>156</v>
      </c>
      <c r="I34" s="31" t="s">
        <v>251</v>
      </c>
      <c r="J34" s="31" t="s">
        <v>252</v>
      </c>
      <c r="K34" s="31" t="s">
        <v>225</v>
      </c>
      <c r="L34" s="31" t="s">
        <v>160</v>
      </c>
      <c r="M34" s="31" t="s">
        <v>161</v>
      </c>
      <c r="N34" s="31" t="s">
        <v>162</v>
      </c>
      <c r="O34" s="31" t="s">
        <v>163</v>
      </c>
    </row>
    <row r="35" customFormat="false" ht="24" hidden="false" customHeight="true" outlineLevel="0" collapsed="false">
      <c r="A35" s="29" t="n">
        <v>2022</v>
      </c>
      <c r="B35" s="29" t="s">
        <v>253</v>
      </c>
      <c r="C35" s="29" t="n">
        <v>0.0012</v>
      </c>
      <c r="D35" s="30" t="n">
        <v>0.12</v>
      </c>
      <c r="E35" s="29" t="s">
        <v>249</v>
      </c>
      <c r="F35" s="29" t="s">
        <v>250</v>
      </c>
      <c r="G35" s="29" t="s">
        <v>155</v>
      </c>
      <c r="H35" s="31" t="s">
        <v>156</v>
      </c>
      <c r="I35" s="31" t="s">
        <v>254</v>
      </c>
      <c r="J35" s="31" t="s">
        <v>255</v>
      </c>
      <c r="K35" s="31" t="s">
        <v>225</v>
      </c>
      <c r="L35" s="31" t="s">
        <v>160</v>
      </c>
      <c r="M35" s="31" t="s">
        <v>161</v>
      </c>
      <c r="N35" s="31" t="s">
        <v>162</v>
      </c>
      <c r="O35" s="31" t="s">
        <v>163</v>
      </c>
    </row>
    <row r="36" customFormat="false" ht="24" hidden="false" customHeight="true" outlineLevel="0" collapsed="false">
      <c r="A36" s="29" t="n">
        <v>2022</v>
      </c>
      <c r="B36" s="29" t="s">
        <v>256</v>
      </c>
      <c r="C36" s="30" t="n">
        <v>0.03</v>
      </c>
      <c r="D36" s="30" t="n">
        <v>3</v>
      </c>
      <c r="E36" s="29" t="s">
        <v>249</v>
      </c>
      <c r="F36" s="29" t="s">
        <v>250</v>
      </c>
      <c r="G36" s="29" t="s">
        <v>155</v>
      </c>
      <c r="H36" s="31" t="s">
        <v>156</v>
      </c>
      <c r="I36" s="31" t="s">
        <v>257</v>
      </c>
      <c r="J36" s="31" t="s">
        <v>258</v>
      </c>
      <c r="K36" s="31" t="s">
        <v>259</v>
      </c>
      <c r="L36" s="31" t="s">
        <v>160</v>
      </c>
      <c r="M36" s="31" t="s">
        <v>161</v>
      </c>
      <c r="N36" s="31" t="s">
        <v>162</v>
      </c>
      <c r="O36" s="31" t="s">
        <v>163</v>
      </c>
    </row>
    <row r="37" customFormat="false" ht="24" hidden="false" customHeight="true" outlineLevel="0" collapsed="false">
      <c r="A37" s="29" t="n">
        <v>2022</v>
      </c>
      <c r="B37" s="29" t="s">
        <v>260</v>
      </c>
      <c r="C37" s="29" t="n">
        <v>0.0027</v>
      </c>
      <c r="D37" s="30" t="n">
        <v>0.27</v>
      </c>
      <c r="E37" s="29" t="s">
        <v>249</v>
      </c>
      <c r="F37" s="29" t="s">
        <v>250</v>
      </c>
      <c r="G37" s="29" t="s">
        <v>155</v>
      </c>
      <c r="H37" s="31" t="s">
        <v>156</v>
      </c>
      <c r="I37" s="31" t="s">
        <v>261</v>
      </c>
      <c r="J37" s="31" t="s">
        <v>262</v>
      </c>
      <c r="K37" s="31" t="s">
        <v>259</v>
      </c>
      <c r="L37" s="31" t="s">
        <v>160</v>
      </c>
      <c r="M37" s="31" t="s">
        <v>161</v>
      </c>
      <c r="N37" s="31" t="s">
        <v>162</v>
      </c>
      <c r="O37" s="31" t="s">
        <v>163</v>
      </c>
    </row>
    <row r="38" customFormat="false" ht="24" hidden="false" customHeight="true" outlineLevel="0" collapsed="false">
      <c r="A38" s="29" t="n">
        <v>2022</v>
      </c>
      <c r="B38" s="29" t="s">
        <v>263</v>
      </c>
      <c r="C38" s="30" t="n">
        <v>0.0273</v>
      </c>
      <c r="D38" s="30" t="n">
        <v>2.73</v>
      </c>
      <c r="E38" s="29" t="s">
        <v>249</v>
      </c>
      <c r="F38" s="29" t="s">
        <v>250</v>
      </c>
      <c r="G38" s="29" t="s">
        <v>155</v>
      </c>
      <c r="H38" s="31" t="s">
        <v>156</v>
      </c>
      <c r="I38" s="31" t="s">
        <v>264</v>
      </c>
      <c r="J38" s="31" t="s">
        <v>265</v>
      </c>
      <c r="K38" s="31" t="s">
        <v>259</v>
      </c>
      <c r="L38" s="31" t="s">
        <v>160</v>
      </c>
      <c r="M38" s="31" t="s">
        <v>161</v>
      </c>
      <c r="N38" s="31" t="s">
        <v>162</v>
      </c>
      <c r="O38" s="31" t="s">
        <v>163</v>
      </c>
    </row>
    <row r="39" customFormat="false" ht="15" hidden="false" customHeight="true" outlineLevel="0" collapsed="false">
      <c r="A39" s="29" t="n">
        <v>2022</v>
      </c>
      <c r="B39" s="29" t="s">
        <v>266</v>
      </c>
      <c r="C39" s="30" t="n">
        <v>49334000000</v>
      </c>
      <c r="D39" s="30" t="n">
        <v>49334</v>
      </c>
      <c r="E39" s="29" t="s">
        <v>153</v>
      </c>
      <c r="F39" s="29" t="s">
        <v>154</v>
      </c>
      <c r="G39" s="29" t="s">
        <v>155</v>
      </c>
      <c r="H39" s="31" t="s">
        <v>156</v>
      </c>
      <c r="I39" s="31" t="s">
        <v>267</v>
      </c>
      <c r="J39" s="31" t="s">
        <v>268</v>
      </c>
      <c r="K39" s="31" t="s">
        <v>237</v>
      </c>
      <c r="L39" s="31" t="s">
        <v>160</v>
      </c>
      <c r="M39" s="31" t="s">
        <v>161</v>
      </c>
      <c r="N39" s="31" t="s">
        <v>162</v>
      </c>
      <c r="O39" s="31" t="s">
        <v>163</v>
      </c>
    </row>
    <row r="40" customFormat="false" ht="24" hidden="false" customHeight="true" outlineLevel="0" collapsed="false">
      <c r="A40" s="29" t="n">
        <v>2022</v>
      </c>
      <c r="B40" s="29" t="s">
        <v>269</v>
      </c>
      <c r="C40" s="30" t="n">
        <v>0.8</v>
      </c>
      <c r="D40" s="30" t="n">
        <v>80</v>
      </c>
      <c r="E40" s="29" t="s">
        <v>249</v>
      </c>
      <c r="F40" s="29" t="s">
        <v>250</v>
      </c>
      <c r="G40" s="29" t="s">
        <v>155</v>
      </c>
      <c r="H40" s="31" t="s">
        <v>156</v>
      </c>
      <c r="I40" s="31" t="s">
        <v>270</v>
      </c>
      <c r="J40" s="31" t="s">
        <v>271</v>
      </c>
      <c r="K40" s="31" t="s">
        <v>237</v>
      </c>
      <c r="L40" s="31" t="s">
        <v>160</v>
      </c>
      <c r="M40" s="31" t="s">
        <v>161</v>
      </c>
      <c r="N40" s="31" t="s">
        <v>162</v>
      </c>
      <c r="O40" s="31" t="s">
        <v>163</v>
      </c>
    </row>
    <row r="41" customFormat="false" ht="15" hidden="false" customHeight="true" outlineLevel="0" collapsed="false">
      <c r="A41" s="29" t="n">
        <v>2022</v>
      </c>
      <c r="B41" s="29" t="s">
        <v>272</v>
      </c>
      <c r="C41" s="30" t="n">
        <v>-0.0135</v>
      </c>
      <c r="D41" s="30" t="n">
        <v>-1.35</v>
      </c>
      <c r="E41" s="29" t="s">
        <v>249</v>
      </c>
      <c r="F41" s="29" t="s">
        <v>250</v>
      </c>
      <c r="G41" s="29" t="s">
        <v>155</v>
      </c>
      <c r="H41" s="31" t="s">
        <v>156</v>
      </c>
      <c r="I41" s="31" t="s">
        <v>273</v>
      </c>
      <c r="J41" s="31" t="s">
        <v>274</v>
      </c>
      <c r="K41" s="31" t="s">
        <v>237</v>
      </c>
      <c r="L41" s="31" t="s">
        <v>160</v>
      </c>
      <c r="M41" s="31" t="s">
        <v>161</v>
      </c>
      <c r="N41" s="31" t="s">
        <v>162</v>
      </c>
      <c r="O41" s="31" t="s">
        <v>163</v>
      </c>
    </row>
    <row r="42" customFormat="false" ht="24" hidden="false" customHeight="true" outlineLevel="0" collapsed="false">
      <c r="A42" s="29" t="n">
        <v>2023</v>
      </c>
      <c r="B42" s="29" t="s">
        <v>152</v>
      </c>
      <c r="C42" s="30" t="n">
        <v>54868000000</v>
      </c>
      <c r="D42" s="30" t="n">
        <v>54868</v>
      </c>
      <c r="E42" s="29" t="s">
        <v>153</v>
      </c>
      <c r="F42" s="29" t="s">
        <v>154</v>
      </c>
      <c r="G42" s="29" t="s">
        <v>155</v>
      </c>
      <c r="H42" s="31" t="s">
        <v>156</v>
      </c>
      <c r="I42" s="31" t="s">
        <v>157</v>
      </c>
      <c r="J42" s="31" t="s">
        <v>158</v>
      </c>
      <c r="K42" s="31" t="s">
        <v>159</v>
      </c>
      <c r="L42" s="31" t="s">
        <v>275</v>
      </c>
      <c r="M42" s="31" t="s">
        <v>276</v>
      </c>
      <c r="N42" s="31" t="s">
        <v>277</v>
      </c>
      <c r="O42" s="31" t="s">
        <v>278</v>
      </c>
    </row>
    <row r="43" customFormat="false" ht="24" hidden="false" customHeight="true" outlineLevel="0" collapsed="false">
      <c r="A43" s="29" t="n">
        <v>2023</v>
      </c>
      <c r="B43" s="29" t="s">
        <v>164</v>
      </c>
      <c r="C43" s="30" t="n">
        <v>71596000000</v>
      </c>
      <c r="D43" s="30" t="n">
        <v>71596</v>
      </c>
      <c r="E43" s="29" t="s">
        <v>153</v>
      </c>
      <c r="F43" s="29" t="s">
        <v>154</v>
      </c>
      <c r="G43" s="29" t="s">
        <v>155</v>
      </c>
      <c r="H43" s="31" t="s">
        <v>156</v>
      </c>
      <c r="I43" s="31" t="s">
        <v>165</v>
      </c>
      <c r="J43" s="31" t="s">
        <v>86</v>
      </c>
      <c r="K43" s="31" t="s">
        <v>159</v>
      </c>
      <c r="L43" s="31" t="s">
        <v>275</v>
      </c>
      <c r="M43" s="31" t="s">
        <v>276</v>
      </c>
      <c r="N43" s="31" t="s">
        <v>277</v>
      </c>
      <c r="O43" s="31" t="s">
        <v>278</v>
      </c>
    </row>
    <row r="44" customFormat="false" ht="24" hidden="false" customHeight="true" outlineLevel="0" collapsed="false">
      <c r="A44" s="29" t="n">
        <v>2023</v>
      </c>
      <c r="B44" s="29" t="s">
        <v>166</v>
      </c>
      <c r="C44" s="30" t="n">
        <v>50506000000</v>
      </c>
      <c r="D44" s="30" t="n">
        <v>50506</v>
      </c>
      <c r="E44" s="29" t="s">
        <v>153</v>
      </c>
      <c r="F44" s="29" t="s">
        <v>154</v>
      </c>
      <c r="G44" s="29" t="s">
        <v>155</v>
      </c>
      <c r="H44" s="31" t="s">
        <v>156</v>
      </c>
      <c r="I44" s="31" t="s">
        <v>167</v>
      </c>
      <c r="J44" s="31" t="s">
        <v>168</v>
      </c>
      <c r="K44" s="31" t="s">
        <v>159</v>
      </c>
      <c r="L44" s="31" t="s">
        <v>275</v>
      </c>
      <c r="M44" s="31" t="s">
        <v>276</v>
      </c>
      <c r="N44" s="31" t="s">
        <v>277</v>
      </c>
      <c r="O44" s="31" t="s">
        <v>278</v>
      </c>
    </row>
    <row r="45" customFormat="false" ht="24" hidden="false" customHeight="true" outlineLevel="0" collapsed="false">
      <c r="A45" s="29" t="n">
        <v>2023</v>
      </c>
      <c r="B45" s="29" t="s">
        <v>169</v>
      </c>
      <c r="C45" s="30" t="n">
        <v>63339000000</v>
      </c>
      <c r="D45" s="30" t="n">
        <v>63339</v>
      </c>
      <c r="E45" s="29" t="s">
        <v>153</v>
      </c>
      <c r="F45" s="29" t="s">
        <v>154</v>
      </c>
      <c r="G45" s="29" t="s">
        <v>155</v>
      </c>
      <c r="H45" s="31" t="s">
        <v>156</v>
      </c>
      <c r="I45" s="31" t="s">
        <v>170</v>
      </c>
      <c r="J45" s="31" t="s">
        <v>94</v>
      </c>
      <c r="K45" s="31" t="s">
        <v>159</v>
      </c>
      <c r="L45" s="31" t="s">
        <v>275</v>
      </c>
      <c r="M45" s="31" t="s">
        <v>276</v>
      </c>
      <c r="N45" s="31" t="s">
        <v>277</v>
      </c>
      <c r="O45" s="31" t="s">
        <v>278</v>
      </c>
    </row>
    <row r="46" customFormat="false" ht="24" hidden="false" customHeight="true" outlineLevel="0" collapsed="false">
      <c r="A46" s="29" t="n">
        <v>2023</v>
      </c>
      <c r="B46" s="29" t="s">
        <v>171</v>
      </c>
      <c r="C46" s="30" t="n">
        <v>8257000000</v>
      </c>
      <c r="D46" s="30" t="n">
        <v>8257</v>
      </c>
      <c r="E46" s="29" t="s">
        <v>153</v>
      </c>
      <c r="F46" s="29" t="s">
        <v>154</v>
      </c>
      <c r="G46" s="29" t="s">
        <v>155</v>
      </c>
      <c r="H46" s="31" t="s">
        <v>156</v>
      </c>
      <c r="I46" s="31" t="s">
        <v>172</v>
      </c>
      <c r="J46" s="31" t="s">
        <v>173</v>
      </c>
      <c r="K46" s="31" t="s">
        <v>159</v>
      </c>
      <c r="L46" s="31" t="s">
        <v>275</v>
      </c>
      <c r="M46" s="31" t="s">
        <v>276</v>
      </c>
      <c r="N46" s="31" t="s">
        <v>277</v>
      </c>
      <c r="O46" s="31" t="s">
        <v>278</v>
      </c>
    </row>
    <row r="47" customFormat="false" ht="24" hidden="false" customHeight="true" outlineLevel="0" collapsed="false">
      <c r="A47" s="29" t="n">
        <v>2023</v>
      </c>
      <c r="B47" s="29" t="s">
        <v>174</v>
      </c>
      <c r="C47" s="30" t="n">
        <v>9.46</v>
      </c>
      <c r="D47" s="30" t="n">
        <v>9.46</v>
      </c>
      <c r="E47" s="29" t="s">
        <v>175</v>
      </c>
      <c r="F47" s="29" t="s">
        <v>176</v>
      </c>
      <c r="G47" s="29" t="s">
        <v>155</v>
      </c>
      <c r="H47" s="31" t="s">
        <v>156</v>
      </c>
      <c r="I47" s="31" t="s">
        <v>177</v>
      </c>
      <c r="J47" s="31" t="s">
        <v>77</v>
      </c>
      <c r="K47" s="31" t="s">
        <v>159</v>
      </c>
      <c r="L47" s="31" t="s">
        <v>275</v>
      </c>
      <c r="M47" s="31" t="s">
        <v>276</v>
      </c>
      <c r="N47" s="31" t="s">
        <v>277</v>
      </c>
      <c r="O47" s="31" t="s">
        <v>278</v>
      </c>
    </row>
    <row r="48" customFormat="false" ht="24" hidden="false" customHeight="true" outlineLevel="0" collapsed="false">
      <c r="A48" s="29" t="n">
        <v>2023</v>
      </c>
      <c r="B48" s="29" t="s">
        <v>178</v>
      </c>
      <c r="C48" s="30" t="n">
        <v>8.7</v>
      </c>
      <c r="D48" s="30" t="n">
        <v>8.7</v>
      </c>
      <c r="E48" s="29" t="s">
        <v>175</v>
      </c>
      <c r="F48" s="29" t="s">
        <v>176</v>
      </c>
      <c r="G48" s="29" t="s">
        <v>155</v>
      </c>
      <c r="H48" s="31" t="s">
        <v>156</v>
      </c>
      <c r="I48" s="31" t="s">
        <v>179</v>
      </c>
      <c r="J48" s="31" t="s">
        <v>79</v>
      </c>
      <c r="K48" s="31" t="s">
        <v>159</v>
      </c>
      <c r="L48" s="31" t="s">
        <v>275</v>
      </c>
      <c r="M48" s="31" t="s">
        <v>276</v>
      </c>
      <c r="N48" s="31" t="s">
        <v>277</v>
      </c>
      <c r="O48" s="31" t="s">
        <v>278</v>
      </c>
    </row>
    <row r="49" customFormat="false" ht="24" hidden="false" customHeight="true" outlineLevel="0" collapsed="false">
      <c r="A49" s="29" t="n">
        <v>2023</v>
      </c>
      <c r="B49" s="29" t="s">
        <v>180</v>
      </c>
      <c r="C49" s="30" t="n">
        <v>694300000</v>
      </c>
      <c r="D49" s="30" t="n">
        <v>694.3</v>
      </c>
      <c r="E49" s="29" t="s">
        <v>279</v>
      </c>
      <c r="F49" s="29" t="s">
        <v>154</v>
      </c>
      <c r="G49" s="29" t="s">
        <v>155</v>
      </c>
      <c r="H49" s="31" t="s">
        <v>156</v>
      </c>
      <c r="I49" s="31" t="s">
        <v>183</v>
      </c>
      <c r="J49" s="31" t="s">
        <v>280</v>
      </c>
      <c r="K49" s="31" t="s">
        <v>281</v>
      </c>
      <c r="L49" s="31" t="s">
        <v>275</v>
      </c>
      <c r="M49" s="31" t="s">
        <v>161</v>
      </c>
      <c r="N49" s="31" t="s">
        <v>162</v>
      </c>
      <c r="O49" s="31" t="s">
        <v>278</v>
      </c>
    </row>
    <row r="50" customFormat="false" ht="24" hidden="false" customHeight="true" outlineLevel="0" collapsed="false">
      <c r="A50" s="29" t="n">
        <v>2023</v>
      </c>
      <c r="B50" s="29" t="s">
        <v>184</v>
      </c>
      <c r="C50" s="30" t="n">
        <v>1634000000</v>
      </c>
      <c r="D50" s="30" t="n">
        <v>1634</v>
      </c>
      <c r="E50" s="29" t="s">
        <v>153</v>
      </c>
      <c r="F50" s="29" t="s">
        <v>154</v>
      </c>
      <c r="G50" s="29" t="s">
        <v>155</v>
      </c>
      <c r="H50" s="31" t="s">
        <v>156</v>
      </c>
      <c r="I50" s="31" t="s">
        <v>185</v>
      </c>
      <c r="J50" s="31" t="s">
        <v>282</v>
      </c>
      <c r="K50" s="31" t="s">
        <v>283</v>
      </c>
      <c r="L50" s="31" t="s">
        <v>275</v>
      </c>
      <c r="M50" s="31" t="s">
        <v>161</v>
      </c>
      <c r="N50" s="31" t="s">
        <v>162</v>
      </c>
      <c r="O50" s="31" t="s">
        <v>278</v>
      </c>
    </row>
    <row r="51" customFormat="false" ht="24" hidden="false" customHeight="true" outlineLevel="0" collapsed="false">
      <c r="A51" s="29" t="n">
        <v>2023</v>
      </c>
      <c r="B51" s="29" t="s">
        <v>186</v>
      </c>
      <c r="C51" s="30" t="n">
        <v>1688000000</v>
      </c>
      <c r="D51" s="30" t="n">
        <v>1688</v>
      </c>
      <c r="E51" s="29" t="s">
        <v>153</v>
      </c>
      <c r="F51" s="29" t="s">
        <v>154</v>
      </c>
      <c r="G51" s="29" t="s">
        <v>155</v>
      </c>
      <c r="H51" s="31" t="s">
        <v>156</v>
      </c>
      <c r="I51" s="31" t="s">
        <v>187</v>
      </c>
      <c r="J51" s="31" t="s">
        <v>284</v>
      </c>
      <c r="K51" s="31" t="s">
        <v>285</v>
      </c>
      <c r="L51" s="31" t="s">
        <v>275</v>
      </c>
      <c r="M51" s="31" t="s">
        <v>161</v>
      </c>
      <c r="N51" s="31" t="s">
        <v>162</v>
      </c>
      <c r="O51" s="31" t="s">
        <v>278</v>
      </c>
    </row>
    <row r="52" customFormat="false" ht="24" hidden="false" customHeight="true" outlineLevel="0" collapsed="false">
      <c r="A52" s="29" t="n">
        <v>2023</v>
      </c>
      <c r="B52" s="29" t="s">
        <v>188</v>
      </c>
      <c r="C52" s="30" t="n">
        <v>2041000000</v>
      </c>
      <c r="D52" s="30" t="n">
        <v>2041</v>
      </c>
      <c r="E52" s="29" t="s">
        <v>153</v>
      </c>
      <c r="F52" s="29" t="s">
        <v>154</v>
      </c>
      <c r="G52" s="29" t="s">
        <v>155</v>
      </c>
      <c r="H52" s="31" t="s">
        <v>156</v>
      </c>
      <c r="I52" s="31" t="s">
        <v>189</v>
      </c>
      <c r="J52" s="31" t="s">
        <v>14</v>
      </c>
      <c r="K52" s="31" t="s">
        <v>190</v>
      </c>
      <c r="L52" s="31" t="s">
        <v>275</v>
      </c>
      <c r="M52" s="31" t="s">
        <v>276</v>
      </c>
      <c r="N52" s="31" t="s">
        <v>277</v>
      </c>
      <c r="O52" s="31" t="s">
        <v>278</v>
      </c>
    </row>
    <row r="53" customFormat="false" ht="24" hidden="false" customHeight="true" outlineLevel="0" collapsed="false">
      <c r="A53" s="29" t="n">
        <v>2023</v>
      </c>
      <c r="B53" s="29" t="s">
        <v>191</v>
      </c>
      <c r="C53" s="30" t="n">
        <v>2287000000</v>
      </c>
      <c r="D53" s="30" t="n">
        <v>2287</v>
      </c>
      <c r="E53" s="29" t="s">
        <v>153</v>
      </c>
      <c r="F53" s="29" t="s">
        <v>154</v>
      </c>
      <c r="G53" s="29" t="s">
        <v>155</v>
      </c>
      <c r="H53" s="31" t="s">
        <v>156</v>
      </c>
      <c r="I53" s="31" t="s">
        <v>192</v>
      </c>
      <c r="J53" s="31" t="s">
        <v>16</v>
      </c>
      <c r="K53" s="31" t="s">
        <v>190</v>
      </c>
      <c r="L53" s="31" t="s">
        <v>275</v>
      </c>
      <c r="M53" s="31" t="s">
        <v>276</v>
      </c>
      <c r="N53" s="31" t="s">
        <v>277</v>
      </c>
      <c r="O53" s="31" t="s">
        <v>278</v>
      </c>
    </row>
    <row r="54" customFormat="false" ht="24" hidden="false" customHeight="true" outlineLevel="0" collapsed="false">
      <c r="A54" s="29" t="n">
        <v>2023</v>
      </c>
      <c r="B54" s="29" t="s">
        <v>193</v>
      </c>
      <c r="C54" s="30" t="n">
        <v>-246000000</v>
      </c>
      <c r="D54" s="30" t="n">
        <v>-246</v>
      </c>
      <c r="E54" s="29" t="s">
        <v>153</v>
      </c>
      <c r="F54" s="29" t="s">
        <v>154</v>
      </c>
      <c r="G54" s="29" t="s">
        <v>155</v>
      </c>
      <c r="H54" s="31" t="s">
        <v>156</v>
      </c>
      <c r="I54" s="31" t="s">
        <v>194</v>
      </c>
      <c r="J54" s="31" t="s">
        <v>19</v>
      </c>
      <c r="K54" s="31" t="s">
        <v>190</v>
      </c>
      <c r="L54" s="31" t="s">
        <v>275</v>
      </c>
      <c r="M54" s="31" t="s">
        <v>276</v>
      </c>
      <c r="N54" s="31" t="s">
        <v>277</v>
      </c>
      <c r="O54" s="31" t="s">
        <v>278</v>
      </c>
    </row>
    <row r="55" customFormat="false" ht="24" hidden="false" customHeight="true" outlineLevel="0" collapsed="false">
      <c r="A55" s="29" t="n">
        <v>2023</v>
      </c>
      <c r="B55" s="29" t="s">
        <v>195</v>
      </c>
      <c r="C55" s="30" t="n">
        <v>4110000</v>
      </c>
      <c r="D55" s="30" t="n">
        <v>4.11</v>
      </c>
      <c r="E55" s="29" t="s">
        <v>153</v>
      </c>
      <c r="F55" s="29" t="s">
        <v>154</v>
      </c>
      <c r="G55" s="29" t="s">
        <v>155</v>
      </c>
      <c r="H55" s="31" t="s">
        <v>156</v>
      </c>
      <c r="I55" s="31" t="s">
        <v>196</v>
      </c>
      <c r="J55" s="31" t="s">
        <v>286</v>
      </c>
      <c r="K55" s="31" t="s">
        <v>287</v>
      </c>
      <c r="L55" s="31" t="s">
        <v>275</v>
      </c>
      <c r="M55" s="31" t="s">
        <v>161</v>
      </c>
      <c r="N55" s="31" t="s">
        <v>162</v>
      </c>
      <c r="O55" s="31" t="s">
        <v>278</v>
      </c>
    </row>
    <row r="56" customFormat="false" ht="24" hidden="false" customHeight="true" outlineLevel="0" collapsed="false">
      <c r="A56" s="29" t="n">
        <v>2023</v>
      </c>
      <c r="B56" s="29" t="s">
        <v>197</v>
      </c>
      <c r="C56" s="30" t="n">
        <v>578000000</v>
      </c>
      <c r="D56" s="30" t="n">
        <v>578</v>
      </c>
      <c r="E56" s="29" t="s">
        <v>153</v>
      </c>
      <c r="F56" s="29" t="s">
        <v>154</v>
      </c>
      <c r="G56" s="29" t="s">
        <v>155</v>
      </c>
      <c r="H56" s="31" t="s">
        <v>156</v>
      </c>
      <c r="I56" s="31" t="s">
        <v>198</v>
      </c>
      <c r="J56" s="31" t="s">
        <v>199</v>
      </c>
      <c r="K56" s="31" t="s">
        <v>200</v>
      </c>
      <c r="L56" s="31" t="s">
        <v>275</v>
      </c>
      <c r="M56" s="31" t="s">
        <v>276</v>
      </c>
      <c r="N56" s="31" t="s">
        <v>277</v>
      </c>
      <c r="O56" s="31" t="s">
        <v>278</v>
      </c>
    </row>
    <row r="57" customFormat="false" ht="24" hidden="false" customHeight="true" outlineLevel="0" collapsed="false">
      <c r="A57" s="29" t="n">
        <v>2023</v>
      </c>
      <c r="B57" s="29" t="s">
        <v>201</v>
      </c>
      <c r="C57" s="30" t="n">
        <v>497000000</v>
      </c>
      <c r="D57" s="30" t="n">
        <v>497</v>
      </c>
      <c r="E57" s="29" t="s">
        <v>153</v>
      </c>
      <c r="F57" s="29" t="s">
        <v>154</v>
      </c>
      <c r="G57" s="29" t="s">
        <v>155</v>
      </c>
      <c r="H57" s="31" t="s">
        <v>156</v>
      </c>
      <c r="I57" s="31" t="s">
        <v>202</v>
      </c>
      <c r="J57" s="31" t="s">
        <v>288</v>
      </c>
      <c r="K57" s="31" t="s">
        <v>190</v>
      </c>
      <c r="L57" s="31" t="s">
        <v>275</v>
      </c>
      <c r="M57" s="31" t="s">
        <v>276</v>
      </c>
      <c r="N57" s="31" t="s">
        <v>277</v>
      </c>
      <c r="O57" s="31" t="s">
        <v>278</v>
      </c>
    </row>
    <row r="58" customFormat="false" ht="24" hidden="false" customHeight="true" outlineLevel="0" collapsed="false">
      <c r="A58" s="29" t="n">
        <v>2023</v>
      </c>
      <c r="B58" s="29" t="s">
        <v>203</v>
      </c>
      <c r="C58" s="30" t="n">
        <v>96000000</v>
      </c>
      <c r="D58" s="30" t="n">
        <v>96</v>
      </c>
      <c r="E58" s="29" t="s">
        <v>153</v>
      </c>
      <c r="F58" s="29" t="s">
        <v>154</v>
      </c>
      <c r="G58" s="29" t="s">
        <v>155</v>
      </c>
      <c r="H58" s="31" t="s">
        <v>156</v>
      </c>
      <c r="I58" s="31" t="s">
        <v>204</v>
      </c>
      <c r="J58" s="31" t="s">
        <v>66</v>
      </c>
      <c r="K58" s="31" t="s">
        <v>190</v>
      </c>
      <c r="L58" s="31" t="s">
        <v>275</v>
      </c>
      <c r="M58" s="31" t="s">
        <v>276</v>
      </c>
      <c r="N58" s="31" t="s">
        <v>277</v>
      </c>
      <c r="O58" s="31" t="s">
        <v>278</v>
      </c>
    </row>
    <row r="59" customFormat="false" ht="24" hidden="false" customHeight="true" outlineLevel="0" collapsed="false">
      <c r="A59" s="29" t="n">
        <v>2023</v>
      </c>
      <c r="B59" s="29" t="s">
        <v>205</v>
      </c>
      <c r="C59" s="30" t="n">
        <v>155000000</v>
      </c>
      <c r="D59" s="30" t="n">
        <v>155</v>
      </c>
      <c r="E59" s="29" t="s">
        <v>153</v>
      </c>
      <c r="F59" s="29" t="s">
        <v>154</v>
      </c>
      <c r="G59" s="29" t="s">
        <v>155</v>
      </c>
      <c r="H59" s="31" t="s">
        <v>156</v>
      </c>
      <c r="I59" s="31" t="s">
        <v>206</v>
      </c>
      <c r="J59" s="31" t="s">
        <v>207</v>
      </c>
      <c r="K59" s="31" t="s">
        <v>190</v>
      </c>
      <c r="L59" s="31" t="s">
        <v>275</v>
      </c>
      <c r="M59" s="31" t="s">
        <v>276</v>
      </c>
      <c r="N59" s="31" t="s">
        <v>277</v>
      </c>
      <c r="O59" s="31" t="s">
        <v>278</v>
      </c>
    </row>
    <row r="60" customFormat="false" ht="24" hidden="false" customHeight="true" outlineLevel="0" collapsed="false">
      <c r="A60" s="29" t="n">
        <v>2023</v>
      </c>
      <c r="B60" s="29" t="s">
        <v>208</v>
      </c>
      <c r="C60" s="30" t="n">
        <v>123000000</v>
      </c>
      <c r="D60" s="30" t="n">
        <v>123</v>
      </c>
      <c r="E60" s="29" t="s">
        <v>153</v>
      </c>
      <c r="F60" s="29" t="s">
        <v>154</v>
      </c>
      <c r="G60" s="29" t="s">
        <v>155</v>
      </c>
      <c r="H60" s="31" t="s">
        <v>156</v>
      </c>
      <c r="I60" s="31" t="s">
        <v>209</v>
      </c>
      <c r="J60" s="31" t="s">
        <v>210</v>
      </c>
      <c r="K60" s="31" t="s">
        <v>190</v>
      </c>
      <c r="L60" s="31" t="s">
        <v>275</v>
      </c>
      <c r="M60" s="31" t="s">
        <v>276</v>
      </c>
      <c r="N60" s="31" t="s">
        <v>277</v>
      </c>
      <c r="O60" s="31" t="s">
        <v>278</v>
      </c>
    </row>
    <row r="61" customFormat="false" ht="24" hidden="false" customHeight="true" outlineLevel="0" collapsed="false">
      <c r="A61" s="29" t="n">
        <v>2023</v>
      </c>
      <c r="B61" s="29" t="s">
        <v>211</v>
      </c>
      <c r="C61" s="30" t="n">
        <v>32000000</v>
      </c>
      <c r="D61" s="30" t="n">
        <v>32</v>
      </c>
      <c r="E61" s="29" t="s">
        <v>153</v>
      </c>
      <c r="F61" s="29" t="s">
        <v>154</v>
      </c>
      <c r="G61" s="29" t="s">
        <v>155</v>
      </c>
      <c r="H61" s="31" t="s">
        <v>156</v>
      </c>
      <c r="I61" s="31" t="s">
        <v>212</v>
      </c>
      <c r="J61" s="31" t="s">
        <v>289</v>
      </c>
      <c r="K61" s="31" t="s">
        <v>190</v>
      </c>
      <c r="L61" s="31" t="s">
        <v>275</v>
      </c>
      <c r="M61" s="31" t="s">
        <v>276</v>
      </c>
      <c r="N61" s="31" t="s">
        <v>277</v>
      </c>
      <c r="O61" s="31" t="s">
        <v>278</v>
      </c>
    </row>
    <row r="62" customFormat="false" ht="24" hidden="false" customHeight="true" outlineLevel="0" collapsed="false">
      <c r="A62" s="29" t="n">
        <v>2023</v>
      </c>
      <c r="B62" s="29" t="s">
        <v>213</v>
      </c>
      <c r="C62" s="30" t="n">
        <v>155000000</v>
      </c>
      <c r="D62" s="30" t="n">
        <v>155</v>
      </c>
      <c r="E62" s="29" t="s">
        <v>153</v>
      </c>
      <c r="F62" s="29" t="s">
        <v>154</v>
      </c>
      <c r="G62" s="29" t="s">
        <v>155</v>
      </c>
      <c r="H62" s="31" t="s">
        <v>156</v>
      </c>
      <c r="I62" s="31" t="s">
        <v>214</v>
      </c>
      <c r="J62" s="31" t="s">
        <v>215</v>
      </c>
      <c r="K62" s="31" t="s">
        <v>190</v>
      </c>
      <c r="L62" s="31" t="s">
        <v>275</v>
      </c>
      <c r="M62" s="31" t="s">
        <v>276</v>
      </c>
      <c r="N62" s="31" t="s">
        <v>277</v>
      </c>
      <c r="O62" s="31" t="s">
        <v>278</v>
      </c>
    </row>
    <row r="63" customFormat="false" ht="15" hidden="false" customHeight="true" outlineLevel="0" collapsed="false">
      <c r="A63" s="29" t="n">
        <v>2023</v>
      </c>
      <c r="B63" s="29" t="s">
        <v>216</v>
      </c>
      <c r="C63" s="29"/>
      <c r="D63" s="29"/>
      <c r="E63" s="29"/>
      <c r="F63" s="29"/>
      <c r="G63" s="29" t="s">
        <v>181</v>
      </c>
      <c r="H63" s="31" t="s">
        <v>182</v>
      </c>
      <c r="I63" s="31" t="s">
        <v>217</v>
      </c>
      <c r="J63" s="31"/>
      <c r="K63" s="31"/>
      <c r="L63" s="31"/>
      <c r="M63" s="31"/>
      <c r="N63" s="31"/>
      <c r="O63" s="31"/>
    </row>
    <row r="64" customFormat="false" ht="24" hidden="false" customHeight="true" outlineLevel="0" collapsed="false">
      <c r="A64" s="29" t="n">
        <v>2023</v>
      </c>
      <c r="B64" s="29" t="s">
        <v>218</v>
      </c>
      <c r="C64" s="30" t="n">
        <v>187000000</v>
      </c>
      <c r="D64" s="30" t="n">
        <v>187</v>
      </c>
      <c r="E64" s="29" t="s">
        <v>153</v>
      </c>
      <c r="F64" s="29" t="s">
        <v>154</v>
      </c>
      <c r="G64" s="29" t="s">
        <v>155</v>
      </c>
      <c r="H64" s="31" t="s">
        <v>156</v>
      </c>
      <c r="I64" s="31" t="s">
        <v>219</v>
      </c>
      <c r="J64" s="31" t="s">
        <v>290</v>
      </c>
      <c r="K64" s="31" t="s">
        <v>190</v>
      </c>
      <c r="L64" s="31" t="s">
        <v>275</v>
      </c>
      <c r="M64" s="31" t="s">
        <v>276</v>
      </c>
      <c r="N64" s="31" t="s">
        <v>277</v>
      </c>
      <c r="O64" s="31" t="s">
        <v>278</v>
      </c>
    </row>
    <row r="65" customFormat="false" ht="24" hidden="false" customHeight="true" outlineLevel="0" collapsed="false">
      <c r="A65" s="29" t="n">
        <v>2023</v>
      </c>
      <c r="B65" s="29" t="s">
        <v>220</v>
      </c>
      <c r="C65" s="30" t="n">
        <v>1.44</v>
      </c>
      <c r="D65" s="30" t="n">
        <v>1.44</v>
      </c>
      <c r="E65" s="29" t="s">
        <v>175</v>
      </c>
      <c r="F65" s="29" t="s">
        <v>176</v>
      </c>
      <c r="G65" s="29" t="s">
        <v>155</v>
      </c>
      <c r="H65" s="31" t="s">
        <v>156</v>
      </c>
      <c r="I65" s="31" t="s">
        <v>221</v>
      </c>
      <c r="J65" s="31" t="s">
        <v>222</v>
      </c>
      <c r="K65" s="31" t="s">
        <v>190</v>
      </c>
      <c r="L65" s="31" t="s">
        <v>275</v>
      </c>
      <c r="M65" s="31" t="s">
        <v>276</v>
      </c>
      <c r="N65" s="31" t="s">
        <v>277</v>
      </c>
      <c r="O65" s="31" t="s">
        <v>278</v>
      </c>
    </row>
    <row r="66" customFormat="false" ht="24" hidden="false" customHeight="true" outlineLevel="0" collapsed="false">
      <c r="A66" s="29" t="n">
        <v>2023</v>
      </c>
      <c r="B66" s="29" t="s">
        <v>223</v>
      </c>
      <c r="C66" s="30" t="n">
        <v>52262000000</v>
      </c>
      <c r="D66" s="30" t="n">
        <v>52262</v>
      </c>
      <c r="E66" s="29" t="s">
        <v>153</v>
      </c>
      <c r="F66" s="29" t="s">
        <v>154</v>
      </c>
      <c r="G66" s="29" t="s">
        <v>155</v>
      </c>
      <c r="H66" s="31" t="s">
        <v>156</v>
      </c>
      <c r="I66" s="31" t="s">
        <v>224</v>
      </c>
      <c r="J66" s="31" t="s">
        <v>42</v>
      </c>
      <c r="K66" s="31" t="s">
        <v>225</v>
      </c>
      <c r="L66" s="31" t="s">
        <v>275</v>
      </c>
      <c r="M66" s="31" t="s">
        <v>276</v>
      </c>
      <c r="N66" s="31" t="s">
        <v>277</v>
      </c>
      <c r="O66" s="31" t="s">
        <v>278</v>
      </c>
    </row>
    <row r="67" customFormat="false" ht="24" hidden="false" customHeight="true" outlineLevel="0" collapsed="false">
      <c r="A67" s="29" t="n">
        <v>2023</v>
      </c>
      <c r="B67" s="29" t="s">
        <v>226</v>
      </c>
      <c r="C67" s="30" t="n">
        <v>10000000000</v>
      </c>
      <c r="D67" s="30" t="n">
        <v>10000</v>
      </c>
      <c r="E67" s="29" t="s">
        <v>153</v>
      </c>
      <c r="F67" s="29" t="s">
        <v>154</v>
      </c>
      <c r="G67" s="29" t="s">
        <v>155</v>
      </c>
      <c r="H67" s="31" t="s">
        <v>156</v>
      </c>
      <c r="I67" s="31" t="s">
        <v>227</v>
      </c>
      <c r="J67" s="31" t="s">
        <v>45</v>
      </c>
      <c r="K67" s="31" t="s">
        <v>225</v>
      </c>
      <c r="L67" s="31" t="s">
        <v>275</v>
      </c>
      <c r="M67" s="31" t="s">
        <v>276</v>
      </c>
      <c r="N67" s="31" t="s">
        <v>277</v>
      </c>
      <c r="O67" s="31" t="s">
        <v>278</v>
      </c>
    </row>
    <row r="68" customFormat="false" ht="24" hidden="false" customHeight="true" outlineLevel="0" collapsed="false">
      <c r="A68" s="29" t="n">
        <v>2023</v>
      </c>
      <c r="B68" s="29" t="s">
        <v>228</v>
      </c>
      <c r="C68" s="30" t="n">
        <v>63409000000</v>
      </c>
      <c r="D68" s="30" t="n">
        <v>63409</v>
      </c>
      <c r="E68" s="29" t="s">
        <v>153</v>
      </c>
      <c r="F68" s="29" t="s">
        <v>154</v>
      </c>
      <c r="G68" s="29" t="s">
        <v>155</v>
      </c>
      <c r="H68" s="31" t="s">
        <v>156</v>
      </c>
      <c r="I68" s="31" t="s">
        <v>229</v>
      </c>
      <c r="J68" s="31" t="s">
        <v>230</v>
      </c>
      <c r="K68" s="31" t="s">
        <v>225</v>
      </c>
      <c r="L68" s="31" t="s">
        <v>275</v>
      </c>
      <c r="M68" s="31" t="s">
        <v>276</v>
      </c>
      <c r="N68" s="31" t="s">
        <v>277</v>
      </c>
      <c r="O68" s="31" t="s">
        <v>278</v>
      </c>
    </row>
    <row r="69" customFormat="false" ht="24" hidden="false" customHeight="true" outlineLevel="0" collapsed="false">
      <c r="A69" s="29" t="n">
        <v>2023</v>
      </c>
      <c r="B69" s="29" t="s">
        <v>231</v>
      </c>
      <c r="C69" s="30" t="n">
        <v>44027000000</v>
      </c>
      <c r="D69" s="30" t="n">
        <v>44027</v>
      </c>
      <c r="E69" s="29" t="s">
        <v>153</v>
      </c>
      <c r="F69" s="29" t="s">
        <v>154</v>
      </c>
      <c r="G69" s="29" t="s">
        <v>155</v>
      </c>
      <c r="H69" s="31" t="s">
        <v>156</v>
      </c>
      <c r="I69" s="31" t="s">
        <v>232</v>
      </c>
      <c r="J69" s="31" t="s">
        <v>233</v>
      </c>
      <c r="K69" s="31" t="s">
        <v>225</v>
      </c>
      <c r="L69" s="31" t="s">
        <v>275</v>
      </c>
      <c r="M69" s="31" t="s">
        <v>276</v>
      </c>
      <c r="N69" s="31" t="s">
        <v>277</v>
      </c>
      <c r="O69" s="31" t="s">
        <v>278</v>
      </c>
    </row>
    <row r="70" customFormat="false" ht="15" hidden="false" customHeight="true" outlineLevel="0" collapsed="false">
      <c r="A70" s="29" t="n">
        <v>2023</v>
      </c>
      <c r="B70" s="29" t="s">
        <v>234</v>
      </c>
      <c r="C70" s="30" t="n">
        <v>54027000000</v>
      </c>
      <c r="D70" s="30" t="n">
        <v>54027</v>
      </c>
      <c r="E70" s="29" t="s">
        <v>153</v>
      </c>
      <c r="F70" s="29" t="s">
        <v>154</v>
      </c>
      <c r="G70" s="29" t="s">
        <v>155</v>
      </c>
      <c r="H70" s="31" t="s">
        <v>156</v>
      </c>
      <c r="I70" s="31" t="s">
        <v>235</v>
      </c>
      <c r="J70" s="31" t="s">
        <v>236</v>
      </c>
      <c r="K70" s="31" t="s">
        <v>237</v>
      </c>
      <c r="L70" s="31" t="s">
        <v>275</v>
      </c>
      <c r="M70" s="31" t="s">
        <v>276</v>
      </c>
      <c r="N70" s="31" t="s">
        <v>277</v>
      </c>
      <c r="O70" s="31" t="s">
        <v>278</v>
      </c>
    </row>
    <row r="71" customFormat="false" ht="24" hidden="false" customHeight="true" outlineLevel="0" collapsed="false">
      <c r="A71" s="29" t="n">
        <v>2023</v>
      </c>
      <c r="B71" s="29" t="s">
        <v>238</v>
      </c>
      <c r="C71" s="30" t="n">
        <v>7817000000</v>
      </c>
      <c r="D71" s="30" t="n">
        <v>7817</v>
      </c>
      <c r="E71" s="29" t="s">
        <v>153</v>
      </c>
      <c r="F71" s="29" t="s">
        <v>154</v>
      </c>
      <c r="G71" s="29" t="s">
        <v>155</v>
      </c>
      <c r="H71" s="31" t="s">
        <v>156</v>
      </c>
      <c r="I71" s="31" t="s">
        <v>239</v>
      </c>
      <c r="J71" s="31" t="s">
        <v>240</v>
      </c>
      <c r="K71" s="31" t="s">
        <v>225</v>
      </c>
      <c r="L71" s="31" t="s">
        <v>275</v>
      </c>
      <c r="M71" s="31" t="s">
        <v>276</v>
      </c>
      <c r="N71" s="31" t="s">
        <v>277</v>
      </c>
      <c r="O71" s="31" t="s">
        <v>278</v>
      </c>
    </row>
    <row r="72" customFormat="false" ht="24" hidden="false" customHeight="true" outlineLevel="0" collapsed="false">
      <c r="A72" s="29" t="n">
        <v>2023</v>
      </c>
      <c r="B72" s="29" t="s">
        <v>241</v>
      </c>
      <c r="C72" s="30" t="n">
        <v>7.4</v>
      </c>
      <c r="D72" s="30" t="n">
        <v>7.4</v>
      </c>
      <c r="E72" s="29" t="s">
        <v>242</v>
      </c>
      <c r="F72" s="29" t="s">
        <v>243</v>
      </c>
      <c r="G72" s="29" t="s">
        <v>155</v>
      </c>
      <c r="H72" s="31" t="s">
        <v>156</v>
      </c>
      <c r="I72" s="31" t="s">
        <v>244</v>
      </c>
      <c r="J72" s="31" t="s">
        <v>54</v>
      </c>
      <c r="K72" s="31" t="s">
        <v>225</v>
      </c>
      <c r="L72" s="31" t="s">
        <v>275</v>
      </c>
      <c r="M72" s="31" t="s">
        <v>276</v>
      </c>
      <c r="N72" s="31" t="s">
        <v>277</v>
      </c>
      <c r="O72" s="31" t="s">
        <v>278</v>
      </c>
    </row>
    <row r="73" customFormat="false" ht="24" hidden="false" customHeight="true" outlineLevel="0" collapsed="false">
      <c r="A73" s="29" t="n">
        <v>2023</v>
      </c>
      <c r="B73" s="29" t="s">
        <v>245</v>
      </c>
      <c r="C73" s="30" t="n">
        <v>7</v>
      </c>
      <c r="D73" s="30" t="n">
        <v>7</v>
      </c>
      <c r="E73" s="29" t="s">
        <v>242</v>
      </c>
      <c r="F73" s="29" t="s">
        <v>243</v>
      </c>
      <c r="G73" s="29" t="s">
        <v>155</v>
      </c>
      <c r="H73" s="31" t="s">
        <v>156</v>
      </c>
      <c r="I73" s="31" t="s">
        <v>246</v>
      </c>
      <c r="J73" s="31" t="s">
        <v>247</v>
      </c>
      <c r="K73" s="31" t="s">
        <v>225</v>
      </c>
      <c r="L73" s="31" t="s">
        <v>275</v>
      </c>
      <c r="M73" s="31" t="s">
        <v>276</v>
      </c>
      <c r="N73" s="31" t="s">
        <v>277</v>
      </c>
      <c r="O73" s="31" t="s">
        <v>278</v>
      </c>
    </row>
    <row r="74" customFormat="false" ht="24" hidden="false" customHeight="true" outlineLevel="0" collapsed="false">
      <c r="A74" s="29" t="n">
        <v>2023</v>
      </c>
      <c r="B74" s="29" t="s">
        <v>248</v>
      </c>
      <c r="C74" s="30" t="n">
        <v>0.03</v>
      </c>
      <c r="D74" s="30" t="n">
        <v>3</v>
      </c>
      <c r="E74" s="29" t="s">
        <v>249</v>
      </c>
      <c r="F74" s="29" t="s">
        <v>250</v>
      </c>
      <c r="G74" s="29" t="s">
        <v>155</v>
      </c>
      <c r="H74" s="31" t="s">
        <v>156</v>
      </c>
      <c r="I74" s="31" t="s">
        <v>251</v>
      </c>
      <c r="J74" s="31" t="s">
        <v>252</v>
      </c>
      <c r="K74" s="31" t="s">
        <v>225</v>
      </c>
      <c r="L74" s="31" t="s">
        <v>275</v>
      </c>
      <c r="M74" s="31" t="s">
        <v>276</v>
      </c>
      <c r="N74" s="31" t="s">
        <v>277</v>
      </c>
      <c r="O74" s="31" t="s">
        <v>278</v>
      </c>
    </row>
    <row r="75" customFormat="false" ht="24" hidden="false" customHeight="true" outlineLevel="0" collapsed="false">
      <c r="A75" s="29" t="n">
        <v>2023</v>
      </c>
      <c r="B75" s="29" t="s">
        <v>253</v>
      </c>
      <c r="C75" s="29" t="n">
        <v>0.0015</v>
      </c>
      <c r="D75" s="30" t="n">
        <v>0.15</v>
      </c>
      <c r="E75" s="29" t="s">
        <v>249</v>
      </c>
      <c r="F75" s="29" t="s">
        <v>250</v>
      </c>
      <c r="G75" s="29" t="s">
        <v>155</v>
      </c>
      <c r="H75" s="31" t="s">
        <v>156</v>
      </c>
      <c r="I75" s="31" t="s">
        <v>254</v>
      </c>
      <c r="J75" s="31" t="s">
        <v>255</v>
      </c>
      <c r="K75" s="31" t="s">
        <v>225</v>
      </c>
      <c r="L75" s="31" t="s">
        <v>275</v>
      </c>
      <c r="M75" s="31" t="s">
        <v>276</v>
      </c>
      <c r="N75" s="31" t="s">
        <v>277</v>
      </c>
      <c r="O75" s="31" t="s">
        <v>278</v>
      </c>
    </row>
    <row r="76" customFormat="false" ht="24" hidden="false" customHeight="true" outlineLevel="0" collapsed="false">
      <c r="A76" s="29" t="n">
        <v>2023</v>
      </c>
      <c r="B76" s="29" t="s">
        <v>256</v>
      </c>
      <c r="C76" s="30" t="n">
        <v>0.0411</v>
      </c>
      <c r="D76" s="30" t="n">
        <v>4.11</v>
      </c>
      <c r="E76" s="29" t="s">
        <v>249</v>
      </c>
      <c r="F76" s="29" t="s">
        <v>250</v>
      </c>
      <c r="G76" s="29" t="s">
        <v>155</v>
      </c>
      <c r="H76" s="31" t="s">
        <v>156</v>
      </c>
      <c r="I76" s="31" t="s">
        <v>257</v>
      </c>
      <c r="J76" s="31" t="s">
        <v>258</v>
      </c>
      <c r="K76" s="31" t="s">
        <v>259</v>
      </c>
      <c r="L76" s="31" t="s">
        <v>275</v>
      </c>
      <c r="M76" s="31" t="s">
        <v>276</v>
      </c>
      <c r="N76" s="31" t="s">
        <v>277</v>
      </c>
      <c r="O76" s="31" t="s">
        <v>278</v>
      </c>
    </row>
    <row r="77" customFormat="false" ht="24" hidden="false" customHeight="true" outlineLevel="0" collapsed="false">
      <c r="A77" s="29" t="n">
        <v>2023</v>
      </c>
      <c r="B77" s="29" t="s">
        <v>260</v>
      </c>
      <c r="C77" s="30" t="n">
        <v>0.0105</v>
      </c>
      <c r="D77" s="30" t="n">
        <v>1.05</v>
      </c>
      <c r="E77" s="29" t="s">
        <v>249</v>
      </c>
      <c r="F77" s="29" t="s">
        <v>250</v>
      </c>
      <c r="G77" s="29" t="s">
        <v>155</v>
      </c>
      <c r="H77" s="31" t="s">
        <v>156</v>
      </c>
      <c r="I77" s="31" t="s">
        <v>261</v>
      </c>
      <c r="J77" s="31" t="s">
        <v>262</v>
      </c>
      <c r="K77" s="31" t="s">
        <v>259</v>
      </c>
      <c r="L77" s="31" t="s">
        <v>275</v>
      </c>
      <c r="M77" s="31" t="s">
        <v>276</v>
      </c>
      <c r="N77" s="31" t="s">
        <v>277</v>
      </c>
      <c r="O77" s="31" t="s">
        <v>278</v>
      </c>
    </row>
    <row r="78" customFormat="false" ht="24" hidden="false" customHeight="true" outlineLevel="0" collapsed="false">
      <c r="A78" s="29" t="n">
        <v>2023</v>
      </c>
      <c r="B78" s="29" t="s">
        <v>263</v>
      </c>
      <c r="C78" s="30" t="n">
        <v>0.0306</v>
      </c>
      <c r="D78" s="30" t="n">
        <v>3.06</v>
      </c>
      <c r="E78" s="29" t="s">
        <v>249</v>
      </c>
      <c r="F78" s="29" t="s">
        <v>250</v>
      </c>
      <c r="G78" s="29" t="s">
        <v>155</v>
      </c>
      <c r="H78" s="31" t="s">
        <v>156</v>
      </c>
      <c r="I78" s="31" t="s">
        <v>264</v>
      </c>
      <c r="J78" s="31" t="s">
        <v>265</v>
      </c>
      <c r="K78" s="31" t="s">
        <v>259</v>
      </c>
      <c r="L78" s="31" t="s">
        <v>275</v>
      </c>
      <c r="M78" s="31" t="s">
        <v>276</v>
      </c>
      <c r="N78" s="31" t="s">
        <v>277</v>
      </c>
      <c r="O78" s="31" t="s">
        <v>278</v>
      </c>
    </row>
    <row r="79" customFormat="false" ht="15" hidden="false" customHeight="true" outlineLevel="0" collapsed="false">
      <c r="A79" s="29" t="n">
        <v>2023</v>
      </c>
      <c r="B79" s="29" t="s">
        <v>266</v>
      </c>
      <c r="C79" s="30" t="n">
        <v>47012000000</v>
      </c>
      <c r="D79" s="30" t="n">
        <v>47012</v>
      </c>
      <c r="E79" s="29" t="s">
        <v>153</v>
      </c>
      <c r="F79" s="29" t="s">
        <v>154</v>
      </c>
      <c r="G79" s="29" t="s">
        <v>155</v>
      </c>
      <c r="H79" s="31" t="s">
        <v>156</v>
      </c>
      <c r="I79" s="31" t="s">
        <v>267</v>
      </c>
      <c r="J79" s="31" t="s">
        <v>268</v>
      </c>
      <c r="K79" s="31" t="s">
        <v>237</v>
      </c>
      <c r="L79" s="31" t="s">
        <v>275</v>
      </c>
      <c r="M79" s="31" t="s">
        <v>276</v>
      </c>
      <c r="N79" s="31" t="s">
        <v>277</v>
      </c>
      <c r="O79" s="31" t="s">
        <v>278</v>
      </c>
    </row>
    <row r="80" customFormat="false" ht="24" hidden="false" customHeight="true" outlineLevel="0" collapsed="false">
      <c r="A80" s="29" t="n">
        <v>2023</v>
      </c>
      <c r="B80" s="29" t="s">
        <v>269</v>
      </c>
      <c r="C80" s="30" t="n">
        <v>0.87</v>
      </c>
      <c r="D80" s="30" t="n">
        <v>87</v>
      </c>
      <c r="E80" s="29" t="s">
        <v>249</v>
      </c>
      <c r="F80" s="29" t="s">
        <v>250</v>
      </c>
      <c r="G80" s="29" t="s">
        <v>155</v>
      </c>
      <c r="H80" s="31" t="s">
        <v>156</v>
      </c>
      <c r="I80" s="31" t="s">
        <v>270</v>
      </c>
      <c r="J80" s="31" t="s">
        <v>271</v>
      </c>
      <c r="K80" s="31" t="s">
        <v>237</v>
      </c>
      <c r="L80" s="31" t="s">
        <v>275</v>
      </c>
      <c r="M80" s="31" t="s">
        <v>276</v>
      </c>
      <c r="N80" s="31" t="s">
        <v>277</v>
      </c>
      <c r="O80" s="31" t="s">
        <v>278</v>
      </c>
    </row>
    <row r="81" customFormat="false" ht="15" hidden="false" customHeight="true" outlineLevel="0" collapsed="false">
      <c r="A81" s="29" t="n">
        <v>2023</v>
      </c>
      <c r="B81" s="29" t="s">
        <v>272</v>
      </c>
      <c r="C81" s="30" t="n">
        <v>-0.0462</v>
      </c>
      <c r="D81" s="30" t="n">
        <v>-4.62</v>
      </c>
      <c r="E81" s="29" t="s">
        <v>249</v>
      </c>
      <c r="F81" s="29" t="s">
        <v>250</v>
      </c>
      <c r="G81" s="29" t="s">
        <v>155</v>
      </c>
      <c r="H81" s="31" t="s">
        <v>156</v>
      </c>
      <c r="I81" s="31" t="s">
        <v>273</v>
      </c>
      <c r="J81" s="31" t="s">
        <v>274</v>
      </c>
      <c r="K81" s="31" t="s">
        <v>237</v>
      </c>
      <c r="L81" s="31" t="s">
        <v>275</v>
      </c>
      <c r="M81" s="31" t="s">
        <v>276</v>
      </c>
      <c r="N81" s="31" t="s">
        <v>277</v>
      </c>
      <c r="O81" s="31" t="s">
        <v>278</v>
      </c>
    </row>
    <row r="82" customFormat="false" ht="24" hidden="false" customHeight="true" outlineLevel="0" collapsed="false">
      <c r="A82" s="29" t="n">
        <v>2024</v>
      </c>
      <c r="B82" s="29" t="s">
        <v>152</v>
      </c>
      <c r="C82" s="30" t="n">
        <v>66412000000</v>
      </c>
      <c r="D82" s="30" t="n">
        <v>66412</v>
      </c>
      <c r="E82" s="29" t="s">
        <v>153</v>
      </c>
      <c r="F82" s="29" t="s">
        <v>154</v>
      </c>
      <c r="G82" s="29" t="s">
        <v>155</v>
      </c>
      <c r="H82" s="31" t="s">
        <v>156</v>
      </c>
      <c r="I82" s="31" t="s">
        <v>157</v>
      </c>
      <c r="J82" s="31" t="s">
        <v>158</v>
      </c>
      <c r="K82" s="31" t="s">
        <v>159</v>
      </c>
      <c r="L82" s="31" t="s">
        <v>291</v>
      </c>
      <c r="M82" s="31" t="s">
        <v>276</v>
      </c>
      <c r="N82" s="31" t="s">
        <v>277</v>
      </c>
      <c r="O82" s="31" t="s">
        <v>292</v>
      </c>
    </row>
    <row r="83" customFormat="false" ht="24" hidden="false" customHeight="true" outlineLevel="0" collapsed="false">
      <c r="A83" s="29" t="n">
        <v>2024</v>
      </c>
      <c r="B83" s="29" t="s">
        <v>164</v>
      </c>
      <c r="C83" s="30" t="n">
        <v>88015000000</v>
      </c>
      <c r="D83" s="30" t="n">
        <v>88015</v>
      </c>
      <c r="E83" s="29" t="s">
        <v>153</v>
      </c>
      <c r="F83" s="29" t="s">
        <v>154</v>
      </c>
      <c r="G83" s="29" t="s">
        <v>155</v>
      </c>
      <c r="H83" s="31" t="s">
        <v>156</v>
      </c>
      <c r="I83" s="31" t="s">
        <v>165</v>
      </c>
      <c r="J83" s="31" t="s">
        <v>86</v>
      </c>
      <c r="K83" s="31" t="s">
        <v>159</v>
      </c>
      <c r="L83" s="31" t="s">
        <v>291</v>
      </c>
      <c r="M83" s="31" t="s">
        <v>276</v>
      </c>
      <c r="N83" s="31" t="s">
        <v>277</v>
      </c>
      <c r="O83" s="31" t="s">
        <v>292</v>
      </c>
    </row>
    <row r="84" customFormat="false" ht="24" hidden="false" customHeight="true" outlineLevel="0" collapsed="false">
      <c r="A84" s="29" t="n">
        <v>2024</v>
      </c>
      <c r="B84" s="29" t="s">
        <v>166</v>
      </c>
      <c r="C84" s="30" t="n">
        <v>60862000000</v>
      </c>
      <c r="D84" s="30" t="n">
        <v>60862</v>
      </c>
      <c r="E84" s="29" t="s">
        <v>153</v>
      </c>
      <c r="F84" s="29" t="s">
        <v>154</v>
      </c>
      <c r="G84" s="29" t="s">
        <v>155</v>
      </c>
      <c r="H84" s="31" t="s">
        <v>156</v>
      </c>
      <c r="I84" s="31" t="s">
        <v>167</v>
      </c>
      <c r="J84" s="31" t="s">
        <v>168</v>
      </c>
      <c r="K84" s="31" t="s">
        <v>159</v>
      </c>
      <c r="L84" s="31" t="s">
        <v>291</v>
      </c>
      <c r="M84" s="31" t="s">
        <v>276</v>
      </c>
      <c r="N84" s="31" t="s">
        <v>277</v>
      </c>
      <c r="O84" s="31" t="s">
        <v>292</v>
      </c>
    </row>
    <row r="85" customFormat="false" ht="24" hidden="false" customHeight="true" outlineLevel="0" collapsed="false">
      <c r="A85" s="29" t="n">
        <v>2024</v>
      </c>
      <c r="B85" s="29" t="s">
        <v>169</v>
      </c>
      <c r="C85" s="30" t="n">
        <v>78253000000</v>
      </c>
      <c r="D85" s="30" t="n">
        <v>78253</v>
      </c>
      <c r="E85" s="29" t="s">
        <v>153</v>
      </c>
      <c r="F85" s="29" t="s">
        <v>154</v>
      </c>
      <c r="G85" s="29" t="s">
        <v>155</v>
      </c>
      <c r="H85" s="31" t="s">
        <v>156</v>
      </c>
      <c r="I85" s="31" t="s">
        <v>170</v>
      </c>
      <c r="J85" s="31" t="s">
        <v>94</v>
      </c>
      <c r="K85" s="31" t="s">
        <v>159</v>
      </c>
      <c r="L85" s="31" t="s">
        <v>291</v>
      </c>
      <c r="M85" s="31" t="s">
        <v>276</v>
      </c>
      <c r="N85" s="31" t="s">
        <v>277</v>
      </c>
      <c r="O85" s="31" t="s">
        <v>292</v>
      </c>
    </row>
    <row r="86" customFormat="false" ht="24" hidden="false" customHeight="true" outlineLevel="0" collapsed="false">
      <c r="A86" s="29" t="n">
        <v>2024</v>
      </c>
      <c r="B86" s="29" t="s">
        <v>171</v>
      </c>
      <c r="C86" s="30" t="n">
        <v>9762000000</v>
      </c>
      <c r="D86" s="30" t="n">
        <v>9762</v>
      </c>
      <c r="E86" s="29" t="s">
        <v>153</v>
      </c>
      <c r="F86" s="29" t="s">
        <v>154</v>
      </c>
      <c r="G86" s="29" t="s">
        <v>155</v>
      </c>
      <c r="H86" s="31" t="s">
        <v>156</v>
      </c>
      <c r="I86" s="31" t="s">
        <v>172</v>
      </c>
      <c r="J86" s="31" t="s">
        <v>173</v>
      </c>
      <c r="K86" s="31" t="s">
        <v>159</v>
      </c>
      <c r="L86" s="31" t="s">
        <v>291</v>
      </c>
      <c r="M86" s="31" t="s">
        <v>276</v>
      </c>
      <c r="N86" s="31" t="s">
        <v>277</v>
      </c>
      <c r="O86" s="31" t="s">
        <v>292</v>
      </c>
    </row>
    <row r="87" customFormat="false" ht="24" hidden="false" customHeight="true" outlineLevel="0" collapsed="false">
      <c r="A87" s="29" t="n">
        <v>2024</v>
      </c>
      <c r="B87" s="29" t="s">
        <v>174</v>
      </c>
      <c r="C87" s="30" t="n">
        <v>9</v>
      </c>
      <c r="D87" s="30" t="n">
        <v>9</v>
      </c>
      <c r="E87" s="29" t="s">
        <v>175</v>
      </c>
      <c r="F87" s="29" t="s">
        <v>176</v>
      </c>
      <c r="G87" s="29" t="s">
        <v>155</v>
      </c>
      <c r="H87" s="31" t="s">
        <v>156</v>
      </c>
      <c r="I87" s="31" t="s">
        <v>177</v>
      </c>
      <c r="J87" s="31" t="s">
        <v>77</v>
      </c>
      <c r="K87" s="31" t="s">
        <v>159</v>
      </c>
      <c r="L87" s="31" t="s">
        <v>291</v>
      </c>
      <c r="M87" s="31" t="s">
        <v>276</v>
      </c>
      <c r="N87" s="31" t="s">
        <v>277</v>
      </c>
      <c r="O87" s="31" t="s">
        <v>292</v>
      </c>
    </row>
    <row r="88" customFormat="false" ht="24" hidden="false" customHeight="true" outlineLevel="0" collapsed="false">
      <c r="A88" s="29" t="n">
        <v>2024</v>
      </c>
      <c r="B88" s="29" t="s">
        <v>178</v>
      </c>
      <c r="C88" s="30" t="n">
        <v>8.41</v>
      </c>
      <c r="D88" s="30" t="n">
        <v>8.41</v>
      </c>
      <c r="E88" s="29" t="s">
        <v>175</v>
      </c>
      <c r="F88" s="29" t="s">
        <v>176</v>
      </c>
      <c r="G88" s="29" t="s">
        <v>155</v>
      </c>
      <c r="H88" s="31" t="s">
        <v>156</v>
      </c>
      <c r="I88" s="31" t="s">
        <v>179</v>
      </c>
      <c r="J88" s="31" t="s">
        <v>79</v>
      </c>
      <c r="K88" s="31" t="s">
        <v>159</v>
      </c>
      <c r="L88" s="31" t="s">
        <v>291</v>
      </c>
      <c r="M88" s="31" t="s">
        <v>276</v>
      </c>
      <c r="N88" s="31" t="s">
        <v>277</v>
      </c>
      <c r="O88" s="31" t="s">
        <v>292</v>
      </c>
    </row>
    <row r="89" customFormat="false" ht="24" hidden="false" customHeight="true" outlineLevel="0" collapsed="false">
      <c r="A89" s="29" t="n">
        <v>2024</v>
      </c>
      <c r="B89" s="29" t="s">
        <v>180</v>
      </c>
      <c r="C89" s="30" t="n">
        <v>897400000</v>
      </c>
      <c r="D89" s="30" t="n">
        <v>897.4</v>
      </c>
      <c r="E89" s="29" t="s">
        <v>279</v>
      </c>
      <c r="F89" s="29" t="s">
        <v>154</v>
      </c>
      <c r="G89" s="29" t="s">
        <v>155</v>
      </c>
      <c r="H89" s="31" t="s">
        <v>156</v>
      </c>
      <c r="I89" s="31" t="s">
        <v>183</v>
      </c>
      <c r="J89" s="31" t="s">
        <v>280</v>
      </c>
      <c r="K89" s="31" t="s">
        <v>281</v>
      </c>
      <c r="L89" s="31" t="s">
        <v>291</v>
      </c>
      <c r="M89" s="31" t="s">
        <v>276</v>
      </c>
      <c r="N89" s="31" t="s">
        <v>277</v>
      </c>
      <c r="O89" s="31" t="s">
        <v>292</v>
      </c>
    </row>
    <row r="90" customFormat="false" ht="24" hidden="false" customHeight="true" outlineLevel="0" collapsed="false">
      <c r="A90" s="29" t="n">
        <v>2024</v>
      </c>
      <c r="B90" s="29" t="s">
        <v>184</v>
      </c>
      <c r="C90" s="30" t="n">
        <v>1634000000</v>
      </c>
      <c r="D90" s="30" t="n">
        <v>1634</v>
      </c>
      <c r="E90" s="29" t="s">
        <v>153</v>
      </c>
      <c r="F90" s="29" t="s">
        <v>154</v>
      </c>
      <c r="G90" s="29" t="s">
        <v>155</v>
      </c>
      <c r="H90" s="31" t="s">
        <v>156</v>
      </c>
      <c r="I90" s="31" t="s">
        <v>185</v>
      </c>
      <c r="J90" s="31" t="s">
        <v>282</v>
      </c>
      <c r="K90" s="31" t="s">
        <v>283</v>
      </c>
      <c r="L90" s="31" t="s">
        <v>291</v>
      </c>
      <c r="M90" s="31" t="s">
        <v>276</v>
      </c>
      <c r="N90" s="31" t="s">
        <v>277</v>
      </c>
      <c r="O90" s="31" t="s">
        <v>292</v>
      </c>
    </row>
    <row r="91" customFormat="false" ht="24" hidden="false" customHeight="true" outlineLevel="0" collapsed="false">
      <c r="A91" s="29" t="n">
        <v>2024</v>
      </c>
      <c r="B91" s="29" t="s">
        <v>186</v>
      </c>
      <c r="C91" s="30" t="n">
        <v>1688000000</v>
      </c>
      <c r="D91" s="30" t="n">
        <v>1688</v>
      </c>
      <c r="E91" s="29" t="s">
        <v>153</v>
      </c>
      <c r="F91" s="29" t="s">
        <v>154</v>
      </c>
      <c r="G91" s="29" t="s">
        <v>155</v>
      </c>
      <c r="H91" s="31" t="s">
        <v>156</v>
      </c>
      <c r="I91" s="31" t="s">
        <v>187</v>
      </c>
      <c r="J91" s="31" t="s">
        <v>284</v>
      </c>
      <c r="K91" s="31" t="s">
        <v>285</v>
      </c>
      <c r="L91" s="31" t="s">
        <v>291</v>
      </c>
      <c r="M91" s="31" t="s">
        <v>276</v>
      </c>
      <c r="N91" s="31" t="s">
        <v>277</v>
      </c>
      <c r="O91" s="31" t="s">
        <v>292</v>
      </c>
    </row>
    <row r="92" customFormat="false" ht="24" hidden="false" customHeight="true" outlineLevel="0" collapsed="false">
      <c r="A92" s="29" t="n">
        <v>2024</v>
      </c>
      <c r="B92" s="29" t="s">
        <v>188</v>
      </c>
      <c r="C92" s="30" t="n">
        <v>2949000000</v>
      </c>
      <c r="D92" s="30" t="n">
        <v>2949</v>
      </c>
      <c r="E92" s="29" t="s">
        <v>153</v>
      </c>
      <c r="F92" s="29" t="s">
        <v>154</v>
      </c>
      <c r="G92" s="29" t="s">
        <v>155</v>
      </c>
      <c r="H92" s="31" t="s">
        <v>156</v>
      </c>
      <c r="I92" s="31" t="s">
        <v>189</v>
      </c>
      <c r="J92" s="31" t="s">
        <v>14</v>
      </c>
      <c r="K92" s="31" t="s">
        <v>190</v>
      </c>
      <c r="L92" s="31" t="s">
        <v>291</v>
      </c>
      <c r="M92" s="31" t="s">
        <v>276</v>
      </c>
      <c r="N92" s="31" t="s">
        <v>277</v>
      </c>
      <c r="O92" s="31" t="s">
        <v>292</v>
      </c>
    </row>
    <row r="93" customFormat="false" ht="24" hidden="false" customHeight="true" outlineLevel="0" collapsed="false">
      <c r="A93" s="29" t="n">
        <v>2024</v>
      </c>
      <c r="B93" s="29" t="s">
        <v>191</v>
      </c>
      <c r="C93" s="30" t="n">
        <v>2931000000</v>
      </c>
      <c r="D93" s="30" t="n">
        <v>2931</v>
      </c>
      <c r="E93" s="29" t="s">
        <v>153</v>
      </c>
      <c r="F93" s="29" t="s">
        <v>154</v>
      </c>
      <c r="G93" s="29" t="s">
        <v>155</v>
      </c>
      <c r="H93" s="31" t="s">
        <v>156</v>
      </c>
      <c r="I93" s="31" t="s">
        <v>192</v>
      </c>
      <c r="J93" s="31" t="s">
        <v>16</v>
      </c>
      <c r="K93" s="31" t="s">
        <v>190</v>
      </c>
      <c r="L93" s="31" t="s">
        <v>291</v>
      </c>
      <c r="M93" s="31" t="s">
        <v>276</v>
      </c>
      <c r="N93" s="31" t="s">
        <v>277</v>
      </c>
      <c r="O93" s="31" t="s">
        <v>292</v>
      </c>
    </row>
    <row r="94" customFormat="false" ht="24" hidden="false" customHeight="true" outlineLevel="0" collapsed="false">
      <c r="A94" s="29" t="n">
        <v>2024</v>
      </c>
      <c r="B94" s="29" t="s">
        <v>193</v>
      </c>
      <c r="C94" s="30" t="n">
        <v>18000000</v>
      </c>
      <c r="D94" s="30" t="n">
        <v>18</v>
      </c>
      <c r="E94" s="29" t="s">
        <v>153</v>
      </c>
      <c r="F94" s="29" t="s">
        <v>154</v>
      </c>
      <c r="G94" s="29" t="s">
        <v>155</v>
      </c>
      <c r="H94" s="31" t="s">
        <v>156</v>
      </c>
      <c r="I94" s="31" t="s">
        <v>194</v>
      </c>
      <c r="J94" s="31" t="s">
        <v>19</v>
      </c>
      <c r="K94" s="31" t="s">
        <v>190</v>
      </c>
      <c r="L94" s="31" t="s">
        <v>291</v>
      </c>
      <c r="M94" s="31" t="s">
        <v>276</v>
      </c>
      <c r="N94" s="31" t="s">
        <v>277</v>
      </c>
      <c r="O94" s="31" t="s">
        <v>292</v>
      </c>
    </row>
    <row r="95" customFormat="false" ht="24" hidden="false" customHeight="true" outlineLevel="0" collapsed="false">
      <c r="A95" s="29" t="n">
        <v>2024</v>
      </c>
      <c r="B95" s="29" t="s">
        <v>195</v>
      </c>
      <c r="C95" s="30" t="n">
        <v>4700000</v>
      </c>
      <c r="D95" s="30" t="n">
        <v>4.7</v>
      </c>
      <c r="E95" s="29" t="s">
        <v>153</v>
      </c>
      <c r="F95" s="29" t="s">
        <v>154</v>
      </c>
      <c r="G95" s="29" t="s">
        <v>155</v>
      </c>
      <c r="H95" s="31" t="s">
        <v>156</v>
      </c>
      <c r="I95" s="31" t="s">
        <v>196</v>
      </c>
      <c r="J95" s="31" t="s">
        <v>286</v>
      </c>
      <c r="K95" s="31" t="s">
        <v>287</v>
      </c>
      <c r="L95" s="31" t="s">
        <v>291</v>
      </c>
      <c r="M95" s="31" t="s">
        <v>276</v>
      </c>
      <c r="N95" s="31" t="s">
        <v>277</v>
      </c>
      <c r="O95" s="31" t="s">
        <v>292</v>
      </c>
    </row>
    <row r="96" customFormat="false" ht="24" hidden="false" customHeight="true" outlineLevel="0" collapsed="false">
      <c r="A96" s="29" t="n">
        <v>2024</v>
      </c>
      <c r="B96" s="29" t="s">
        <v>197</v>
      </c>
      <c r="C96" s="30" t="n">
        <v>1395000000</v>
      </c>
      <c r="D96" s="30" t="n">
        <v>1395</v>
      </c>
      <c r="E96" s="29" t="s">
        <v>153</v>
      </c>
      <c r="F96" s="29" t="s">
        <v>154</v>
      </c>
      <c r="G96" s="29" t="s">
        <v>155</v>
      </c>
      <c r="H96" s="31" t="s">
        <v>156</v>
      </c>
      <c r="I96" s="31" t="s">
        <v>198</v>
      </c>
      <c r="J96" s="31" t="s">
        <v>199</v>
      </c>
      <c r="K96" s="31" t="s">
        <v>200</v>
      </c>
      <c r="L96" s="31" t="s">
        <v>291</v>
      </c>
      <c r="M96" s="31" t="s">
        <v>276</v>
      </c>
      <c r="N96" s="31" t="s">
        <v>277</v>
      </c>
      <c r="O96" s="31" t="s">
        <v>292</v>
      </c>
    </row>
    <row r="97" customFormat="false" ht="24" hidden="false" customHeight="true" outlineLevel="0" collapsed="false">
      <c r="A97" s="29" t="n">
        <v>2024</v>
      </c>
      <c r="B97" s="29" t="s">
        <v>201</v>
      </c>
      <c r="C97" s="30" t="n">
        <v>955000000</v>
      </c>
      <c r="D97" s="30" t="n">
        <v>955</v>
      </c>
      <c r="E97" s="29" t="s">
        <v>153</v>
      </c>
      <c r="F97" s="29" t="s">
        <v>154</v>
      </c>
      <c r="G97" s="29" t="s">
        <v>155</v>
      </c>
      <c r="H97" s="31" t="s">
        <v>156</v>
      </c>
      <c r="I97" s="31" t="s">
        <v>202</v>
      </c>
      <c r="J97" s="31" t="s">
        <v>288</v>
      </c>
      <c r="K97" s="31" t="s">
        <v>190</v>
      </c>
      <c r="L97" s="31" t="s">
        <v>291</v>
      </c>
      <c r="M97" s="31" t="s">
        <v>276</v>
      </c>
      <c r="N97" s="31" t="s">
        <v>277</v>
      </c>
      <c r="O97" s="31" t="s">
        <v>292</v>
      </c>
    </row>
    <row r="98" customFormat="false" ht="24" hidden="false" customHeight="true" outlineLevel="0" collapsed="false">
      <c r="A98" s="29" t="n">
        <v>2024</v>
      </c>
      <c r="B98" s="29" t="s">
        <v>203</v>
      </c>
      <c r="C98" s="30" t="n">
        <v>110000000</v>
      </c>
      <c r="D98" s="30" t="n">
        <v>110</v>
      </c>
      <c r="E98" s="29" t="s">
        <v>153</v>
      </c>
      <c r="F98" s="29" t="s">
        <v>154</v>
      </c>
      <c r="G98" s="29" t="s">
        <v>155</v>
      </c>
      <c r="H98" s="31" t="s">
        <v>156</v>
      </c>
      <c r="I98" s="31" t="s">
        <v>204</v>
      </c>
      <c r="J98" s="31" t="s">
        <v>66</v>
      </c>
      <c r="K98" s="31" t="s">
        <v>190</v>
      </c>
      <c r="L98" s="31" t="s">
        <v>291</v>
      </c>
      <c r="M98" s="31" t="s">
        <v>276</v>
      </c>
      <c r="N98" s="31" t="s">
        <v>277</v>
      </c>
      <c r="O98" s="31" t="s">
        <v>292</v>
      </c>
    </row>
    <row r="99" customFormat="false" ht="24" hidden="false" customHeight="true" outlineLevel="0" collapsed="false">
      <c r="A99" s="29" t="n">
        <v>2024</v>
      </c>
      <c r="B99" s="29" t="s">
        <v>205</v>
      </c>
      <c r="C99" s="30" t="n">
        <v>863000000</v>
      </c>
      <c r="D99" s="30" t="n">
        <v>863</v>
      </c>
      <c r="E99" s="29" t="s">
        <v>153</v>
      </c>
      <c r="F99" s="29" t="s">
        <v>154</v>
      </c>
      <c r="G99" s="29" t="s">
        <v>155</v>
      </c>
      <c r="H99" s="31" t="s">
        <v>156</v>
      </c>
      <c r="I99" s="31" t="s">
        <v>206</v>
      </c>
      <c r="J99" s="31" t="s">
        <v>207</v>
      </c>
      <c r="K99" s="31" t="s">
        <v>190</v>
      </c>
      <c r="L99" s="31" t="s">
        <v>291</v>
      </c>
      <c r="M99" s="31" t="s">
        <v>276</v>
      </c>
      <c r="N99" s="31" t="s">
        <v>277</v>
      </c>
      <c r="O99" s="31" t="s">
        <v>292</v>
      </c>
    </row>
    <row r="100" customFormat="false" ht="24" hidden="false" customHeight="true" outlineLevel="0" collapsed="false">
      <c r="A100" s="29" t="n">
        <v>2024</v>
      </c>
      <c r="B100" s="29" t="s">
        <v>208</v>
      </c>
      <c r="C100" s="30" t="n">
        <v>132000000</v>
      </c>
      <c r="D100" s="30" t="n">
        <v>132</v>
      </c>
      <c r="E100" s="29" t="s">
        <v>153</v>
      </c>
      <c r="F100" s="29" t="s">
        <v>154</v>
      </c>
      <c r="G100" s="29" t="s">
        <v>155</v>
      </c>
      <c r="H100" s="31" t="s">
        <v>156</v>
      </c>
      <c r="I100" s="31" t="s">
        <v>209</v>
      </c>
      <c r="J100" s="31" t="s">
        <v>210</v>
      </c>
      <c r="K100" s="31" t="s">
        <v>190</v>
      </c>
      <c r="L100" s="31" t="s">
        <v>291</v>
      </c>
      <c r="M100" s="31" t="s">
        <v>276</v>
      </c>
      <c r="N100" s="31" t="s">
        <v>277</v>
      </c>
      <c r="O100" s="31" t="s">
        <v>292</v>
      </c>
    </row>
    <row r="101" customFormat="false" ht="24" hidden="false" customHeight="true" outlineLevel="0" collapsed="false">
      <c r="A101" s="29" t="n">
        <v>2024</v>
      </c>
      <c r="B101" s="29" t="s">
        <v>211</v>
      </c>
      <c r="C101" s="30" t="n">
        <v>731000000</v>
      </c>
      <c r="D101" s="30" t="n">
        <v>731</v>
      </c>
      <c r="E101" s="29" t="s">
        <v>153</v>
      </c>
      <c r="F101" s="29" t="s">
        <v>154</v>
      </c>
      <c r="G101" s="29" t="s">
        <v>155</v>
      </c>
      <c r="H101" s="31" t="s">
        <v>156</v>
      </c>
      <c r="I101" s="31" t="s">
        <v>212</v>
      </c>
      <c r="J101" s="31" t="s">
        <v>289</v>
      </c>
      <c r="K101" s="31" t="s">
        <v>190</v>
      </c>
      <c r="L101" s="31" t="s">
        <v>291</v>
      </c>
      <c r="M101" s="31" t="s">
        <v>276</v>
      </c>
      <c r="N101" s="31" t="s">
        <v>277</v>
      </c>
      <c r="O101" s="31" t="s">
        <v>292</v>
      </c>
    </row>
    <row r="102" customFormat="false" ht="24" hidden="false" customHeight="true" outlineLevel="0" collapsed="false">
      <c r="A102" s="29" t="n">
        <v>2024</v>
      </c>
      <c r="B102" s="29" t="s">
        <v>213</v>
      </c>
      <c r="C102" s="30" t="n">
        <v>-74000000</v>
      </c>
      <c r="D102" s="30" t="n">
        <v>-74</v>
      </c>
      <c r="E102" s="29" t="s">
        <v>153</v>
      </c>
      <c r="F102" s="29" t="s">
        <v>154</v>
      </c>
      <c r="G102" s="29" t="s">
        <v>155</v>
      </c>
      <c r="H102" s="31" t="s">
        <v>156</v>
      </c>
      <c r="I102" s="31" t="s">
        <v>214</v>
      </c>
      <c r="J102" s="31" t="s">
        <v>215</v>
      </c>
      <c r="K102" s="31" t="s">
        <v>190</v>
      </c>
      <c r="L102" s="31" t="s">
        <v>291</v>
      </c>
      <c r="M102" s="31" t="s">
        <v>276</v>
      </c>
      <c r="N102" s="31" t="s">
        <v>277</v>
      </c>
      <c r="O102" s="31" t="s">
        <v>292</v>
      </c>
    </row>
    <row r="103" customFormat="false" ht="15" hidden="false" customHeight="true" outlineLevel="0" collapsed="false">
      <c r="A103" s="29" t="n">
        <v>2024</v>
      </c>
      <c r="B103" s="29" t="s">
        <v>216</v>
      </c>
      <c r="C103" s="29"/>
      <c r="D103" s="29"/>
      <c r="E103" s="29"/>
      <c r="F103" s="29"/>
      <c r="G103" s="29" t="s">
        <v>181</v>
      </c>
      <c r="H103" s="31" t="s">
        <v>182</v>
      </c>
      <c r="I103" s="31" t="s">
        <v>217</v>
      </c>
      <c r="J103" s="31"/>
      <c r="K103" s="31"/>
      <c r="L103" s="31"/>
      <c r="M103" s="31"/>
      <c r="N103" s="31"/>
      <c r="O103" s="31"/>
    </row>
    <row r="104" customFormat="false" ht="24" hidden="false" customHeight="true" outlineLevel="0" collapsed="false">
      <c r="A104" s="29" t="n">
        <v>2024</v>
      </c>
      <c r="B104" s="29" t="s">
        <v>218</v>
      </c>
      <c r="C104" s="30" t="n">
        <v>657000000</v>
      </c>
      <c r="D104" s="30" t="n">
        <v>657</v>
      </c>
      <c r="E104" s="29" t="s">
        <v>153</v>
      </c>
      <c r="F104" s="29" t="s">
        <v>154</v>
      </c>
      <c r="G104" s="29" t="s">
        <v>155</v>
      </c>
      <c r="H104" s="31" t="s">
        <v>156</v>
      </c>
      <c r="I104" s="31" t="s">
        <v>219</v>
      </c>
      <c r="J104" s="31" t="s">
        <v>290</v>
      </c>
      <c r="K104" s="31" t="s">
        <v>190</v>
      </c>
      <c r="L104" s="31" t="s">
        <v>291</v>
      </c>
      <c r="M104" s="31" t="s">
        <v>276</v>
      </c>
      <c r="N104" s="31" t="s">
        <v>277</v>
      </c>
      <c r="O104" s="31" t="s">
        <v>292</v>
      </c>
    </row>
    <row r="105" customFormat="false" ht="24" hidden="false" customHeight="true" outlineLevel="0" collapsed="false">
      <c r="A105" s="29" t="n">
        <v>2024</v>
      </c>
      <c r="B105" s="29" t="s">
        <v>220</v>
      </c>
      <c r="C105" s="30" t="n">
        <v>1.44</v>
      </c>
      <c r="D105" s="30" t="n">
        <v>1.44</v>
      </c>
      <c r="E105" s="29" t="s">
        <v>175</v>
      </c>
      <c r="F105" s="29" t="s">
        <v>176</v>
      </c>
      <c r="G105" s="29" t="s">
        <v>155</v>
      </c>
      <c r="H105" s="31" t="s">
        <v>156</v>
      </c>
      <c r="I105" s="31" t="s">
        <v>221</v>
      </c>
      <c r="J105" s="31" t="s">
        <v>222</v>
      </c>
      <c r="K105" s="31" t="s">
        <v>190</v>
      </c>
      <c r="L105" s="31" t="s">
        <v>291</v>
      </c>
      <c r="M105" s="31" t="s">
        <v>276</v>
      </c>
      <c r="N105" s="31" t="s">
        <v>277</v>
      </c>
      <c r="O105" s="31" t="s">
        <v>292</v>
      </c>
    </row>
    <row r="106" customFormat="false" ht="24" hidden="false" customHeight="true" outlineLevel="0" collapsed="false">
      <c r="A106" s="29" t="n">
        <v>2024</v>
      </c>
      <c r="B106" s="29" t="s">
        <v>223</v>
      </c>
      <c r="C106" s="30" t="n">
        <v>62698000000</v>
      </c>
      <c r="D106" s="30" t="n">
        <v>62698</v>
      </c>
      <c r="E106" s="29" t="s">
        <v>153</v>
      </c>
      <c r="F106" s="29" t="s">
        <v>154</v>
      </c>
      <c r="G106" s="29" t="s">
        <v>155</v>
      </c>
      <c r="H106" s="31" t="s">
        <v>156</v>
      </c>
      <c r="I106" s="31" t="s">
        <v>224</v>
      </c>
      <c r="J106" s="31" t="s">
        <v>42</v>
      </c>
      <c r="K106" s="31" t="s">
        <v>225</v>
      </c>
      <c r="L106" s="31" t="s">
        <v>291</v>
      </c>
      <c r="M106" s="31" t="s">
        <v>276</v>
      </c>
      <c r="N106" s="31" t="s">
        <v>277</v>
      </c>
      <c r="O106" s="31" t="s">
        <v>292</v>
      </c>
    </row>
    <row r="107" customFormat="false" ht="24" hidden="false" customHeight="true" outlineLevel="0" collapsed="false">
      <c r="A107" s="29" t="n">
        <v>2024</v>
      </c>
      <c r="B107" s="29" t="s">
        <v>226</v>
      </c>
      <c r="C107" s="30" t="n">
        <v>5389000000</v>
      </c>
      <c r="D107" s="30" t="n">
        <v>5389</v>
      </c>
      <c r="E107" s="29" t="s">
        <v>153</v>
      </c>
      <c r="F107" s="29" t="s">
        <v>154</v>
      </c>
      <c r="G107" s="29" t="s">
        <v>155</v>
      </c>
      <c r="H107" s="31" t="s">
        <v>156</v>
      </c>
      <c r="I107" s="31" t="s">
        <v>227</v>
      </c>
      <c r="J107" s="31" t="s">
        <v>45</v>
      </c>
      <c r="K107" s="31" t="s">
        <v>225</v>
      </c>
      <c r="L107" s="31" t="s">
        <v>291</v>
      </c>
      <c r="M107" s="31" t="s">
        <v>276</v>
      </c>
      <c r="N107" s="31" t="s">
        <v>277</v>
      </c>
      <c r="O107" s="31" t="s">
        <v>292</v>
      </c>
    </row>
    <row r="108" customFormat="false" ht="24" hidden="false" customHeight="true" outlineLevel="0" collapsed="false">
      <c r="A108" s="29" t="n">
        <v>2024</v>
      </c>
      <c r="B108" s="29" t="s">
        <v>228</v>
      </c>
      <c r="C108" s="30" t="n">
        <v>79058000000</v>
      </c>
      <c r="D108" s="30" t="n">
        <v>79058</v>
      </c>
      <c r="E108" s="29" t="s">
        <v>153</v>
      </c>
      <c r="F108" s="29" t="s">
        <v>154</v>
      </c>
      <c r="G108" s="29" t="s">
        <v>155</v>
      </c>
      <c r="H108" s="31" t="s">
        <v>156</v>
      </c>
      <c r="I108" s="31" t="s">
        <v>229</v>
      </c>
      <c r="J108" s="31" t="s">
        <v>230</v>
      </c>
      <c r="K108" s="31" t="s">
        <v>225</v>
      </c>
      <c r="L108" s="31" t="s">
        <v>291</v>
      </c>
      <c r="M108" s="31" t="s">
        <v>276</v>
      </c>
      <c r="N108" s="31" t="s">
        <v>277</v>
      </c>
      <c r="O108" s="31" t="s">
        <v>292</v>
      </c>
    </row>
    <row r="109" customFormat="false" ht="24" hidden="false" customHeight="true" outlineLevel="0" collapsed="false">
      <c r="A109" s="29" t="n">
        <v>2024</v>
      </c>
      <c r="B109" s="29" t="s">
        <v>231</v>
      </c>
      <c r="C109" s="30" t="n">
        <v>54658000000</v>
      </c>
      <c r="D109" s="30" t="n">
        <v>54658</v>
      </c>
      <c r="E109" s="29" t="s">
        <v>153</v>
      </c>
      <c r="F109" s="29" t="s">
        <v>154</v>
      </c>
      <c r="G109" s="29" t="s">
        <v>155</v>
      </c>
      <c r="H109" s="31" t="s">
        <v>156</v>
      </c>
      <c r="I109" s="31" t="s">
        <v>232</v>
      </c>
      <c r="J109" s="31" t="s">
        <v>233</v>
      </c>
      <c r="K109" s="31" t="s">
        <v>225</v>
      </c>
      <c r="L109" s="31" t="s">
        <v>291</v>
      </c>
      <c r="M109" s="31" t="s">
        <v>276</v>
      </c>
      <c r="N109" s="31" t="s">
        <v>277</v>
      </c>
      <c r="O109" s="31" t="s">
        <v>292</v>
      </c>
    </row>
    <row r="110" customFormat="false" ht="15" hidden="false" customHeight="true" outlineLevel="0" collapsed="false">
      <c r="A110" s="29" t="n">
        <v>2024</v>
      </c>
      <c r="B110" s="29" t="s">
        <v>234</v>
      </c>
      <c r="C110" s="30" t="n">
        <v>60047000000</v>
      </c>
      <c r="D110" s="30" t="n">
        <v>60047</v>
      </c>
      <c r="E110" s="29" t="s">
        <v>153</v>
      </c>
      <c r="F110" s="29" t="s">
        <v>154</v>
      </c>
      <c r="G110" s="29" t="s">
        <v>155</v>
      </c>
      <c r="H110" s="31" t="s">
        <v>156</v>
      </c>
      <c r="I110" s="31" t="s">
        <v>235</v>
      </c>
      <c r="J110" s="31" t="s">
        <v>236</v>
      </c>
      <c r="K110" s="31" t="s">
        <v>237</v>
      </c>
      <c r="L110" s="31" t="s">
        <v>291</v>
      </c>
      <c r="M110" s="31" t="s">
        <v>276</v>
      </c>
      <c r="N110" s="31" t="s">
        <v>277</v>
      </c>
      <c r="O110" s="31" t="s">
        <v>292</v>
      </c>
    </row>
    <row r="111" customFormat="false" ht="24" hidden="false" customHeight="true" outlineLevel="0" collapsed="false">
      <c r="A111" s="29" t="n">
        <v>2024</v>
      </c>
      <c r="B111" s="29" t="s">
        <v>238</v>
      </c>
      <c r="C111" s="30" t="n">
        <v>8885000000</v>
      </c>
      <c r="D111" s="30" t="n">
        <v>8885</v>
      </c>
      <c r="E111" s="29" t="s">
        <v>153</v>
      </c>
      <c r="F111" s="29" t="s">
        <v>154</v>
      </c>
      <c r="G111" s="29" t="s">
        <v>155</v>
      </c>
      <c r="H111" s="31" t="s">
        <v>156</v>
      </c>
      <c r="I111" s="31" t="s">
        <v>239</v>
      </c>
      <c r="J111" s="31" t="s">
        <v>240</v>
      </c>
      <c r="K111" s="31" t="s">
        <v>225</v>
      </c>
      <c r="L111" s="31" t="s">
        <v>291</v>
      </c>
      <c r="M111" s="31" t="s">
        <v>276</v>
      </c>
      <c r="N111" s="31" t="s">
        <v>277</v>
      </c>
      <c r="O111" s="31" t="s">
        <v>292</v>
      </c>
    </row>
    <row r="112" customFormat="false" ht="24" hidden="false" customHeight="true" outlineLevel="0" collapsed="false">
      <c r="A112" s="29" t="n">
        <v>2024</v>
      </c>
      <c r="B112" s="29" t="s">
        <v>241</v>
      </c>
      <c r="C112" s="30" t="n">
        <v>7.2</v>
      </c>
      <c r="D112" s="30" t="n">
        <v>7.2</v>
      </c>
      <c r="E112" s="29" t="s">
        <v>242</v>
      </c>
      <c r="F112" s="29" t="s">
        <v>243</v>
      </c>
      <c r="G112" s="29" t="s">
        <v>155</v>
      </c>
      <c r="H112" s="31" t="s">
        <v>156</v>
      </c>
      <c r="I112" s="31" t="s">
        <v>244</v>
      </c>
      <c r="J112" s="31" t="s">
        <v>54</v>
      </c>
      <c r="K112" s="31" t="s">
        <v>225</v>
      </c>
      <c r="L112" s="31" t="s">
        <v>291</v>
      </c>
      <c r="M112" s="31" t="s">
        <v>276</v>
      </c>
      <c r="N112" s="31" t="s">
        <v>277</v>
      </c>
      <c r="O112" s="31" t="s">
        <v>292</v>
      </c>
    </row>
    <row r="113" customFormat="false" ht="24" hidden="false" customHeight="true" outlineLevel="0" collapsed="false">
      <c r="A113" s="29" t="n">
        <v>2024</v>
      </c>
      <c r="B113" s="29" t="s">
        <v>245</v>
      </c>
      <c r="C113" s="30" t="n">
        <v>7.2</v>
      </c>
      <c r="D113" s="30" t="n">
        <v>7.2</v>
      </c>
      <c r="E113" s="29" t="s">
        <v>242</v>
      </c>
      <c r="F113" s="29" t="s">
        <v>243</v>
      </c>
      <c r="G113" s="29" t="s">
        <v>155</v>
      </c>
      <c r="H113" s="31" t="s">
        <v>156</v>
      </c>
      <c r="I113" s="31" t="s">
        <v>246</v>
      </c>
      <c r="J113" s="31" t="s">
        <v>247</v>
      </c>
      <c r="K113" s="31" t="s">
        <v>225</v>
      </c>
      <c r="L113" s="31" t="s">
        <v>291</v>
      </c>
      <c r="M113" s="31" t="s">
        <v>276</v>
      </c>
      <c r="N113" s="31" t="s">
        <v>277</v>
      </c>
      <c r="O113" s="31" t="s">
        <v>292</v>
      </c>
    </row>
    <row r="114" customFormat="false" ht="24" hidden="false" customHeight="true" outlineLevel="0" collapsed="false">
      <c r="A114" s="29" t="n">
        <v>2024</v>
      </c>
      <c r="B114" s="29" t="s">
        <v>248</v>
      </c>
      <c r="C114" s="30" t="n">
        <v>0.132</v>
      </c>
      <c r="D114" s="30" t="n">
        <v>13.2</v>
      </c>
      <c r="E114" s="29" t="s">
        <v>249</v>
      </c>
      <c r="F114" s="29" t="s">
        <v>250</v>
      </c>
      <c r="G114" s="29" t="s">
        <v>155</v>
      </c>
      <c r="H114" s="31" t="s">
        <v>156</v>
      </c>
      <c r="I114" s="31" t="s">
        <v>251</v>
      </c>
      <c r="J114" s="31" t="s">
        <v>252</v>
      </c>
      <c r="K114" s="31" t="s">
        <v>225</v>
      </c>
      <c r="L114" s="31" t="s">
        <v>291</v>
      </c>
      <c r="M114" s="31" t="s">
        <v>276</v>
      </c>
      <c r="N114" s="31" t="s">
        <v>277</v>
      </c>
      <c r="O114" s="31" t="s">
        <v>292</v>
      </c>
    </row>
    <row r="115" customFormat="false" ht="24" hidden="false" customHeight="true" outlineLevel="0" collapsed="false">
      <c r="A115" s="29" t="n">
        <v>2024</v>
      </c>
      <c r="B115" s="29" t="s">
        <v>253</v>
      </c>
      <c r="C115" s="29" t="n">
        <v>0.0014</v>
      </c>
      <c r="D115" s="30" t="n">
        <v>0.14</v>
      </c>
      <c r="E115" s="29" t="s">
        <v>249</v>
      </c>
      <c r="F115" s="29" t="s">
        <v>250</v>
      </c>
      <c r="G115" s="29" t="s">
        <v>155</v>
      </c>
      <c r="H115" s="31" t="s">
        <v>156</v>
      </c>
      <c r="I115" s="31" t="s">
        <v>254</v>
      </c>
      <c r="J115" s="31" t="s">
        <v>255</v>
      </c>
      <c r="K115" s="31" t="s">
        <v>225</v>
      </c>
      <c r="L115" s="31" t="s">
        <v>291</v>
      </c>
      <c r="M115" s="31" t="s">
        <v>276</v>
      </c>
      <c r="N115" s="31" t="s">
        <v>277</v>
      </c>
      <c r="O115" s="31" t="s">
        <v>292</v>
      </c>
    </row>
    <row r="116" customFormat="false" ht="24" hidden="false" customHeight="true" outlineLevel="0" collapsed="false">
      <c r="A116" s="29" t="n">
        <v>2024</v>
      </c>
      <c r="B116" s="29" t="s">
        <v>256</v>
      </c>
      <c r="C116" s="30" t="n">
        <v>0.047</v>
      </c>
      <c r="D116" s="30" t="n">
        <v>4.7</v>
      </c>
      <c r="E116" s="29" t="s">
        <v>249</v>
      </c>
      <c r="F116" s="29" t="s">
        <v>250</v>
      </c>
      <c r="G116" s="29" t="s">
        <v>155</v>
      </c>
      <c r="H116" s="31" t="s">
        <v>156</v>
      </c>
      <c r="I116" s="31" t="s">
        <v>257</v>
      </c>
      <c r="J116" s="31" t="s">
        <v>258</v>
      </c>
      <c r="K116" s="31" t="s">
        <v>259</v>
      </c>
      <c r="L116" s="31" t="s">
        <v>291</v>
      </c>
      <c r="M116" s="31" t="s">
        <v>276</v>
      </c>
      <c r="N116" s="31" t="s">
        <v>277</v>
      </c>
      <c r="O116" s="31" t="s">
        <v>292</v>
      </c>
    </row>
    <row r="117" customFormat="false" ht="24" hidden="false" customHeight="true" outlineLevel="0" collapsed="false">
      <c r="A117" s="29" t="n">
        <v>2024</v>
      </c>
      <c r="B117" s="29" t="s">
        <v>260</v>
      </c>
      <c r="C117" s="30" t="n">
        <v>0.0228</v>
      </c>
      <c r="D117" s="30" t="n">
        <v>2.28</v>
      </c>
      <c r="E117" s="29" t="s">
        <v>249</v>
      </c>
      <c r="F117" s="29" t="s">
        <v>250</v>
      </c>
      <c r="G117" s="29" t="s">
        <v>155</v>
      </c>
      <c r="H117" s="31" t="s">
        <v>156</v>
      </c>
      <c r="I117" s="31" t="s">
        <v>261</v>
      </c>
      <c r="J117" s="31" t="s">
        <v>262</v>
      </c>
      <c r="K117" s="31" t="s">
        <v>259</v>
      </c>
      <c r="L117" s="31" t="s">
        <v>291</v>
      </c>
      <c r="M117" s="31" t="s">
        <v>276</v>
      </c>
      <c r="N117" s="31" t="s">
        <v>277</v>
      </c>
      <c r="O117" s="31" t="s">
        <v>292</v>
      </c>
    </row>
    <row r="118" customFormat="false" ht="24" hidden="false" customHeight="true" outlineLevel="0" collapsed="false">
      <c r="A118" s="29" t="n">
        <v>2024</v>
      </c>
      <c r="B118" s="29" t="s">
        <v>263</v>
      </c>
      <c r="C118" s="30" t="n">
        <v>0.0242</v>
      </c>
      <c r="D118" s="30" t="n">
        <v>2.42</v>
      </c>
      <c r="E118" s="29" t="s">
        <v>249</v>
      </c>
      <c r="F118" s="29" t="s">
        <v>250</v>
      </c>
      <c r="G118" s="29" t="s">
        <v>155</v>
      </c>
      <c r="H118" s="31" t="s">
        <v>156</v>
      </c>
      <c r="I118" s="31" t="s">
        <v>264</v>
      </c>
      <c r="J118" s="31" t="s">
        <v>265</v>
      </c>
      <c r="K118" s="31" t="s">
        <v>259</v>
      </c>
      <c r="L118" s="31" t="s">
        <v>291</v>
      </c>
      <c r="M118" s="31" t="s">
        <v>276</v>
      </c>
      <c r="N118" s="31" t="s">
        <v>277</v>
      </c>
      <c r="O118" s="31" t="s">
        <v>292</v>
      </c>
    </row>
    <row r="119" customFormat="false" ht="15" hidden="false" customHeight="true" outlineLevel="0" collapsed="false">
      <c r="A119" s="29" t="n">
        <v>2024</v>
      </c>
      <c r="B119" s="29" t="s">
        <v>266</v>
      </c>
      <c r="C119" s="30" t="n">
        <v>43351000000</v>
      </c>
      <c r="D119" s="30" t="n">
        <v>43351</v>
      </c>
      <c r="E119" s="29" t="s">
        <v>153</v>
      </c>
      <c r="F119" s="29" t="s">
        <v>154</v>
      </c>
      <c r="G119" s="29" t="s">
        <v>155</v>
      </c>
      <c r="H119" s="31" t="s">
        <v>156</v>
      </c>
      <c r="I119" s="31" t="s">
        <v>267</v>
      </c>
      <c r="J119" s="31" t="s">
        <v>268</v>
      </c>
      <c r="K119" s="31" t="s">
        <v>237</v>
      </c>
      <c r="L119" s="31" t="s">
        <v>291</v>
      </c>
      <c r="M119" s="31" t="s">
        <v>276</v>
      </c>
      <c r="N119" s="31" t="s">
        <v>277</v>
      </c>
      <c r="O119" s="31" t="s">
        <v>292</v>
      </c>
    </row>
    <row r="120" customFormat="false" ht="24" hidden="false" customHeight="true" outlineLevel="0" collapsed="false">
      <c r="A120" s="29" t="n">
        <v>2024</v>
      </c>
      <c r="B120" s="29" t="s">
        <v>269</v>
      </c>
      <c r="C120" s="30" t="n">
        <v>0.72</v>
      </c>
      <c r="D120" s="30" t="n">
        <v>72</v>
      </c>
      <c r="E120" s="29" t="s">
        <v>249</v>
      </c>
      <c r="F120" s="29" t="s">
        <v>250</v>
      </c>
      <c r="G120" s="29" t="s">
        <v>155</v>
      </c>
      <c r="H120" s="31" t="s">
        <v>156</v>
      </c>
      <c r="I120" s="31" t="s">
        <v>270</v>
      </c>
      <c r="J120" s="31" t="s">
        <v>271</v>
      </c>
      <c r="K120" s="31" t="s">
        <v>237</v>
      </c>
      <c r="L120" s="31" t="s">
        <v>291</v>
      </c>
      <c r="M120" s="31" t="s">
        <v>276</v>
      </c>
      <c r="N120" s="31" t="s">
        <v>277</v>
      </c>
      <c r="O120" s="31" t="s">
        <v>292</v>
      </c>
    </row>
    <row r="121" customFormat="false" ht="15" hidden="false" customHeight="true" outlineLevel="0" collapsed="false">
      <c r="A121" s="29" t="n">
        <v>2024</v>
      </c>
      <c r="B121" s="29" t="s">
        <v>272</v>
      </c>
      <c r="C121" s="30" t="n">
        <v>-0.0409</v>
      </c>
      <c r="D121" s="30" t="n">
        <v>-4.09</v>
      </c>
      <c r="E121" s="29" t="s">
        <v>249</v>
      </c>
      <c r="F121" s="29" t="s">
        <v>250</v>
      </c>
      <c r="G121" s="29" t="s">
        <v>155</v>
      </c>
      <c r="H121" s="31" t="s">
        <v>156</v>
      </c>
      <c r="I121" s="31" t="s">
        <v>273</v>
      </c>
      <c r="J121" s="31" t="s">
        <v>274</v>
      </c>
      <c r="K121" s="31" t="s">
        <v>237</v>
      </c>
      <c r="L121" s="31" t="s">
        <v>291</v>
      </c>
      <c r="M121" s="31" t="s">
        <v>276</v>
      </c>
      <c r="N121" s="31" t="s">
        <v>277</v>
      </c>
      <c r="O121" s="31" t="s">
        <v>292</v>
      </c>
    </row>
    <row r="122" customFormat="false" ht="24" hidden="false" customHeight="true" outlineLevel="0" collapsed="false">
      <c r="A122" s="29" t="n">
        <v>2025</v>
      </c>
      <c r="B122" s="29" t="s">
        <v>152</v>
      </c>
      <c r="C122" s="30" t="n">
        <v>81789000000</v>
      </c>
      <c r="D122" s="30" t="n">
        <v>81789</v>
      </c>
      <c r="E122" s="29" t="s">
        <v>153</v>
      </c>
      <c r="F122" s="29" t="s">
        <v>154</v>
      </c>
      <c r="G122" s="29" t="s">
        <v>155</v>
      </c>
      <c r="H122" s="31" t="s">
        <v>156</v>
      </c>
      <c r="I122" s="31" t="s">
        <v>157</v>
      </c>
      <c r="J122" s="31" t="s">
        <v>158</v>
      </c>
      <c r="K122" s="31" t="s">
        <v>159</v>
      </c>
      <c r="L122" s="31" t="s">
        <v>293</v>
      </c>
      <c r="M122" s="31" t="s">
        <v>276</v>
      </c>
      <c r="N122" s="31" t="s">
        <v>277</v>
      </c>
      <c r="O122" s="31" t="s">
        <v>294</v>
      </c>
    </row>
    <row r="123" customFormat="false" ht="24" hidden="false" customHeight="true" outlineLevel="0" collapsed="false">
      <c r="A123" s="29" t="n">
        <v>2025</v>
      </c>
      <c r="B123" s="29" t="s">
        <v>164</v>
      </c>
      <c r="C123" s="30" t="n">
        <v>115077000000</v>
      </c>
      <c r="D123" s="30" t="n">
        <v>115077</v>
      </c>
      <c r="E123" s="29" t="s">
        <v>153</v>
      </c>
      <c r="F123" s="29" t="s">
        <v>154</v>
      </c>
      <c r="G123" s="29" t="s">
        <v>155</v>
      </c>
      <c r="H123" s="31" t="s">
        <v>156</v>
      </c>
      <c r="I123" s="31" t="s">
        <v>165</v>
      </c>
      <c r="J123" s="31" t="s">
        <v>86</v>
      </c>
      <c r="K123" s="31" t="s">
        <v>159</v>
      </c>
      <c r="L123" s="31" t="s">
        <v>293</v>
      </c>
      <c r="M123" s="31" t="s">
        <v>276</v>
      </c>
      <c r="N123" s="31" t="s">
        <v>277</v>
      </c>
      <c r="O123" s="31" t="s">
        <v>294</v>
      </c>
    </row>
    <row r="124" customFormat="false" ht="24" hidden="false" customHeight="true" outlineLevel="0" collapsed="false">
      <c r="A124" s="29" t="n">
        <v>2025</v>
      </c>
      <c r="B124" s="29" t="s">
        <v>166</v>
      </c>
      <c r="C124" s="30" t="n">
        <v>85342000000</v>
      </c>
      <c r="D124" s="30" t="n">
        <v>85342</v>
      </c>
      <c r="E124" s="29" t="s">
        <v>153</v>
      </c>
      <c r="F124" s="29" t="s">
        <v>154</v>
      </c>
      <c r="G124" s="29" t="s">
        <v>155</v>
      </c>
      <c r="H124" s="31" t="s">
        <v>156</v>
      </c>
      <c r="I124" s="31" t="s">
        <v>167</v>
      </c>
      <c r="J124" s="31" t="s">
        <v>168</v>
      </c>
      <c r="K124" s="31" t="s">
        <v>159</v>
      </c>
      <c r="L124" s="31" t="s">
        <v>293</v>
      </c>
      <c r="M124" s="31" t="s">
        <v>276</v>
      </c>
      <c r="N124" s="31" t="s">
        <v>277</v>
      </c>
      <c r="O124" s="31" t="s">
        <v>294</v>
      </c>
    </row>
    <row r="125" customFormat="false" ht="24" hidden="false" customHeight="true" outlineLevel="0" collapsed="false">
      <c r="A125" s="29" t="n">
        <v>2025</v>
      </c>
      <c r="B125" s="29" t="s">
        <v>169</v>
      </c>
      <c r="C125" s="30" t="n">
        <v>102684000000</v>
      </c>
      <c r="D125" s="30" t="n">
        <v>102684</v>
      </c>
      <c r="E125" s="29" t="s">
        <v>153</v>
      </c>
      <c r="F125" s="29" t="s">
        <v>154</v>
      </c>
      <c r="G125" s="29" t="s">
        <v>155</v>
      </c>
      <c r="H125" s="31" t="s">
        <v>156</v>
      </c>
      <c r="I125" s="31" t="s">
        <v>170</v>
      </c>
      <c r="J125" s="31" t="s">
        <v>94</v>
      </c>
      <c r="K125" s="31" t="s">
        <v>159</v>
      </c>
      <c r="L125" s="31" t="s">
        <v>293</v>
      </c>
      <c r="M125" s="31" t="s">
        <v>276</v>
      </c>
      <c r="N125" s="31" t="s">
        <v>277</v>
      </c>
      <c r="O125" s="31" t="s">
        <v>294</v>
      </c>
    </row>
    <row r="126" customFormat="false" ht="24" hidden="false" customHeight="true" outlineLevel="0" collapsed="false">
      <c r="A126" s="29" t="n">
        <v>2025</v>
      </c>
      <c r="B126" s="29" t="s">
        <v>171</v>
      </c>
      <c r="C126" s="30" t="n">
        <v>12393000000</v>
      </c>
      <c r="D126" s="30" t="n">
        <v>12393</v>
      </c>
      <c r="E126" s="29" t="s">
        <v>153</v>
      </c>
      <c r="F126" s="29" t="s">
        <v>154</v>
      </c>
      <c r="G126" s="29" t="s">
        <v>155</v>
      </c>
      <c r="H126" s="31" t="s">
        <v>156</v>
      </c>
      <c r="I126" s="31" t="s">
        <v>172</v>
      </c>
      <c r="J126" s="31" t="s">
        <v>173</v>
      </c>
      <c r="K126" s="31" t="s">
        <v>159</v>
      </c>
      <c r="L126" s="31" t="s">
        <v>293</v>
      </c>
      <c r="M126" s="31" t="s">
        <v>276</v>
      </c>
      <c r="N126" s="31" t="s">
        <v>277</v>
      </c>
      <c r="O126" s="31" t="s">
        <v>294</v>
      </c>
    </row>
    <row r="127" customFormat="false" ht="24" hidden="false" customHeight="true" outlineLevel="0" collapsed="false">
      <c r="A127" s="29" t="n">
        <v>2025</v>
      </c>
      <c r="B127" s="29" t="s">
        <v>174</v>
      </c>
      <c r="C127" s="30" t="n">
        <v>9.35</v>
      </c>
      <c r="D127" s="30" t="n">
        <v>9.35</v>
      </c>
      <c r="E127" s="29" t="s">
        <v>175</v>
      </c>
      <c r="F127" s="29" t="s">
        <v>176</v>
      </c>
      <c r="G127" s="29" t="s">
        <v>155</v>
      </c>
      <c r="H127" s="31" t="s">
        <v>156</v>
      </c>
      <c r="I127" s="31" t="s">
        <v>177</v>
      </c>
      <c r="J127" s="31" t="s">
        <v>77</v>
      </c>
      <c r="K127" s="31" t="s">
        <v>159</v>
      </c>
      <c r="L127" s="31" t="s">
        <v>293</v>
      </c>
      <c r="M127" s="31" t="s">
        <v>276</v>
      </c>
      <c r="N127" s="31" t="s">
        <v>277</v>
      </c>
      <c r="O127" s="31" t="s">
        <v>294</v>
      </c>
    </row>
    <row r="128" customFormat="false" ht="24" hidden="false" customHeight="true" outlineLevel="0" collapsed="false">
      <c r="A128" s="29" t="n">
        <v>2025</v>
      </c>
      <c r="B128" s="29" t="s">
        <v>178</v>
      </c>
      <c r="C128" s="30" t="n">
        <v>8.88</v>
      </c>
      <c r="D128" s="30" t="n">
        <v>8.88</v>
      </c>
      <c r="E128" s="29" t="s">
        <v>175</v>
      </c>
      <c r="F128" s="29" t="s">
        <v>176</v>
      </c>
      <c r="G128" s="29" t="s">
        <v>155</v>
      </c>
      <c r="H128" s="31" t="s">
        <v>156</v>
      </c>
      <c r="I128" s="31" t="s">
        <v>179</v>
      </c>
      <c r="J128" s="31" t="s">
        <v>79</v>
      </c>
      <c r="K128" s="31" t="s">
        <v>159</v>
      </c>
      <c r="L128" s="31" t="s">
        <v>293</v>
      </c>
      <c r="M128" s="31" t="s">
        <v>276</v>
      </c>
      <c r="N128" s="31" t="s">
        <v>277</v>
      </c>
      <c r="O128" s="31" t="s">
        <v>294</v>
      </c>
    </row>
    <row r="129" customFormat="false" ht="24" hidden="false" customHeight="true" outlineLevel="0" collapsed="false">
      <c r="A129" s="29" t="n">
        <v>2025</v>
      </c>
      <c r="B129" s="29" t="s">
        <v>180</v>
      </c>
      <c r="C129" s="30" t="n">
        <v>1107600000</v>
      </c>
      <c r="D129" s="30" t="n">
        <v>1107.6</v>
      </c>
      <c r="E129" s="29" t="s">
        <v>279</v>
      </c>
      <c r="F129" s="29" t="s">
        <v>154</v>
      </c>
      <c r="G129" s="29" t="s">
        <v>155</v>
      </c>
      <c r="H129" s="31" t="s">
        <v>156</v>
      </c>
      <c r="I129" s="31" t="s">
        <v>183</v>
      </c>
      <c r="J129" s="31" t="s">
        <v>280</v>
      </c>
      <c r="K129" s="31" t="s">
        <v>281</v>
      </c>
      <c r="L129" s="31" t="s">
        <v>293</v>
      </c>
      <c r="M129" s="31" t="s">
        <v>276</v>
      </c>
      <c r="N129" s="31" t="s">
        <v>277</v>
      </c>
      <c r="O129" s="31" t="s">
        <v>294</v>
      </c>
    </row>
    <row r="130" customFormat="false" ht="24" hidden="false" customHeight="true" outlineLevel="0" collapsed="false">
      <c r="A130" s="29" t="n">
        <v>2025</v>
      </c>
      <c r="B130" s="29" t="s">
        <v>184</v>
      </c>
      <c r="C130" s="30" t="n">
        <v>1968000000</v>
      </c>
      <c r="D130" s="30" t="n">
        <v>1968</v>
      </c>
      <c r="E130" s="29" t="s">
        <v>153</v>
      </c>
      <c r="F130" s="29" t="s">
        <v>154</v>
      </c>
      <c r="G130" s="29" t="s">
        <v>155</v>
      </c>
      <c r="H130" s="31" t="s">
        <v>156</v>
      </c>
      <c r="I130" s="31" t="s">
        <v>185</v>
      </c>
      <c r="J130" s="31" t="s">
        <v>282</v>
      </c>
      <c r="K130" s="31" t="s">
        <v>283</v>
      </c>
      <c r="L130" s="31" t="s">
        <v>293</v>
      </c>
      <c r="M130" s="31" t="s">
        <v>276</v>
      </c>
      <c r="N130" s="31" t="s">
        <v>277</v>
      </c>
      <c r="O130" s="31" t="s">
        <v>294</v>
      </c>
    </row>
    <row r="131" customFormat="false" ht="24" hidden="false" customHeight="true" outlineLevel="0" collapsed="false">
      <c r="A131" s="29" t="n">
        <v>2025</v>
      </c>
      <c r="B131" s="29" t="s">
        <v>186</v>
      </c>
      <c r="C131" s="30" t="n">
        <v>2033000000</v>
      </c>
      <c r="D131" s="30" t="n">
        <v>2033</v>
      </c>
      <c r="E131" s="29" t="s">
        <v>153</v>
      </c>
      <c r="F131" s="29" t="s">
        <v>154</v>
      </c>
      <c r="G131" s="29" t="s">
        <v>155</v>
      </c>
      <c r="H131" s="31" t="s">
        <v>156</v>
      </c>
      <c r="I131" s="31" t="s">
        <v>187</v>
      </c>
      <c r="J131" s="31" t="s">
        <v>284</v>
      </c>
      <c r="K131" s="31" t="s">
        <v>285</v>
      </c>
      <c r="L131" s="31" t="s">
        <v>293</v>
      </c>
      <c r="M131" s="31" t="s">
        <v>276</v>
      </c>
      <c r="N131" s="31" t="s">
        <v>277</v>
      </c>
      <c r="O131" s="31" t="s">
        <v>294</v>
      </c>
    </row>
    <row r="132" customFormat="false" ht="24" hidden="false" customHeight="true" outlineLevel="0" collapsed="false">
      <c r="A132" s="29" t="n">
        <v>2025</v>
      </c>
      <c r="B132" s="29" t="s">
        <v>188</v>
      </c>
      <c r="C132" s="30" t="n">
        <v>3523000000</v>
      </c>
      <c r="D132" s="30" t="n">
        <v>3523</v>
      </c>
      <c r="E132" s="29" t="s">
        <v>153</v>
      </c>
      <c r="F132" s="29" t="s">
        <v>154</v>
      </c>
      <c r="G132" s="29" t="s">
        <v>155</v>
      </c>
      <c r="H132" s="31" t="s">
        <v>156</v>
      </c>
      <c r="I132" s="31" t="s">
        <v>189</v>
      </c>
      <c r="J132" s="31" t="s">
        <v>14</v>
      </c>
      <c r="K132" s="31" t="s">
        <v>190</v>
      </c>
      <c r="L132" s="31" t="s">
        <v>293</v>
      </c>
      <c r="M132" s="31" t="s">
        <v>276</v>
      </c>
      <c r="N132" s="31" t="s">
        <v>277</v>
      </c>
      <c r="O132" s="31" t="s">
        <v>294</v>
      </c>
    </row>
    <row r="133" customFormat="false" ht="24" hidden="false" customHeight="true" outlineLevel="0" collapsed="false">
      <c r="A133" s="29" t="n">
        <v>2025</v>
      </c>
      <c r="B133" s="29" t="s">
        <v>191</v>
      </c>
      <c r="C133" s="30" t="n">
        <v>2848000000</v>
      </c>
      <c r="D133" s="30" t="n">
        <v>2848</v>
      </c>
      <c r="E133" s="29" t="s">
        <v>153</v>
      </c>
      <c r="F133" s="29" t="s">
        <v>154</v>
      </c>
      <c r="G133" s="29" t="s">
        <v>155</v>
      </c>
      <c r="H133" s="31" t="s">
        <v>156</v>
      </c>
      <c r="I133" s="31" t="s">
        <v>192</v>
      </c>
      <c r="J133" s="31" t="s">
        <v>16</v>
      </c>
      <c r="K133" s="31" t="s">
        <v>190</v>
      </c>
      <c r="L133" s="31" t="s">
        <v>293</v>
      </c>
      <c r="M133" s="31" t="s">
        <v>276</v>
      </c>
      <c r="N133" s="31" t="s">
        <v>277</v>
      </c>
      <c r="O133" s="31" t="s">
        <v>294</v>
      </c>
    </row>
    <row r="134" customFormat="false" ht="24" hidden="false" customHeight="true" outlineLevel="0" collapsed="false">
      <c r="A134" s="29" t="n">
        <v>2025</v>
      </c>
      <c r="B134" s="29" t="s">
        <v>193</v>
      </c>
      <c r="C134" s="30" t="n">
        <v>675000000</v>
      </c>
      <c r="D134" s="30" t="n">
        <v>675</v>
      </c>
      <c r="E134" s="29" t="s">
        <v>153</v>
      </c>
      <c r="F134" s="29" t="s">
        <v>154</v>
      </c>
      <c r="G134" s="29" t="s">
        <v>155</v>
      </c>
      <c r="H134" s="31" t="s">
        <v>156</v>
      </c>
      <c r="I134" s="31" t="s">
        <v>194</v>
      </c>
      <c r="J134" s="31" t="s">
        <v>19</v>
      </c>
      <c r="K134" s="31" t="s">
        <v>190</v>
      </c>
      <c r="L134" s="31" t="s">
        <v>293</v>
      </c>
      <c r="M134" s="31" t="s">
        <v>276</v>
      </c>
      <c r="N134" s="31" t="s">
        <v>277</v>
      </c>
      <c r="O134" s="31" t="s">
        <v>294</v>
      </c>
    </row>
    <row r="135" customFormat="false" ht="24" hidden="false" customHeight="true" outlineLevel="0" collapsed="false">
      <c r="A135" s="29" t="n">
        <v>2025</v>
      </c>
      <c r="B135" s="29" t="s">
        <v>195</v>
      </c>
      <c r="C135" s="30" t="n">
        <v>4097000000</v>
      </c>
      <c r="D135" s="30" t="n">
        <v>4097</v>
      </c>
      <c r="E135" s="29" t="s">
        <v>153</v>
      </c>
      <c r="F135" s="29" t="s">
        <v>154</v>
      </c>
      <c r="G135" s="29" t="s">
        <v>155</v>
      </c>
      <c r="H135" s="31" t="s">
        <v>156</v>
      </c>
      <c r="I135" s="31" t="s">
        <v>196</v>
      </c>
      <c r="J135" s="31" t="s">
        <v>286</v>
      </c>
      <c r="K135" s="31" t="s">
        <v>287</v>
      </c>
      <c r="L135" s="31" t="s">
        <v>293</v>
      </c>
      <c r="M135" s="31" t="s">
        <v>276</v>
      </c>
      <c r="N135" s="31" t="s">
        <v>277</v>
      </c>
      <c r="O135" s="31" t="s">
        <v>294</v>
      </c>
    </row>
    <row r="136" customFormat="false" ht="24" hidden="false" customHeight="true" outlineLevel="0" collapsed="false">
      <c r="A136" s="29" t="n">
        <v>2025</v>
      </c>
      <c r="B136" s="29" t="s">
        <v>197</v>
      </c>
      <c r="C136" s="30" t="n">
        <v>2276000000</v>
      </c>
      <c r="D136" s="30" t="n">
        <v>2276</v>
      </c>
      <c r="E136" s="29" t="s">
        <v>153</v>
      </c>
      <c r="F136" s="29" t="s">
        <v>154</v>
      </c>
      <c r="G136" s="29" t="s">
        <v>155</v>
      </c>
      <c r="H136" s="31" t="s">
        <v>156</v>
      </c>
      <c r="I136" s="31" t="s">
        <v>198</v>
      </c>
      <c r="J136" s="31" t="s">
        <v>199</v>
      </c>
      <c r="K136" s="31" t="s">
        <v>200</v>
      </c>
      <c r="L136" s="31" t="s">
        <v>293</v>
      </c>
      <c r="M136" s="31" t="s">
        <v>276</v>
      </c>
      <c r="N136" s="31" t="s">
        <v>277</v>
      </c>
      <c r="O136" s="31" t="s">
        <v>294</v>
      </c>
    </row>
    <row r="137" customFormat="false" ht="24" hidden="false" customHeight="true" outlineLevel="0" collapsed="false">
      <c r="A137" s="29" t="n">
        <v>2025</v>
      </c>
      <c r="B137" s="29" t="s">
        <v>201</v>
      </c>
      <c r="C137" s="30" t="n">
        <v>1122000000</v>
      </c>
      <c r="D137" s="30" t="n">
        <v>1122</v>
      </c>
      <c r="E137" s="29" t="s">
        <v>153</v>
      </c>
      <c r="F137" s="29" t="s">
        <v>154</v>
      </c>
      <c r="G137" s="29" t="s">
        <v>155</v>
      </c>
      <c r="H137" s="31" t="s">
        <v>156</v>
      </c>
      <c r="I137" s="31" t="s">
        <v>202</v>
      </c>
      <c r="J137" s="31" t="s">
        <v>288</v>
      </c>
      <c r="K137" s="31" t="s">
        <v>190</v>
      </c>
      <c r="L137" s="31" t="s">
        <v>293</v>
      </c>
      <c r="M137" s="31" t="s">
        <v>276</v>
      </c>
      <c r="N137" s="31" t="s">
        <v>277</v>
      </c>
      <c r="O137" s="31" t="s">
        <v>294</v>
      </c>
    </row>
    <row r="138" customFormat="false" ht="24" hidden="false" customHeight="true" outlineLevel="0" collapsed="false">
      <c r="A138" s="29" t="n">
        <v>2025</v>
      </c>
      <c r="B138" s="29" t="s">
        <v>203</v>
      </c>
      <c r="C138" s="30" t="n">
        <v>127000000</v>
      </c>
      <c r="D138" s="30" t="n">
        <v>127</v>
      </c>
      <c r="E138" s="29" t="s">
        <v>153</v>
      </c>
      <c r="F138" s="29" t="s">
        <v>154</v>
      </c>
      <c r="G138" s="29" t="s">
        <v>155</v>
      </c>
      <c r="H138" s="31" t="s">
        <v>156</v>
      </c>
      <c r="I138" s="31" t="s">
        <v>204</v>
      </c>
      <c r="J138" s="31" t="s">
        <v>66</v>
      </c>
      <c r="K138" s="31" t="s">
        <v>190</v>
      </c>
      <c r="L138" s="31" t="s">
        <v>293</v>
      </c>
      <c r="M138" s="31" t="s">
        <v>276</v>
      </c>
      <c r="N138" s="31" t="s">
        <v>277</v>
      </c>
      <c r="O138" s="31" t="s">
        <v>294</v>
      </c>
    </row>
    <row r="139" customFormat="false" ht="24" hidden="false" customHeight="true" outlineLevel="0" collapsed="false">
      <c r="A139" s="29" t="n">
        <v>2025</v>
      </c>
      <c r="B139" s="29" t="s">
        <v>205</v>
      </c>
      <c r="C139" s="30" t="n">
        <v>1670000000</v>
      </c>
      <c r="D139" s="30" t="n">
        <v>1670</v>
      </c>
      <c r="E139" s="29" t="s">
        <v>153</v>
      </c>
      <c r="F139" s="29" t="s">
        <v>154</v>
      </c>
      <c r="G139" s="29" t="s">
        <v>155</v>
      </c>
      <c r="H139" s="31" t="s">
        <v>156</v>
      </c>
      <c r="I139" s="31" t="s">
        <v>206</v>
      </c>
      <c r="J139" s="31" t="s">
        <v>207</v>
      </c>
      <c r="K139" s="31" t="s">
        <v>190</v>
      </c>
      <c r="L139" s="31" t="s">
        <v>293</v>
      </c>
      <c r="M139" s="31" t="s">
        <v>276</v>
      </c>
      <c r="N139" s="31" t="s">
        <v>277</v>
      </c>
      <c r="O139" s="31" t="s">
        <v>294</v>
      </c>
    </row>
    <row r="140" customFormat="false" ht="24" hidden="false" customHeight="true" outlineLevel="0" collapsed="false">
      <c r="A140" s="29" t="n">
        <v>2025</v>
      </c>
      <c r="B140" s="29" t="s">
        <v>208</v>
      </c>
      <c r="C140" s="30" t="n">
        <v>161000000</v>
      </c>
      <c r="D140" s="30" t="n">
        <v>161</v>
      </c>
      <c r="E140" s="29" t="s">
        <v>153</v>
      </c>
      <c r="F140" s="29" t="s">
        <v>154</v>
      </c>
      <c r="G140" s="29" t="s">
        <v>155</v>
      </c>
      <c r="H140" s="31" t="s">
        <v>156</v>
      </c>
      <c r="I140" s="31" t="s">
        <v>209</v>
      </c>
      <c r="J140" s="31" t="s">
        <v>210</v>
      </c>
      <c r="K140" s="31" t="s">
        <v>190</v>
      </c>
      <c r="L140" s="31" t="s">
        <v>293</v>
      </c>
      <c r="M140" s="31" t="s">
        <v>276</v>
      </c>
      <c r="N140" s="31" t="s">
        <v>277</v>
      </c>
      <c r="O140" s="31" t="s">
        <v>294</v>
      </c>
    </row>
    <row r="141" customFormat="false" ht="24" hidden="false" customHeight="true" outlineLevel="0" collapsed="false">
      <c r="A141" s="29" t="n">
        <v>2025</v>
      </c>
      <c r="B141" s="29" t="s">
        <v>211</v>
      </c>
      <c r="C141" s="30" t="n">
        <v>1509000000</v>
      </c>
      <c r="D141" s="30" t="n">
        <v>1509</v>
      </c>
      <c r="E141" s="29" t="s">
        <v>153</v>
      </c>
      <c r="F141" s="29" t="s">
        <v>154</v>
      </c>
      <c r="G141" s="29" t="s">
        <v>155</v>
      </c>
      <c r="H141" s="31" t="s">
        <v>156</v>
      </c>
      <c r="I141" s="31" t="s">
        <v>212</v>
      </c>
      <c r="J141" s="31" t="s">
        <v>289</v>
      </c>
      <c r="K141" s="31" t="s">
        <v>190</v>
      </c>
      <c r="L141" s="31" t="s">
        <v>293</v>
      </c>
      <c r="M141" s="31" t="s">
        <v>276</v>
      </c>
      <c r="N141" s="31" t="s">
        <v>277</v>
      </c>
      <c r="O141" s="31" t="s">
        <v>294</v>
      </c>
    </row>
    <row r="142" customFormat="false" ht="24" hidden="false" customHeight="true" outlineLevel="0" collapsed="false">
      <c r="A142" s="29" t="n">
        <v>2025</v>
      </c>
      <c r="B142" s="29" t="s">
        <v>213</v>
      </c>
      <c r="C142" s="30" t="n">
        <v>268000000</v>
      </c>
      <c r="D142" s="30" t="n">
        <v>268</v>
      </c>
      <c r="E142" s="29" t="s">
        <v>153</v>
      </c>
      <c r="F142" s="29" t="s">
        <v>154</v>
      </c>
      <c r="G142" s="29" t="s">
        <v>155</v>
      </c>
      <c r="H142" s="31" t="s">
        <v>156</v>
      </c>
      <c r="I142" s="31" t="s">
        <v>214</v>
      </c>
      <c r="J142" s="31" t="s">
        <v>215</v>
      </c>
      <c r="K142" s="31" t="s">
        <v>190</v>
      </c>
      <c r="L142" s="31" t="s">
        <v>293</v>
      </c>
      <c r="M142" s="31" t="s">
        <v>276</v>
      </c>
      <c r="N142" s="31" t="s">
        <v>277</v>
      </c>
      <c r="O142" s="31" t="s">
        <v>294</v>
      </c>
    </row>
    <row r="143" customFormat="false" ht="15" hidden="false" customHeight="true" outlineLevel="0" collapsed="false">
      <c r="A143" s="29" t="n">
        <v>2025</v>
      </c>
      <c r="B143" s="29" t="s">
        <v>216</v>
      </c>
      <c r="C143" s="29"/>
      <c r="D143" s="29"/>
      <c r="E143" s="29"/>
      <c r="F143" s="29"/>
      <c r="G143" s="29" t="s">
        <v>181</v>
      </c>
      <c r="H143" s="31" t="s">
        <v>182</v>
      </c>
      <c r="I143" s="31" t="s">
        <v>217</v>
      </c>
      <c r="J143" s="31"/>
      <c r="K143" s="31"/>
      <c r="L143" s="31"/>
      <c r="M143" s="31"/>
      <c r="N143" s="31"/>
      <c r="O143" s="31"/>
    </row>
    <row r="144" customFormat="false" ht="24" hidden="false" customHeight="true" outlineLevel="0" collapsed="false">
      <c r="A144" s="29" t="n">
        <v>2025</v>
      </c>
      <c r="B144" s="29" t="s">
        <v>218</v>
      </c>
      <c r="C144" s="30" t="n">
        <v>1777000000</v>
      </c>
      <c r="D144" s="30" t="n">
        <v>1777</v>
      </c>
      <c r="E144" s="29" t="s">
        <v>153</v>
      </c>
      <c r="F144" s="29" t="s">
        <v>154</v>
      </c>
      <c r="G144" s="29" t="s">
        <v>155</v>
      </c>
      <c r="H144" s="31" t="s">
        <v>156</v>
      </c>
      <c r="I144" s="31" t="s">
        <v>219</v>
      </c>
      <c r="J144" s="31" t="s">
        <v>290</v>
      </c>
      <c r="K144" s="31" t="s">
        <v>190</v>
      </c>
      <c r="L144" s="31" t="s">
        <v>293</v>
      </c>
      <c r="M144" s="31" t="s">
        <v>276</v>
      </c>
      <c r="N144" s="31" t="s">
        <v>277</v>
      </c>
      <c r="O144" s="31" t="s">
        <v>294</v>
      </c>
    </row>
    <row r="145" customFormat="false" ht="24" hidden="false" customHeight="true" outlineLevel="0" collapsed="false">
      <c r="A145" s="29" t="n">
        <v>2025</v>
      </c>
      <c r="B145" s="29" t="s">
        <v>220</v>
      </c>
      <c r="C145" s="30" t="n">
        <v>1.44</v>
      </c>
      <c r="D145" s="30" t="n">
        <v>1.44</v>
      </c>
      <c r="E145" s="29" t="s">
        <v>175</v>
      </c>
      <c r="F145" s="29" t="s">
        <v>176</v>
      </c>
      <c r="G145" s="29" t="s">
        <v>155</v>
      </c>
      <c r="H145" s="31" t="s">
        <v>156</v>
      </c>
      <c r="I145" s="31" t="s">
        <v>221</v>
      </c>
      <c r="J145" s="31" t="s">
        <v>222</v>
      </c>
      <c r="K145" s="31" t="s">
        <v>190</v>
      </c>
      <c r="L145" s="31" t="s">
        <v>293</v>
      </c>
      <c r="M145" s="31" t="s">
        <v>276</v>
      </c>
      <c r="N145" s="31" t="s">
        <v>277</v>
      </c>
      <c r="O145" s="31" t="s">
        <v>294</v>
      </c>
    </row>
    <row r="146" customFormat="false" ht="24" hidden="false" customHeight="true" outlineLevel="0" collapsed="false">
      <c r="A146" s="29" t="n">
        <v>2025</v>
      </c>
      <c r="B146" s="29" t="s">
        <v>223</v>
      </c>
      <c r="C146" s="30" t="n">
        <v>72737000000</v>
      </c>
      <c r="D146" s="30" t="n">
        <v>72737</v>
      </c>
      <c r="E146" s="29" t="s">
        <v>153</v>
      </c>
      <c r="F146" s="29" t="s">
        <v>154</v>
      </c>
      <c r="G146" s="29" t="s">
        <v>155</v>
      </c>
      <c r="H146" s="31" t="s">
        <v>156</v>
      </c>
      <c r="I146" s="31" t="s">
        <v>224</v>
      </c>
      <c r="J146" s="31" t="s">
        <v>42</v>
      </c>
      <c r="K146" s="31" t="s">
        <v>225</v>
      </c>
      <c r="L146" s="31" t="s">
        <v>293</v>
      </c>
      <c r="M146" s="31" t="s">
        <v>276</v>
      </c>
      <c r="N146" s="31" t="s">
        <v>277</v>
      </c>
      <c r="O146" s="31" t="s">
        <v>294</v>
      </c>
    </row>
    <row r="147" customFormat="false" ht="24" hidden="false" customHeight="true" outlineLevel="0" collapsed="false">
      <c r="A147" s="29" t="n">
        <v>2025</v>
      </c>
      <c r="B147" s="29" t="s">
        <v>226</v>
      </c>
      <c r="C147" s="30" t="n">
        <v>10853000000</v>
      </c>
      <c r="D147" s="30" t="n">
        <v>10853</v>
      </c>
      <c r="E147" s="29" t="s">
        <v>153</v>
      </c>
      <c r="F147" s="29" t="s">
        <v>154</v>
      </c>
      <c r="G147" s="29" t="s">
        <v>155</v>
      </c>
      <c r="H147" s="31" t="s">
        <v>156</v>
      </c>
      <c r="I147" s="31" t="s">
        <v>227</v>
      </c>
      <c r="J147" s="31" t="s">
        <v>45</v>
      </c>
      <c r="K147" s="31" t="s">
        <v>225</v>
      </c>
      <c r="L147" s="31" t="s">
        <v>293</v>
      </c>
      <c r="M147" s="31" t="s">
        <v>276</v>
      </c>
      <c r="N147" s="31" t="s">
        <v>277</v>
      </c>
      <c r="O147" s="31" t="s">
        <v>294</v>
      </c>
    </row>
    <row r="148" customFormat="false" ht="24" hidden="false" customHeight="true" outlineLevel="0" collapsed="false">
      <c r="A148" s="29" t="n">
        <v>2025</v>
      </c>
      <c r="B148" s="29" t="s">
        <v>228</v>
      </c>
      <c r="C148" s="30" t="n">
        <v>100770000000</v>
      </c>
      <c r="D148" s="30" t="n">
        <v>100770</v>
      </c>
      <c r="E148" s="29" t="s">
        <v>153</v>
      </c>
      <c r="F148" s="29" t="s">
        <v>154</v>
      </c>
      <c r="G148" s="29" t="s">
        <v>155</v>
      </c>
      <c r="H148" s="31" t="s">
        <v>156</v>
      </c>
      <c r="I148" s="31" t="s">
        <v>229</v>
      </c>
      <c r="J148" s="31" t="s">
        <v>230</v>
      </c>
      <c r="K148" s="31" t="s">
        <v>225</v>
      </c>
      <c r="L148" s="31" t="s">
        <v>293</v>
      </c>
      <c r="M148" s="31" t="s">
        <v>276</v>
      </c>
      <c r="N148" s="31" t="s">
        <v>277</v>
      </c>
      <c r="O148" s="31" t="s">
        <v>294</v>
      </c>
    </row>
    <row r="149" customFormat="false" ht="24" hidden="false" customHeight="true" outlineLevel="0" collapsed="false">
      <c r="A149" s="29" t="n">
        <v>2025</v>
      </c>
      <c r="B149" s="29" t="s">
        <v>231</v>
      </c>
      <c r="C149" s="30" t="n">
        <v>64472000000</v>
      </c>
      <c r="D149" s="30" t="n">
        <v>64472</v>
      </c>
      <c r="E149" s="29" t="s">
        <v>153</v>
      </c>
      <c r="F149" s="29" t="s">
        <v>154</v>
      </c>
      <c r="G149" s="29" t="s">
        <v>155</v>
      </c>
      <c r="H149" s="31" t="s">
        <v>156</v>
      </c>
      <c r="I149" s="31" t="s">
        <v>232</v>
      </c>
      <c r="J149" s="31" t="s">
        <v>233</v>
      </c>
      <c r="K149" s="31" t="s">
        <v>225</v>
      </c>
      <c r="L149" s="31" t="s">
        <v>293</v>
      </c>
      <c r="M149" s="31" t="s">
        <v>276</v>
      </c>
      <c r="N149" s="31" t="s">
        <v>277</v>
      </c>
      <c r="O149" s="31" t="s">
        <v>294</v>
      </c>
    </row>
    <row r="150" customFormat="false" ht="15" hidden="false" customHeight="true" outlineLevel="0" collapsed="false">
      <c r="A150" s="29" t="n">
        <v>2025</v>
      </c>
      <c r="B150" s="29" t="s">
        <v>234</v>
      </c>
      <c r="C150" s="30" t="n">
        <v>75325000000</v>
      </c>
      <c r="D150" s="30" t="n">
        <v>75325</v>
      </c>
      <c r="E150" s="29" t="s">
        <v>153</v>
      </c>
      <c r="F150" s="29" t="s">
        <v>154</v>
      </c>
      <c r="G150" s="29" t="s">
        <v>155</v>
      </c>
      <c r="H150" s="31" t="s">
        <v>156</v>
      </c>
      <c r="I150" s="31" t="s">
        <v>235</v>
      </c>
      <c r="J150" s="31" t="s">
        <v>236</v>
      </c>
      <c r="K150" s="31" t="s">
        <v>237</v>
      </c>
      <c r="L150" s="31" t="s">
        <v>293</v>
      </c>
      <c r="M150" s="31" t="s">
        <v>276</v>
      </c>
      <c r="N150" s="31" t="s">
        <v>277</v>
      </c>
      <c r="O150" s="31" t="s">
        <v>294</v>
      </c>
    </row>
    <row r="151" customFormat="false" ht="24" hidden="false" customHeight="true" outlineLevel="0" collapsed="false">
      <c r="A151" s="29" t="n">
        <v>2025</v>
      </c>
      <c r="B151" s="29" t="s">
        <v>238</v>
      </c>
      <c r="C151" s="30" t="n">
        <v>10663000000</v>
      </c>
      <c r="D151" s="30" t="n">
        <v>10663</v>
      </c>
      <c r="E151" s="29" t="s">
        <v>153</v>
      </c>
      <c r="F151" s="29" t="s">
        <v>154</v>
      </c>
      <c r="G151" s="29" t="s">
        <v>155</v>
      </c>
      <c r="H151" s="31" t="s">
        <v>156</v>
      </c>
      <c r="I151" s="31" t="s">
        <v>239</v>
      </c>
      <c r="J151" s="31" t="s">
        <v>240</v>
      </c>
      <c r="K151" s="31" t="s">
        <v>225</v>
      </c>
      <c r="L151" s="31" t="s">
        <v>293</v>
      </c>
      <c r="M151" s="31" t="s">
        <v>276</v>
      </c>
      <c r="N151" s="31" t="s">
        <v>277</v>
      </c>
      <c r="O151" s="31" t="s">
        <v>294</v>
      </c>
    </row>
    <row r="152" customFormat="false" ht="24" hidden="false" customHeight="true" outlineLevel="0" collapsed="false">
      <c r="A152" s="29" t="n">
        <v>2025</v>
      </c>
      <c r="B152" s="29" t="s">
        <v>241</v>
      </c>
      <c r="C152" s="30" t="n">
        <v>7.4</v>
      </c>
      <c r="D152" s="30" t="n">
        <v>7.4</v>
      </c>
      <c r="E152" s="29" t="s">
        <v>242</v>
      </c>
      <c r="F152" s="29" t="s">
        <v>243</v>
      </c>
      <c r="G152" s="29" t="s">
        <v>155</v>
      </c>
      <c r="H152" s="31" t="s">
        <v>156</v>
      </c>
      <c r="I152" s="31" t="s">
        <v>244</v>
      </c>
      <c r="J152" s="31" t="s">
        <v>54</v>
      </c>
      <c r="K152" s="31" t="s">
        <v>225</v>
      </c>
      <c r="L152" s="31" t="s">
        <v>293</v>
      </c>
      <c r="M152" s="31" t="s">
        <v>276</v>
      </c>
      <c r="N152" s="31" t="s">
        <v>277</v>
      </c>
      <c r="O152" s="31" t="s">
        <v>294</v>
      </c>
    </row>
    <row r="153" customFormat="false" ht="24" hidden="false" customHeight="true" outlineLevel="0" collapsed="false">
      <c r="A153" s="29" t="n">
        <v>2025</v>
      </c>
      <c r="B153" s="29" t="s">
        <v>245</v>
      </c>
      <c r="C153" s="30" t="n">
        <v>7.2</v>
      </c>
      <c r="D153" s="30" t="n">
        <v>7.2</v>
      </c>
      <c r="E153" s="29" t="s">
        <v>242</v>
      </c>
      <c r="F153" s="29" t="s">
        <v>243</v>
      </c>
      <c r="G153" s="29" t="s">
        <v>155</v>
      </c>
      <c r="H153" s="31" t="s">
        <v>156</v>
      </c>
      <c r="I153" s="31" t="s">
        <v>246</v>
      </c>
      <c r="J153" s="31" t="s">
        <v>247</v>
      </c>
      <c r="K153" s="31" t="s">
        <v>225</v>
      </c>
      <c r="L153" s="31" t="s">
        <v>293</v>
      </c>
      <c r="M153" s="31" t="s">
        <v>276</v>
      </c>
      <c r="N153" s="31" t="s">
        <v>277</v>
      </c>
      <c r="O153" s="31" t="s">
        <v>294</v>
      </c>
    </row>
    <row r="154" customFormat="false" ht="24" hidden="false" customHeight="true" outlineLevel="0" collapsed="false">
      <c r="A154" s="29" t="n">
        <v>2025</v>
      </c>
      <c r="B154" s="29" t="s">
        <v>248</v>
      </c>
      <c r="C154" s="30" t="n">
        <v>0.227</v>
      </c>
      <c r="D154" s="30" t="n">
        <v>22.7</v>
      </c>
      <c r="E154" s="29" t="s">
        <v>249</v>
      </c>
      <c r="F154" s="29" t="s">
        <v>250</v>
      </c>
      <c r="G154" s="29" t="s">
        <v>155</v>
      </c>
      <c r="H154" s="31" t="s">
        <v>156</v>
      </c>
      <c r="I154" s="31" t="s">
        <v>251</v>
      </c>
      <c r="J154" s="31" t="s">
        <v>252</v>
      </c>
      <c r="K154" s="31" t="s">
        <v>225</v>
      </c>
      <c r="L154" s="31" t="s">
        <v>293</v>
      </c>
      <c r="M154" s="31" t="s">
        <v>276</v>
      </c>
      <c r="N154" s="31" t="s">
        <v>277</v>
      </c>
      <c r="O154" s="31" t="s">
        <v>294</v>
      </c>
    </row>
    <row r="155" customFormat="false" ht="24" hidden="false" customHeight="true" outlineLevel="0" collapsed="false">
      <c r="A155" s="29" t="n">
        <v>2025</v>
      </c>
      <c r="B155" s="29" t="s">
        <v>253</v>
      </c>
      <c r="C155" s="29" t="n">
        <v>0.0013</v>
      </c>
      <c r="D155" s="30" t="n">
        <v>0.13</v>
      </c>
      <c r="E155" s="29" t="s">
        <v>249</v>
      </c>
      <c r="F155" s="29" t="s">
        <v>250</v>
      </c>
      <c r="G155" s="29" t="s">
        <v>155</v>
      </c>
      <c r="H155" s="31" t="s">
        <v>156</v>
      </c>
      <c r="I155" s="31" t="s">
        <v>254</v>
      </c>
      <c r="J155" s="31" t="s">
        <v>255</v>
      </c>
      <c r="K155" s="31" t="s">
        <v>225</v>
      </c>
      <c r="L155" s="31" t="s">
        <v>293</v>
      </c>
      <c r="M155" s="31" t="s">
        <v>276</v>
      </c>
      <c r="N155" s="31" t="s">
        <v>277</v>
      </c>
      <c r="O155" s="31" t="s">
        <v>294</v>
      </c>
    </row>
    <row r="156" customFormat="false" ht="24" hidden="false" customHeight="true" outlineLevel="0" collapsed="false">
      <c r="A156" s="29" t="n">
        <v>2025</v>
      </c>
      <c r="B156" s="29" t="s">
        <v>256</v>
      </c>
      <c r="C156" s="30" t="n">
        <v>0.049</v>
      </c>
      <c r="D156" s="30" t="n">
        <v>4.9</v>
      </c>
      <c r="E156" s="29" t="s">
        <v>249</v>
      </c>
      <c r="F156" s="29" t="s">
        <v>250</v>
      </c>
      <c r="G156" s="29" t="s">
        <v>155</v>
      </c>
      <c r="H156" s="31" t="s">
        <v>156</v>
      </c>
      <c r="I156" s="31" t="s">
        <v>257</v>
      </c>
      <c r="J156" s="31" t="s">
        <v>258</v>
      </c>
      <c r="K156" s="31" t="s">
        <v>259</v>
      </c>
      <c r="L156" s="31" t="s">
        <v>293</v>
      </c>
      <c r="M156" s="31" t="s">
        <v>276</v>
      </c>
      <c r="N156" s="31" t="s">
        <v>277</v>
      </c>
      <c r="O156" s="31" t="s">
        <v>294</v>
      </c>
    </row>
    <row r="157" customFormat="false" ht="24" hidden="false" customHeight="true" outlineLevel="0" collapsed="false">
      <c r="A157" s="29" t="n">
        <v>2025</v>
      </c>
      <c r="B157" s="29" t="s">
        <v>260</v>
      </c>
      <c r="C157" s="30" t="n">
        <v>0.0298</v>
      </c>
      <c r="D157" s="30" t="n">
        <v>2.98</v>
      </c>
      <c r="E157" s="29" t="s">
        <v>249</v>
      </c>
      <c r="F157" s="29" t="s">
        <v>250</v>
      </c>
      <c r="G157" s="29" t="s">
        <v>155</v>
      </c>
      <c r="H157" s="31" t="s">
        <v>156</v>
      </c>
      <c r="I157" s="31" t="s">
        <v>261</v>
      </c>
      <c r="J157" s="31" t="s">
        <v>262</v>
      </c>
      <c r="K157" s="31" t="s">
        <v>259</v>
      </c>
      <c r="L157" s="31" t="s">
        <v>293</v>
      </c>
      <c r="M157" s="31" t="s">
        <v>276</v>
      </c>
      <c r="N157" s="31" t="s">
        <v>277</v>
      </c>
      <c r="O157" s="31" t="s">
        <v>294</v>
      </c>
    </row>
    <row r="158" customFormat="false" ht="24" hidden="false" customHeight="true" outlineLevel="0" collapsed="false">
      <c r="A158" s="29" t="n">
        <v>2025</v>
      </c>
      <c r="B158" s="29" t="s">
        <v>263</v>
      </c>
      <c r="C158" s="30" t="n">
        <v>0.0192</v>
      </c>
      <c r="D158" s="30" t="n">
        <v>1.92</v>
      </c>
      <c r="E158" s="29" t="s">
        <v>249</v>
      </c>
      <c r="F158" s="29" t="s">
        <v>250</v>
      </c>
      <c r="G158" s="29" t="s">
        <v>155</v>
      </c>
      <c r="H158" s="31" t="s">
        <v>156</v>
      </c>
      <c r="I158" s="31" t="s">
        <v>264</v>
      </c>
      <c r="J158" s="31" t="s">
        <v>265</v>
      </c>
      <c r="K158" s="31" t="s">
        <v>259</v>
      </c>
      <c r="L158" s="31" t="s">
        <v>293</v>
      </c>
      <c r="M158" s="31" t="s">
        <v>276</v>
      </c>
      <c r="N158" s="31" t="s">
        <v>277</v>
      </c>
      <c r="O158" s="31" t="s">
        <v>294</v>
      </c>
    </row>
    <row r="159" customFormat="false" ht="15" hidden="false" customHeight="true" outlineLevel="0" collapsed="false">
      <c r="A159" s="29" t="n">
        <v>2025</v>
      </c>
      <c r="B159" s="29" t="s">
        <v>266</v>
      </c>
      <c r="C159" s="30" t="n">
        <v>48921000000</v>
      </c>
      <c r="D159" s="30" t="n">
        <v>48921</v>
      </c>
      <c r="E159" s="29" t="s">
        <v>153</v>
      </c>
      <c r="F159" s="29" t="s">
        <v>154</v>
      </c>
      <c r="G159" s="29" t="s">
        <v>155</v>
      </c>
      <c r="H159" s="31" t="s">
        <v>156</v>
      </c>
      <c r="I159" s="31" t="s">
        <v>267</v>
      </c>
      <c r="J159" s="31" t="s">
        <v>268</v>
      </c>
      <c r="K159" s="31" t="s">
        <v>237</v>
      </c>
      <c r="L159" s="31" t="s">
        <v>293</v>
      </c>
      <c r="M159" s="31" t="s">
        <v>276</v>
      </c>
      <c r="N159" s="31" t="s">
        <v>277</v>
      </c>
      <c r="O159" s="31" t="s">
        <v>294</v>
      </c>
    </row>
    <row r="160" customFormat="false" ht="24" hidden="false" customHeight="true" outlineLevel="0" collapsed="false">
      <c r="A160" s="29" t="n">
        <v>2025</v>
      </c>
      <c r="B160" s="29" t="s">
        <v>269</v>
      </c>
      <c r="C160" s="30" t="n">
        <v>0.65</v>
      </c>
      <c r="D160" s="30" t="n">
        <v>65</v>
      </c>
      <c r="E160" s="29" t="s">
        <v>249</v>
      </c>
      <c r="F160" s="29" t="s">
        <v>250</v>
      </c>
      <c r="G160" s="29" t="s">
        <v>155</v>
      </c>
      <c r="H160" s="31" t="s">
        <v>156</v>
      </c>
      <c r="I160" s="31" t="s">
        <v>270</v>
      </c>
      <c r="J160" s="31" t="s">
        <v>271</v>
      </c>
      <c r="K160" s="31" t="s">
        <v>237</v>
      </c>
      <c r="L160" s="31" t="s">
        <v>293</v>
      </c>
      <c r="M160" s="31" t="s">
        <v>276</v>
      </c>
      <c r="N160" s="31" t="s">
        <v>277</v>
      </c>
      <c r="O160" s="31" t="s">
        <v>294</v>
      </c>
    </row>
    <row r="161" customFormat="false" ht="15" hidden="false" customHeight="true" outlineLevel="0" collapsed="false">
      <c r="A161" s="29" t="n">
        <v>2025</v>
      </c>
      <c r="B161" s="29" t="s">
        <v>272</v>
      </c>
      <c r="C161" s="30" t="n">
        <v>-0.0218</v>
      </c>
      <c r="D161" s="30" t="n">
        <v>-2.18</v>
      </c>
      <c r="E161" s="29" t="s">
        <v>249</v>
      </c>
      <c r="F161" s="29" t="s">
        <v>250</v>
      </c>
      <c r="G161" s="29" t="s">
        <v>155</v>
      </c>
      <c r="H161" s="31" t="s">
        <v>156</v>
      </c>
      <c r="I161" s="31" t="s">
        <v>273</v>
      </c>
      <c r="J161" s="31" t="s">
        <v>274</v>
      </c>
      <c r="K161" s="31" t="s">
        <v>237</v>
      </c>
      <c r="L161" s="31" t="s">
        <v>293</v>
      </c>
      <c r="M161" s="31" t="s">
        <v>276</v>
      </c>
      <c r="N161" s="31" t="s">
        <v>277</v>
      </c>
      <c r="O161" s="31" t="s">
        <v>294</v>
      </c>
    </row>
    <row r="162" customFormat="false" ht="60" hidden="false" customHeight="true" outlineLevel="0" collapsed="false">
      <c r="A162" s="29" t="s">
        <v>295</v>
      </c>
      <c r="B162" s="29" t="s">
        <v>296</v>
      </c>
      <c r="C162" s="30" t="n">
        <v>0.049</v>
      </c>
      <c r="D162" s="29"/>
      <c r="E162" s="29"/>
      <c r="F162" s="29"/>
      <c r="G162" s="29" t="s">
        <v>297</v>
      </c>
      <c r="H162" s="31" t="s">
        <v>18</v>
      </c>
      <c r="I162" s="31"/>
      <c r="J162" s="31"/>
      <c r="K162" s="31"/>
      <c r="L162" s="31"/>
      <c r="M162" s="31"/>
      <c r="N162" s="31" t="s">
        <v>88</v>
      </c>
      <c r="O162" s="31"/>
    </row>
    <row r="163" customFormat="false" ht="36" hidden="false" customHeight="true" outlineLevel="0" collapsed="false">
      <c r="A163" s="29" t="s">
        <v>295</v>
      </c>
      <c r="B163" s="29" t="s">
        <v>298</v>
      </c>
      <c r="C163" s="30" t="n">
        <v>0</v>
      </c>
      <c r="D163" s="29"/>
      <c r="E163" s="29"/>
      <c r="F163" s="29"/>
      <c r="G163" s="29" t="s">
        <v>297</v>
      </c>
      <c r="H163" s="31" t="s">
        <v>21</v>
      </c>
      <c r="I163" s="31"/>
      <c r="J163" s="31"/>
      <c r="K163" s="31"/>
      <c r="L163" s="31"/>
      <c r="M163" s="31"/>
      <c r="N163" s="31" t="s">
        <v>88</v>
      </c>
      <c r="O163" s="31"/>
    </row>
    <row r="164" customFormat="false" ht="60" hidden="false" customHeight="true" outlineLevel="0" collapsed="false">
      <c r="A164" s="29" t="s">
        <v>295</v>
      </c>
      <c r="B164" s="29" t="s">
        <v>299</v>
      </c>
      <c r="C164" s="29"/>
      <c r="D164" s="29"/>
      <c r="E164" s="29"/>
      <c r="F164" s="29"/>
      <c r="G164" s="29" t="s">
        <v>297</v>
      </c>
      <c r="H164" s="31" t="s">
        <v>300</v>
      </c>
      <c r="I164" s="31"/>
      <c r="J164" s="31"/>
      <c r="K164" s="31"/>
      <c r="L164" s="31"/>
      <c r="M164" s="31"/>
      <c r="N164" s="31" t="s">
        <v>88</v>
      </c>
      <c r="O164" s="31"/>
    </row>
    <row r="165" customFormat="false" ht="36" hidden="false" customHeight="true" outlineLevel="0" collapsed="false">
      <c r="A165" s="29" t="s">
        <v>295</v>
      </c>
      <c r="B165" s="29" t="s">
        <v>301</v>
      </c>
      <c r="C165" s="30" t="n">
        <v>0</v>
      </c>
      <c r="D165" s="29"/>
      <c r="E165" s="29"/>
      <c r="F165" s="29"/>
      <c r="G165" s="29" t="s">
        <v>297</v>
      </c>
      <c r="H165" s="31" t="s">
        <v>26</v>
      </c>
      <c r="I165" s="31"/>
      <c r="J165" s="31"/>
      <c r="K165" s="31"/>
      <c r="L165" s="31"/>
      <c r="M165" s="31"/>
      <c r="N165" s="31" t="s">
        <v>88</v>
      </c>
      <c r="O165" s="31"/>
    </row>
    <row r="166" customFormat="false" ht="60" hidden="false" customHeight="true" outlineLevel="0" collapsed="false">
      <c r="A166" s="29" t="s">
        <v>295</v>
      </c>
      <c r="B166" s="29" t="s">
        <v>302</v>
      </c>
      <c r="C166" s="29"/>
      <c r="D166" s="29"/>
      <c r="E166" s="29"/>
      <c r="F166" s="29"/>
      <c r="G166" s="29" t="s">
        <v>297</v>
      </c>
      <c r="H166" s="31" t="s">
        <v>303</v>
      </c>
      <c r="I166" s="31"/>
      <c r="J166" s="31"/>
      <c r="K166" s="31"/>
      <c r="L166" s="31"/>
      <c r="M166" s="31"/>
      <c r="N166" s="31" t="s">
        <v>88</v>
      </c>
      <c r="O166" s="31"/>
    </row>
    <row r="167" customFormat="false" ht="36" hidden="false" customHeight="true" outlineLevel="0" collapsed="false">
      <c r="A167" s="29" t="s">
        <v>295</v>
      </c>
      <c r="B167" s="29" t="s">
        <v>304</v>
      </c>
      <c r="C167" s="30" t="n">
        <v>0</v>
      </c>
      <c r="D167" s="29"/>
      <c r="E167" s="29"/>
      <c r="F167" s="29"/>
      <c r="G167" s="29" t="s">
        <v>297</v>
      </c>
      <c r="H167" s="31" t="s">
        <v>76</v>
      </c>
      <c r="I167" s="31"/>
      <c r="J167" s="31"/>
      <c r="K167" s="31"/>
      <c r="L167" s="31"/>
      <c r="M167" s="31"/>
      <c r="N167" s="31" t="s">
        <v>88</v>
      </c>
      <c r="O167" s="31"/>
    </row>
    <row r="168" customFormat="false" ht="60" hidden="false" customHeight="true" outlineLevel="0" collapsed="false">
      <c r="A168" s="29" t="s">
        <v>295</v>
      </c>
      <c r="B168" s="29" t="s">
        <v>305</v>
      </c>
      <c r="C168" s="29"/>
      <c r="D168" s="29"/>
      <c r="E168" s="29"/>
      <c r="F168" s="29"/>
      <c r="G168" s="29" t="s">
        <v>297</v>
      </c>
      <c r="H168" s="31" t="s">
        <v>306</v>
      </c>
      <c r="I168" s="31"/>
      <c r="J168" s="31"/>
      <c r="K168" s="31"/>
      <c r="L168" s="31"/>
      <c r="M168" s="31"/>
      <c r="N168" s="31" t="s">
        <v>88</v>
      </c>
      <c r="O168" s="31"/>
    </row>
    <row r="169" customFormat="false" ht="36" hidden="false" customHeight="true" outlineLevel="0" collapsed="false">
      <c r="A169" s="29" t="s">
        <v>295</v>
      </c>
      <c r="B169" s="29" t="s">
        <v>307</v>
      </c>
      <c r="C169" s="30" t="n">
        <v>0</v>
      </c>
      <c r="D169" s="29"/>
      <c r="E169" s="29"/>
      <c r="F169" s="29"/>
      <c r="G169" s="29" t="s">
        <v>297</v>
      </c>
      <c r="H169" s="31" t="s">
        <v>93</v>
      </c>
      <c r="I169" s="31"/>
      <c r="J169" s="31"/>
      <c r="K169" s="31"/>
      <c r="L169" s="31"/>
      <c r="M169" s="31"/>
      <c r="N169" s="31" t="s">
        <v>88</v>
      </c>
      <c r="O169" s="31"/>
    </row>
    <row r="170" customFormat="false" ht="60" hidden="false" customHeight="true" outlineLevel="0" collapsed="false">
      <c r="A170" s="29" t="s">
        <v>295</v>
      </c>
      <c r="B170" s="29" t="s">
        <v>308</v>
      </c>
      <c r="C170" s="30" t="n">
        <v>9.81981226707526</v>
      </c>
      <c r="D170" s="29"/>
      <c r="E170" s="29"/>
      <c r="F170" s="29"/>
      <c r="G170" s="29" t="s">
        <v>297</v>
      </c>
      <c r="H170" s="31" t="s">
        <v>29</v>
      </c>
      <c r="I170" s="31"/>
      <c r="J170" s="31"/>
      <c r="K170" s="31"/>
      <c r="L170" s="31"/>
      <c r="M170" s="31"/>
      <c r="N170" s="31" t="s">
        <v>88</v>
      </c>
      <c r="O170" s="31"/>
    </row>
    <row r="171" customFormat="false" ht="60" hidden="false" customHeight="true" outlineLevel="0" collapsed="false">
      <c r="A171" s="29" t="s">
        <v>295</v>
      </c>
      <c r="B171" s="29" t="s">
        <v>309</v>
      </c>
      <c r="C171" s="30" t="n">
        <v>8.75261897833421</v>
      </c>
      <c r="D171" s="29"/>
      <c r="E171" s="29"/>
      <c r="F171" s="29"/>
      <c r="G171" s="29" t="s">
        <v>297</v>
      </c>
      <c r="H171" s="31" t="s">
        <v>32</v>
      </c>
      <c r="I171" s="31"/>
      <c r="J171" s="31"/>
      <c r="K171" s="31"/>
      <c r="L171" s="31"/>
      <c r="M171" s="31"/>
      <c r="N171" s="31" t="s">
        <v>88</v>
      </c>
      <c r="O171" s="31"/>
    </row>
    <row r="172" customFormat="false" ht="36" hidden="false" customHeight="true" outlineLevel="0" collapsed="false">
      <c r="A172" s="29" t="s">
        <v>295</v>
      </c>
      <c r="B172" s="29" t="s">
        <v>310</v>
      </c>
      <c r="C172" s="30" t="n">
        <v>0</v>
      </c>
      <c r="D172" s="29"/>
      <c r="E172" s="29"/>
      <c r="F172" s="29"/>
      <c r="G172" s="29" t="s">
        <v>297</v>
      </c>
      <c r="H172" s="31" t="s">
        <v>35</v>
      </c>
      <c r="I172" s="31"/>
      <c r="J172" s="31"/>
      <c r="K172" s="31"/>
      <c r="L172" s="31"/>
      <c r="M172" s="31"/>
      <c r="N172" s="31" t="s">
        <v>88</v>
      </c>
      <c r="O172" s="31"/>
    </row>
    <row r="173" customFormat="false" ht="36" hidden="false" customHeight="true" outlineLevel="0" collapsed="false">
      <c r="A173" s="29" t="s">
        <v>295</v>
      </c>
      <c r="B173" s="29" t="s">
        <v>311</v>
      </c>
      <c r="C173" s="29" t="n">
        <v>1.4E-005</v>
      </c>
      <c r="D173" s="29"/>
      <c r="E173" s="29"/>
      <c r="F173" s="29"/>
      <c r="G173" s="29" t="s">
        <v>297</v>
      </c>
      <c r="H173" s="31" t="s">
        <v>38</v>
      </c>
      <c r="I173" s="31"/>
      <c r="J173" s="31"/>
      <c r="K173" s="31"/>
      <c r="L173" s="31"/>
      <c r="M173" s="31"/>
      <c r="N173" s="31" t="s">
        <v>88</v>
      </c>
      <c r="O173" s="31"/>
    </row>
    <row r="174" customFormat="false" ht="60" hidden="false" customHeight="true" outlineLevel="0" collapsed="false">
      <c r="A174" s="29" t="s">
        <v>295</v>
      </c>
      <c r="B174" s="29" t="s">
        <v>312</v>
      </c>
      <c r="C174" s="30" t="n">
        <v>0.0781990521327014</v>
      </c>
      <c r="D174" s="29"/>
      <c r="E174" s="29"/>
      <c r="F174" s="29"/>
      <c r="G174" s="29" t="s">
        <v>297</v>
      </c>
      <c r="H174" s="31" t="s">
        <v>41</v>
      </c>
      <c r="I174" s="31"/>
      <c r="J174" s="31"/>
      <c r="K174" s="31"/>
      <c r="L174" s="31"/>
      <c r="M174" s="31"/>
      <c r="N174" s="31" t="s">
        <v>88</v>
      </c>
      <c r="O174" s="31"/>
    </row>
    <row r="175" customFormat="false" ht="48" hidden="false" customHeight="true" outlineLevel="0" collapsed="false">
      <c r="A175" s="29" t="s">
        <v>295</v>
      </c>
      <c r="B175" s="29" t="s">
        <v>313</v>
      </c>
      <c r="C175" s="30" t="n">
        <v>0.976890656063618</v>
      </c>
      <c r="D175" s="29"/>
      <c r="E175" s="29"/>
      <c r="F175" s="29"/>
      <c r="G175" s="29" t="s">
        <v>297</v>
      </c>
      <c r="H175" s="31" t="s">
        <v>44</v>
      </c>
      <c r="I175" s="31"/>
      <c r="J175" s="31"/>
      <c r="K175" s="31"/>
      <c r="L175" s="31"/>
      <c r="M175" s="31"/>
      <c r="N175" s="31" t="s">
        <v>88</v>
      </c>
      <c r="O175" s="31"/>
    </row>
    <row r="176" customFormat="false" ht="36" hidden="false" customHeight="true" outlineLevel="0" collapsed="false">
      <c r="A176" s="29" t="s">
        <v>295</v>
      </c>
      <c r="B176" s="29" t="s">
        <v>314</v>
      </c>
      <c r="C176" s="30" t="n">
        <v>0</v>
      </c>
      <c r="D176" s="29"/>
      <c r="E176" s="29"/>
      <c r="F176" s="29"/>
      <c r="G176" s="29" t="s">
        <v>297</v>
      </c>
      <c r="H176" s="31" t="s">
        <v>47</v>
      </c>
      <c r="I176" s="31"/>
      <c r="J176" s="31"/>
      <c r="K176" s="31"/>
      <c r="L176" s="31"/>
      <c r="M176" s="31"/>
      <c r="N176" s="31" t="s">
        <v>88</v>
      </c>
      <c r="O176" s="31"/>
    </row>
    <row r="177" customFormat="false" ht="36" hidden="false" customHeight="true" outlineLevel="0" collapsed="false">
      <c r="A177" s="29" t="s">
        <v>295</v>
      </c>
      <c r="B177" s="29" t="s">
        <v>315</v>
      </c>
      <c r="C177" s="30" t="n">
        <v>0</v>
      </c>
      <c r="D177" s="29"/>
      <c r="E177" s="29"/>
      <c r="F177" s="29"/>
      <c r="G177" s="29" t="s">
        <v>297</v>
      </c>
      <c r="H177" s="31" t="s">
        <v>50</v>
      </c>
      <c r="I177" s="31"/>
      <c r="J177" s="31"/>
      <c r="K177" s="31"/>
      <c r="L177" s="31"/>
      <c r="M177" s="31"/>
      <c r="N177" s="31" t="s">
        <v>88</v>
      </c>
      <c r="O177" s="31"/>
    </row>
    <row r="178" customFormat="false" ht="36" hidden="false" customHeight="true" outlineLevel="0" collapsed="false">
      <c r="A178" s="29" t="s">
        <v>295</v>
      </c>
      <c r="B178" s="29" t="s">
        <v>316</v>
      </c>
      <c r="C178" s="30" t="n">
        <v>0</v>
      </c>
      <c r="D178" s="29"/>
      <c r="E178" s="29"/>
      <c r="F178" s="29"/>
      <c r="G178" s="29" t="s">
        <v>297</v>
      </c>
      <c r="H178" s="31" t="s">
        <v>53</v>
      </c>
      <c r="I178" s="31"/>
      <c r="J178" s="31"/>
      <c r="K178" s="31"/>
      <c r="L178" s="31"/>
      <c r="M178" s="31"/>
      <c r="N178" s="31" t="s">
        <v>88</v>
      </c>
      <c r="O178" s="31"/>
    </row>
    <row r="179" customFormat="false" ht="36" hidden="false" customHeight="true" outlineLevel="0" collapsed="false">
      <c r="A179" s="29" t="s">
        <v>295</v>
      </c>
      <c r="B179" s="29" t="s">
        <v>317</v>
      </c>
      <c r="C179" s="30" t="n">
        <v>0.162009749681374</v>
      </c>
      <c r="D179" s="29"/>
      <c r="E179" s="29"/>
      <c r="F179" s="29"/>
      <c r="G179" s="29" t="s">
        <v>297</v>
      </c>
      <c r="H179" s="31" t="s">
        <v>56</v>
      </c>
      <c r="I179" s="31"/>
      <c r="J179" s="31"/>
      <c r="K179" s="31"/>
      <c r="L179" s="31"/>
      <c r="M179" s="31"/>
      <c r="N179" s="31" t="s">
        <v>88</v>
      </c>
      <c r="O179" s="31"/>
    </row>
    <row r="180" customFormat="false" ht="36" hidden="false" customHeight="true" outlineLevel="0" collapsed="false">
      <c r="A180" s="29" t="s">
        <v>295</v>
      </c>
      <c r="B180" s="29" t="s">
        <v>318</v>
      </c>
      <c r="C180" s="30" t="n">
        <v>0.025</v>
      </c>
      <c r="D180" s="29"/>
      <c r="E180" s="29"/>
      <c r="F180" s="29"/>
      <c r="G180" s="29" t="s">
        <v>297</v>
      </c>
      <c r="H180" s="31" t="s">
        <v>59</v>
      </c>
      <c r="I180" s="31"/>
      <c r="J180" s="31"/>
      <c r="K180" s="31"/>
      <c r="L180" s="31"/>
      <c r="M180" s="31"/>
      <c r="N180" s="31" t="s">
        <v>88</v>
      </c>
      <c r="O180" s="31"/>
    </row>
    <row r="181" customFormat="false" ht="48" hidden="false" customHeight="true" outlineLevel="0" collapsed="false">
      <c r="A181" s="29" t="s">
        <v>295</v>
      </c>
      <c r="B181" s="29" t="s">
        <v>319</v>
      </c>
      <c r="C181" s="30" t="n">
        <v>1107600000</v>
      </c>
      <c r="D181" s="29"/>
      <c r="E181" s="29"/>
      <c r="F181" s="29"/>
      <c r="G181" s="29" t="s">
        <v>297</v>
      </c>
      <c r="H181" s="31" t="s">
        <v>62</v>
      </c>
      <c r="I181" s="31"/>
      <c r="J181" s="31"/>
      <c r="K181" s="31"/>
      <c r="L181" s="31"/>
      <c r="M181" s="31"/>
      <c r="N181" s="31" t="s">
        <v>88</v>
      </c>
      <c r="O181" s="31"/>
    </row>
    <row r="182" customFormat="false" ht="60" hidden="false" customHeight="true" outlineLevel="0" collapsed="false">
      <c r="A182" s="29" t="s">
        <v>295</v>
      </c>
      <c r="B182" s="29" t="s">
        <v>320</v>
      </c>
      <c r="C182" s="30" t="n">
        <v>8.88</v>
      </c>
      <c r="D182" s="29"/>
      <c r="E182" s="29"/>
      <c r="F182" s="29"/>
      <c r="G182" s="29" t="s">
        <v>297</v>
      </c>
      <c r="H182" s="31" t="s">
        <v>321</v>
      </c>
      <c r="I182" s="31"/>
      <c r="J182" s="31"/>
      <c r="K182" s="31"/>
      <c r="L182" s="31"/>
      <c r="M182" s="31"/>
      <c r="N182" s="31" t="s">
        <v>88</v>
      </c>
      <c r="O182" s="31"/>
    </row>
    <row r="183" customFormat="false" ht="60" hidden="false" customHeight="true" outlineLevel="0" collapsed="false">
      <c r="A183" s="29" t="s">
        <v>295</v>
      </c>
      <c r="B183" s="29" t="s">
        <v>322</v>
      </c>
      <c r="C183" s="30" t="n">
        <v>2033000000</v>
      </c>
      <c r="D183" s="29"/>
      <c r="E183" s="29"/>
      <c r="F183" s="29"/>
      <c r="G183" s="29" t="s">
        <v>297</v>
      </c>
      <c r="H183" s="31" t="s">
        <v>68</v>
      </c>
      <c r="I183" s="31"/>
      <c r="J183" s="31"/>
      <c r="K183" s="31"/>
      <c r="L183" s="31"/>
      <c r="M183" s="31"/>
      <c r="N183" s="31" t="s">
        <v>88</v>
      </c>
      <c r="O183" s="31"/>
    </row>
    <row r="184" customFormat="false" ht="36" hidden="false" customHeight="true" outlineLevel="0" collapsed="false">
      <c r="A184" s="29" t="s">
        <v>295</v>
      </c>
      <c r="B184" s="29" t="s">
        <v>323</v>
      </c>
      <c r="C184" s="30" t="n">
        <v>8.79</v>
      </c>
      <c r="D184" s="29"/>
      <c r="E184" s="29"/>
      <c r="F184" s="29"/>
      <c r="G184" s="29" t="s">
        <v>297</v>
      </c>
      <c r="H184" s="31" t="s">
        <v>71</v>
      </c>
      <c r="I184" s="31"/>
      <c r="J184" s="31"/>
      <c r="K184" s="31"/>
      <c r="L184" s="31"/>
      <c r="M184" s="31"/>
      <c r="N184" s="31" t="s">
        <v>88</v>
      </c>
      <c r="O184" s="31"/>
    </row>
  </sheetData>
  <autoFilter ref="A1:O18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2025-07-16T02:30:30Z</dcterms:created>
  <dc:creator>Varcas Kumar Sabharwal</dc:creator>
  <dc:description/>
  <dc:language>en-AE</dc:language>
  <cp:lastModifiedBy>Ryan Rodrigues</cp:lastModifiedBy>
  <dcterms:modified xsi:type="dcterms:W3CDTF">2026-10-03T22:41:08Z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0x01010068406715A740934999FE71FB7A3B349E</vt:lpwstr>
  </property>
</Properties>
</file>