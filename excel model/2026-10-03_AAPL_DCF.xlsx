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Outputs - Base" sheetId="2" state="visible" r:id="rId4"/>
    <sheet name="DCF Model - Base (1)" sheetId="3" state="visible" r:id="rId5"/>
    <sheet name="DCF Model - Bull (2)" sheetId="4" state="visible" r:id="rId6"/>
    <sheet name="DCF Model - Bear (3)" sheetId="5" state="visible" r:id="rId7"/>
    <sheet name="WACC" sheetId="6" state="visible" r:id="rId8"/>
    <sheet name="Comps" sheetId="7" state="visible" r:id="rId9"/>
    <sheet name="Data Given (Recalculated)" sheetId="8" state="visible" r:id="rId10"/>
    <sheet name="Data Review" sheetId="9" state="visible" r:id="rId11"/>
  </sheets>
  <definedNames>
    <definedName function="false" hidden="true" localSheetId="8" name="_xlnm._FilterDatabase" vbProcedure="false">'Data Review'!$A$5:$C$497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<sst xmlns="http://schemas.openxmlformats.org/spreadsheetml/2006/main" count="2225" uniqueCount="774">
  <si>
    <t xml:space="preserve">Deal Overview:</t>
  </si>
  <si>
    <t xml:space="preserve"> </t>
  </si>
  <si>
    <t xml:space="preserve">Table of Contents:</t>
  </si>
  <si>
    <t xml:space="preserve">Company: </t>
  </si>
  <si>
    <t xml:space="preserve">Apple Inc.</t>
  </si>
  <si>
    <t xml:space="preserve">Outputs - Base</t>
  </si>
  <si>
    <t xml:space="preserve">Industry:</t>
  </si>
  <si>
    <t xml:space="preserve">Consumer Electronics</t>
  </si>
  <si>
    <t xml:space="preserve">DCF Model - Base (1)</t>
  </si>
  <si>
    <t xml:space="preserve">DCF Model - Bull (2)</t>
  </si>
  <si>
    <t xml:space="preserve">Scenario</t>
  </si>
  <si>
    <t xml:space="preserve">DCF Model - Bear (3)</t>
  </si>
  <si>
    <t xml:space="preserve">WACC</t>
  </si>
  <si>
    <t xml:space="preserve">Implied Equity Value - GGM</t>
  </si>
  <si>
    <t xml:space="preserve">Comps </t>
  </si>
  <si>
    <t xml:space="preserve">Implied Equity Value - Multiples</t>
  </si>
  <si>
    <t xml:space="preserve">Data Given (Recalculated)</t>
  </si>
  <si>
    <t xml:space="preserve">Implied Upside - GGM</t>
  </si>
  <si>
    <t xml:space="preserve">Implied Upside - Multiples</t>
  </si>
  <si>
    <t xml:space="preserve">Last Modified:</t>
  </si>
  <si>
    <t xml:space="preserve">Authors:</t>
  </si>
  <si>
    <t xml:space="preserve">Legend:</t>
  </si>
  <si>
    <t xml:space="preserve">Name:</t>
  </si>
  <si>
    <t xml:space="preserve">xxx</t>
  </si>
  <si>
    <t xml:space="preserve">Hard Coded Figure</t>
  </si>
  <si>
    <t xml:space="preserve">Email:</t>
  </si>
  <si>
    <t xml:space="preserve">Soft Coded Figure</t>
  </si>
  <si>
    <t xml:space="preserve">Phone Number:</t>
  </si>
  <si>
    <t xml:space="preserve">Reference from Preceding Cell</t>
  </si>
  <si>
    <t xml:space="preserve">Change in Formula/Odd Calculation</t>
  </si>
  <si>
    <t xml:space="preserve">Reference from Other Worksheet</t>
  </si>
  <si>
    <t xml:space="preserve">Discounted Cash Flow Output</t>
  </si>
  <si>
    <t xml:space="preserve">Company Apple Inc.</t>
  </si>
  <si>
    <t xml:space="preserve">All $ in USD millions unless otherwise stated</t>
  </si>
  <si>
    <t xml:space="preserve">Discounted Cash Flow</t>
  </si>
  <si>
    <t xml:space="preserve">FY2021A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</si>
  <si>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</si>
  <si>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</si>
  <si>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</si>
  <si>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</si>
  <si>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</si>
  <si>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</si>
  <si>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</si>
  <si>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</si>
  <si>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</si>
  <si>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EBIT</t>
  </si>
  <si>
    <t xml:space="preserve">(+) Depreciation &amp; Amortization</t>
  </si>
  <si>
    <t xml:space="preserve">EBITDA</t>
  </si>
  <si>
    <t xml:space="preserve">NOPAT</t>
  </si>
  <si>
    <t xml:space="preserve">(+) Depreciation</t>
  </si>
  <si>
    <t xml:space="preserve">(-) Capital Expenditures</t>
  </si>
  <si>
    <t xml:space="preserve">(-) Change in NWC</t>
  </si>
  <si>
    <t xml:space="preserve">Unlevered Free Cash Flow</t>
  </si>
  <si>
    <t xml:space="preserve">Date of Valuation</t>
  </si>
  <si>
    <t xml:space="preserve">Date For Discounting Cash Flows</t>
  </si>
  <si>
    <t xml:space="preserve">Period, Stub Adjusted</t>
  </si>
  <si>
    <t xml:space="preserve">Discount Period, Stub and Mid-Year Adjusted</t>
  </si>
  <si>
    <t xml:space="preserve">Discount Rate</t>
  </si>
  <si>
    <t xml:space="preserve">Present Value of Unlevered Free Cash Flow</t>
  </si>
  <si>
    <t xml:space="preserve">EV Calculation - Multiples Method</t>
  </si>
  <si>
    <t xml:space="preserve">EV Calculation - GGM</t>
  </si>
  <si>
    <t xml:space="preserve">Multiples Method</t>
  </si>
  <si>
    <t xml:space="preserve">Terminal Value % of TEV</t>
  </si>
  <si>
    <t xml:space="preserve">Exit Multiple</t>
  </si>
  <si>
    <t xml:space="preserve">Long Term Growth Rate</t>
  </si>
  <si>
    <t xml:space="preserve">PV of UFCF % of TEV</t>
  </si>
  <si>
    <t xml:space="preserve">Implied TV Exit EBITDA Multiple</t>
  </si>
  <si>
    <t xml:space="preserve">PV of UFCF</t>
  </si>
  <si>
    <t xml:space="preserve">Final Year EBITDA</t>
  </si>
  <si>
    <t xml:space="preserve">Final Year UFCF × (1 + g)</t>
  </si>
  <si>
    <t xml:space="preserve">Terminal Value</t>
  </si>
  <si>
    <t xml:space="preserve">PV of Terminal Value</t>
  </si>
  <si>
    <t xml:space="preserve">Gordon Growth Method</t>
  </si>
  <si>
    <t xml:space="preserve">Enterprise Value</t>
  </si>
  <si>
    <t xml:space="preserve">(-) Outstanding Debt</t>
  </si>
  <si>
    <t xml:space="preserve">(-) Minority Interest and Preferred Equity</t>
  </si>
  <si>
    <t xml:space="preserve">(+) Cash and Non-Operating Assets</t>
  </si>
  <si>
    <t xml:space="preserve">Implied Equity Value</t>
  </si>
  <si>
    <t xml:space="preserve">Blended</t>
  </si>
  <si>
    <t xml:space="preserve">Current Equity Value</t>
  </si>
  <si>
    <t xml:space="preserve">Implied Upside</t>
  </si>
  <si>
    <t xml:space="preserve">Implied Share Price</t>
  </si>
  <si>
    <t xml:space="preserve">Discounted Cash Flow Model</t>
  </si>
  <si>
    <t xml:space="preserve">Assumptions</t>
  </si>
  <si>
    <t xml:space="preserve">Valuation Summary</t>
  </si>
  <si>
    <t xml:space="preserve">Operating Assumptions</t>
  </si>
  <si>
    <t xml:space="preserve">Other Inputs</t>
  </si>
  <si>
    <t xml:space="preserve">Implied Enterprise Value</t>
  </si>
  <si>
    <t xml:space="preserve">CapEx % of Revenue</t>
  </si>
  <si>
    <t xml:space="preserve">Valuation Date</t>
  </si>
  <si>
    <t xml:space="preserve">Implied EV / EBITDA</t>
  </si>
  <si>
    <t xml:space="preserve">NWC intensity overlay % of Revenue</t>
  </si>
  <si>
    <t xml:space="preserve">Closing Date</t>
  </si>
  <si>
    <t xml:space="preserve">Tax Rate</t>
  </si>
  <si>
    <t xml:space="preserve">Fiscal Year End</t>
  </si>
  <si>
    <t xml:space="preserve">Implied Share Price (Gordon Growth)</t>
  </si>
  <si>
    <t xml:space="preserve">D&amp;A % revenue</t>
  </si>
  <si>
    <t xml:space="preserve">EBIT Margin Convergence (Years)</t>
  </si>
  <si>
    <t xml:space="preserve">Implied Share Price (Exit Multiple)</t>
  </si>
  <si>
    <t xml:space="preserve">Stage 1 Revenue Growth</t>
  </si>
  <si>
    <t xml:space="preserve">Revenue Growth Stage 1 (Years)</t>
  </si>
  <si>
    <t xml:space="preserve">Terminal Assumptions</t>
  </si>
  <si>
    <t xml:space="preserve">Starting EBIT Margin</t>
  </si>
  <si>
    <t xml:space="preserve">Revenue Growth Fade (Years)</t>
  </si>
  <si>
    <t xml:space="preserve">Exit EBITDA Multiple</t>
  </si>
  <si>
    <t xml:space="preserve">Forecast Gross Margin</t>
  </si>
  <si>
    <t xml:space="preserve">Diluted Shares (millions)</t>
  </si>
  <si>
    <t xml:space="preserve">Cash and Cash Equivalents</t>
  </si>
  <si>
    <t xml:space="preserve">Steady-State EBIT Margin</t>
  </si>
  <si>
    <t xml:space="preserve">Current Share Price</t>
  </si>
  <si>
    <t xml:space="preserve">Income Statement</t>
  </si>
  <si>
    <t xml:space="preserve">FY'21-22A</t>
  </si>
  <si>
    <t xml:space="preserve">FY'23-30E</t>
  </si>
  <si>
    <t xml:space="preserve">Stage 2 Revenue Growth</t>
  </si>
  <si>
    <t xml:space="preserve">Total Revenue</t>
  </si>
  <si>
    <t xml:space="preserve">Minority Interest</t>
  </si>
  <si>
    <t xml:space="preserve">% growth</t>
  </si>
  <si>
    <t xml:space="preserve">Preferred Equity</t>
  </si>
  <si>
    <t xml:space="preserve">Cost of Revenue</t>
  </si>
  <si>
    <t xml:space="preserve">% of revenue</t>
  </si>
  <si>
    <t xml:space="preserve">Other Cost of Revenue</t>
  </si>
  <si>
    <t xml:space="preserve">Total Cost of Sales</t>
  </si>
  <si>
    <t xml:space="preserve">Gross Profit</t>
  </si>
  <si>
    <t xml:space="preserve">% margin</t>
  </si>
  <si>
    <t xml:space="preserve">Operating Expenses</t>
  </si>
  <si>
    <t xml:space="preserve">Research &amp; Development</t>
  </si>
  <si>
    <t xml:space="preserve">SG&amp;A</t>
  </si>
  <si>
    <t xml:space="preserve">D&amp;A (included in Operating)</t>
  </si>
  <si>
    <t xml:space="preserve">Other OpEx / (Income)</t>
  </si>
  <si>
    <t xml:space="preserve">Total Operating Expenses</t>
  </si>
  <si>
    <t xml:space="preserve">Forecast EBIT Margin Driver</t>
  </si>
  <si>
    <t xml:space="preserve">Income Taxes</t>
  </si>
  <si>
    <t xml:space="preserve">% tax rate</t>
  </si>
  <si>
    <t xml:space="preserve">% revenue</t>
  </si>
  <si>
    <t xml:space="preserve">PP&amp;E Schedule</t>
  </si>
  <si>
    <t xml:space="preserve">CapEx</t>
  </si>
  <si>
    <t xml:space="preserve">% sales</t>
  </si>
  <si>
    <t xml:space="preserve">Depreciation &amp; Amortization</t>
  </si>
  <si>
    <t xml:space="preserve">% revenue (assumed)</t>
  </si>
  <si>
    <t xml:space="preserve">% of CapEx</t>
  </si>
  <si>
    <t xml:space="preserve">Unlevered Free Cash Flow Waterfall</t>
  </si>
  <si>
    <t xml:space="preserve">Date for Valuation</t>
  </si>
  <si>
    <t xml:space="preserve">Present Value of Cash Flows</t>
  </si>
  <si>
    <t xml:space="preserve">Output</t>
  </si>
  <si>
    <t xml:space="preserve">Sensitivity Analysis</t>
  </si>
  <si>
    <t xml:space="preserve">Enterprise Value - WACC x Terminal Growth</t>
  </si>
  <si>
    <t xml:space="preserve">Enterprise Value - Revenue Growth x EBIT Margin</t>
  </si>
  <si>
    <t xml:space="preserve">Revenue Growth</t>
  </si>
  <si>
    <t xml:space="preserve">Terminal Growth</t>
  </si>
  <si>
    <t xml:space="preserve">Rate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</si>
  <si>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</si>
  <si>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</si>
  <si>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</si>
  <si>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</si>
  <si>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</si>
  <si>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Change in NWC</t>
  </si>
  <si>
    <t xml:space="preserve">WACC Calculation</t>
  </si>
  <si>
    <t xml:space="preserve">Beta Calculation</t>
  </si>
  <si>
    <t xml:space="preserve">Company</t>
  </si>
  <si>
    <t xml:space="preserve">Levered Beta</t>
  </si>
  <si>
    <t xml:space="preserve">Debt ($B)</t>
  </si>
  <si>
    <t xml:space="preserve">Equity Value</t>
  </si>
  <si>
    <t xml:space="preserve">D/E</t>
  </si>
  <si>
    <t xml:space="preserve">Unlevered Beta</t>
  </si>
  <si>
    <t xml:space="preserve">Correlation</t>
  </si>
  <si>
    <t xml:space="preserve">Cost of Equity</t>
  </si>
  <si>
    <t xml:space="preserve">Risk Free Rate (10 Year Treasury Yield)</t>
  </si>
  <si>
    <t xml:space="preserve">Equity Risk Premium</t>
  </si>
  <si>
    <t xml:space="preserve">Average Correlation</t>
  </si>
  <si>
    <t xml:space="preserve">Total Beta</t>
  </si>
  <si>
    <t xml:space="preserve">Illiquidity Discount</t>
  </si>
  <si>
    <t xml:space="preserve">Size Premium</t>
  </si>
  <si>
    <t xml:space="preserve">CAPM/Cost of Equity</t>
  </si>
  <si>
    <t xml:space="preserve">Mean</t>
  </si>
  <si>
    <t xml:space="preserve">Cost of Debt</t>
  </si>
  <si>
    <t xml:space="preserve">Interest Rate on Debt</t>
  </si>
  <si>
    <t xml:space="preserve">Cost of Debt Post-Tax</t>
  </si>
  <si>
    <t xml:space="preserve">Relevered Beta</t>
  </si>
  <si>
    <t xml:space="preserve">Debt Units</t>
  </si>
  <si>
    <t xml:space="preserve">Equity Values Units</t>
  </si>
  <si>
    <t xml:space="preserve">Optimal D/E</t>
  </si>
  <si>
    <t xml:space="preserve">Total Equity</t>
  </si>
  <si>
    <t xml:space="preserve">ABC Corp.</t>
  </si>
  <si>
    <t xml:space="preserve">Total Debt</t>
  </si>
  <si>
    <t xml:space="preserve">Current Debt/Equity Ratio</t>
  </si>
  <si>
    <t xml:space="preserve">Current Equity/Capital</t>
  </si>
  <si>
    <t xml:space="preserve">Current Debt/Capital</t>
  </si>
  <si>
    <t xml:space="preserve">Optimal Debt/Equity Ratio</t>
  </si>
  <si>
    <t xml:space="preserve">Optimal Equity/Capital</t>
  </si>
  <si>
    <t xml:space="preserve">Optimal Debt/Capital</t>
  </si>
  <si>
    <t xml:space="preserve">Base WACC</t>
  </si>
  <si>
    <t xml:space="preserve">Bull WACC</t>
  </si>
  <si>
    <t xml:space="preserve">Bear WACC</t>
  </si>
  <si>
    <t xml:space="preserve">Bull Beta</t>
  </si>
  <si>
    <t xml:space="preserve">Bear Beta</t>
  </si>
  <si>
    <t xml:space="preserve">Bull Cost of Equity</t>
  </si>
  <si>
    <t xml:space="preserve">Bear Cost of Equity</t>
  </si>
  <si>
    <t xml:space="preserve">Comparable Companies Analysis</t>
  </si>
  <si>
    <t xml:space="preserve">Share</t>
  </si>
  <si>
    <t xml:space="preserve">Shares</t>
  </si>
  <si>
    <t xml:space="preserve">Levered</t>
  </si>
  <si>
    <t xml:space="preserve">Market</t>
  </si>
  <si>
    <t xml:space="preserve">Enterprise</t>
  </si>
  <si>
    <t xml:space="preserve">EBITDA Margin</t>
  </si>
  <si>
    <t xml:space="preserve">EV/EBITDA</t>
  </si>
  <si>
    <t xml:space="preserve">EV/Sales</t>
  </si>
  <si>
    <t xml:space="preserve">Debt/Equity</t>
  </si>
  <si>
    <t xml:space="preserve">Sales</t>
  </si>
  <si>
    <t xml:space="preserve">Price</t>
  </si>
  <si>
    <t xml:space="preserve">Outstanding</t>
  </si>
  <si>
    <t xml:space="preserve">Beta</t>
  </si>
  <si>
    <t xml:space="preserve">Cap</t>
  </si>
  <si>
    <t xml:space="preserve">Value</t>
  </si>
  <si>
    <t xml:space="preserve">LTM</t>
  </si>
  <si>
    <t xml:space="preserve">NTM</t>
  </si>
  <si>
    <t xml:space="preserve">Ratio</t>
  </si>
  <si>
    <t xml:space="preserve">Ticker</t>
  </si>
  <si>
    <t xml:space="preserve">Sony Group Corporation (SONY)</t>
  </si>
  <si>
    <t xml:space="preserve">SONY</t>
  </si>
  <si>
    <t xml:space="preserve">Dell Technologies Inc. (DELL)</t>
  </si>
  <si>
    <t xml:space="preserve">DELL</t>
  </si>
  <si>
    <t xml:space="preserve">HP Inc. (HPQ)</t>
  </si>
  <si>
    <t xml:space="preserve">HPQ</t>
  </si>
  <si>
    <t xml:space="preserve">Logitech International S.A. - R (LOGI)</t>
  </si>
  <si>
    <t xml:space="preserve">LOGI</t>
  </si>
  <si>
    <t xml:space="preserve">Minimum</t>
  </si>
  <si>
    <t xml:space="preserve">Average</t>
  </si>
  <si>
    <t xml:space="preserve">AAPL</t>
  </si>
  <si>
    <t xml:space="preserve">Preliminary Base Case</t>
  </si>
  <si>
    <t xml:space="preserve">Actual</t>
  </si>
  <si>
    <t xml:space="preserve">Period Start</t>
  </si>
  <si>
    <t xml:space="preserve">Period End</t>
  </si>
  <si>
    <t xml:space="preserve">Unit</t>
  </si>
  <si>
    <t xml:space="preserve">Fiscal Year</t>
  </si>
  <si>
    <t xml:space="preserve">Days in Period</t>
  </si>
  <si>
    <t xml:space="preserve">Days in Year</t>
  </si>
  <si>
    <t xml:space="preserve">Financial Summary</t>
  </si>
  <si>
    <t xml:space="preserve">[$]</t>
  </si>
  <si>
    <t xml:space="preserve">Growth</t>
  </si>
  <si>
    <t xml:space="preserve">[%]</t>
  </si>
  <si>
    <t xml:space="preserve">Margin</t>
  </si>
  <si>
    <t xml:space="preserve">Other Operating Expenses</t>
  </si>
  <si>
    <t xml:space="preserve">EBIT Margin</t>
  </si>
  <si>
    <t xml:space="preserve">Cash Flow and Working Capital Detail</t>
  </si>
  <si>
    <t xml:space="preserve">Capital Expenditures</t>
  </si>
  <si>
    <t xml:space="preserve">Depreciation and Amortization</t>
  </si>
  <si>
    <t xml:space="preserve">Accounts Receivable</t>
  </si>
  <si>
    <t xml:space="preserve">Inventory</t>
  </si>
  <si>
    <t xml:space="preserve">Accounts Payable</t>
  </si>
  <si>
    <t xml:space="preserve">Net Working Capital</t>
  </si>
  <si>
    <t xml:space="preserve">Change in Net Working Capital</t>
  </si>
  <si>
    <t xml:space="preserve">Salaries &amp; Benefits</t>
  </si>
  <si>
    <t xml:space="preserve">Editable Working-Capital Assumptions</t>
  </si>
  <si>
    <t xml:space="preserve">Days sales outstanding (DSO)</t>
  </si>
  <si>
    <t xml:space="preserve">Days inventory outstanding (DIO)</t>
  </si>
  <si>
    <t xml:space="preserve">Days payables outstanding (DPO)</t>
  </si>
  <si>
    <t xml:space="preserve">NWC intensity overlay (% Revenue)</t>
  </si>
  <si>
    <t xml:space="preserve">Draft review — Apple Inc. (AAPL)</t>
  </si>
  <si>
    <t xml:space="preserve">Editable starting model. Check REVIEW rows, then adjust the input cells and assumptions to fit your view.</t>
  </si>
  <si>
    <t xml:space="preserve">Model confidence</t>
  </si>
  <si>
    <t xml:space="preserve">High (80%)</t>
  </si>
  <si>
    <t xml:space="preserve">Status</t>
  </si>
  <si>
    <t xml:space="preserve">Area</t>
  </si>
  <si>
    <t xml:space="preserve">Review note</t>
  </si>
  <si>
    <t xml:space="preserve">REVIEW</t>
  </si>
  <si>
    <t xml:space="preserve">FY 2024 interest_expense</t>
  </si>
  <si>
    <t xml:space="preserve">FY 2024 interest_expense: missing SEC mapping; missing.</t>
  </si>
  <si>
    <t xml:space="preserve">FY 2025 interest_expense</t>
  </si>
  <si>
    <t xml:space="preserve">FY 2025 interest_expense: missing SEC mapping; missing.</t>
  </si>
  <si>
    <t xml:space="preserve">FY 2021 marketing</t>
  </si>
  <si>
    <t xml:space="preserve">FY 2021 marketing: missing SEC mapping; missing.</t>
  </si>
  <si>
    <t xml:space="preserve">FY 2022 marketing</t>
  </si>
  <si>
    <t xml:space="preserve">FY 2022 marketing: missing SEC mapping; missing.</t>
  </si>
  <si>
    <t xml:space="preserve">FY 2023 marketing</t>
  </si>
  <si>
    <t xml:space="preserve">FY 2023 marketing: missing SEC mapping; missing.</t>
  </si>
  <si>
    <t xml:space="preserve">FY 2024 marketing</t>
  </si>
  <si>
    <t xml:space="preserve">FY 2024 marketing: missing SEC mapping; missing.</t>
  </si>
  <si>
    <t xml:space="preserve">FY 2021 rent</t>
  </si>
  <si>
    <t xml:space="preserve">FY 2021 rent: missing SEC mapping; missing.</t>
  </si>
  <si>
    <t xml:space="preserve">FY 2022 rent</t>
  </si>
  <si>
    <t xml:space="preserve">FY 2022 rent: missing SEC mapping; missing.</t>
  </si>
  <si>
    <t xml:space="preserve">FY 2023 rent</t>
  </si>
  <si>
    <t xml:space="preserve">FY 2023 rent: missing SEC mapping; missing.</t>
  </si>
  <si>
    <t xml:space="preserve">FY 2024 rent</t>
  </si>
  <si>
    <t xml:space="preserve">FY 2024 rent: missing SEC mapping; missing.</t>
  </si>
  <si>
    <t xml:space="preserve">FY 2025 rent</t>
  </si>
  <si>
    <t xml:space="preserve">FY 2025 rent: missing SEC mapping; missing.</t>
  </si>
  <si>
    <t xml:space="preserve">FY 2021 bad_debt</t>
  </si>
  <si>
    <t xml:space="preserve">FY 2021 bad_debt: missing SEC mapping; missing.</t>
  </si>
  <si>
    <t xml:space="preserve">FY 2022 bad_debt</t>
  </si>
  <si>
    <t xml:space="preserve">FY 2022 bad_debt: missing SEC mapping; missing.</t>
  </si>
  <si>
    <t xml:space="preserve">FY 2023 bad_debt</t>
  </si>
  <si>
    <t xml:space="preserve">FY 2023 bad_debt: missing SEC mapping; missing.</t>
  </si>
  <si>
    <t xml:space="preserve">FY 2024 bad_debt</t>
  </si>
  <si>
    <t xml:space="preserve">FY 2024 bad_debt: missing SEC mapping; missing.</t>
  </si>
  <si>
    <t xml:space="preserve">FY 2025 bad_debt</t>
  </si>
  <si>
    <t xml:space="preserve">FY 2025 bad_debt: missing SEC mapping; missing.</t>
  </si>
  <si>
    <t xml:space="preserve">FY 2023 deferred_tax</t>
  </si>
  <si>
    <t xml:space="preserve">FY 2023 deferred_tax: missing SEC mapping; missing.</t>
  </si>
  <si>
    <t xml:space="preserve">FY 2024 deferred_tax</t>
  </si>
  <si>
    <t xml:space="preserve">FY 2024 deferred_tax: missing SEC mapping; missing.</t>
  </si>
  <si>
    <t xml:space="preserve">FY 2025 deferred_tax</t>
  </si>
  <si>
    <t xml:space="preserve">FY 2025 deferred_tax: missing SEC mapping; missing.</t>
  </si>
  <si>
    <t xml:space="preserve">FY 2021 other_non_cash</t>
  </si>
  <si>
    <t xml:space="preserve">FY 2021 other_non_cash: missing SEC mapping; missing.</t>
  </si>
  <si>
    <t xml:space="preserve">FY 2022 other_non_cash</t>
  </si>
  <si>
    <t xml:space="preserve">FY 2022 other_non_cash: missing SEC mapping; missing.</t>
  </si>
  <si>
    <t xml:space="preserve">FY 2023 other_non_cash</t>
  </si>
  <si>
    <t xml:space="preserve">FY 2023 other_non_cash: missing SEC mapping; missing.</t>
  </si>
  <si>
    <t xml:space="preserve">FY 2024 other_non_cash</t>
  </si>
  <si>
    <t xml:space="preserve">FY 2024 other_non_cash: missing SEC mapping; missing.</t>
  </si>
  <si>
    <t xml:space="preserve">FY 2025 other_non_cash</t>
  </si>
  <si>
    <t xml:space="preserve">FY 2025 other_non_cash: missing SEC mapping; missing.</t>
  </si>
  <si>
    <t xml:space="preserve">Model</t>
  </si>
  <si>
    <t xml:space="preserve">Projected balance sheet check fails by -30902793928.058655 in FY2027; tolerance is 459982222.92971224. Review the forecast balance sheet and equity roll-forward.</t>
  </si>
  <si>
    <t xml:space="preserve">financials</t>
  </si>
  <si>
    <t xml:space="preserve">financials: data status is cached</t>
  </si>
  <si>
    <t xml:space="preserve">market</t>
  </si>
  <si>
    <t xml:space="preserve">market: data status is cached</t>
  </si>
  <si>
    <t xml:space="preserve">valuation_context</t>
  </si>
  <si>
    <t xml:space="preserve">valuation_context: data status is cached</t>
  </si>
  <si>
    <t xml:space="preserve">peers</t>
  </si>
  <si>
    <t xml:space="preserve">peers: data status is cached</t>
  </si>
  <si>
    <t xml:space="preserve">insider_trades</t>
  </si>
  <si>
    <t xml:space="preserve">insider_trades: Insider trades are intentionally lazy-loaded and do not block the primary valuation load.</t>
  </si>
  <si>
    <t xml:space="preserve">INFO</t>
  </si>
  <si>
    <t xml:space="preserve">Source</t>
  </si>
  <si>
    <t xml:space="preserve">WACC calculated using CAPM methodology</t>
  </si>
  <si>
    <t xml:space="preserve">Terminal value: Gordon Growth Model</t>
  </si>
  <si>
    <t xml:space="preserve">Data as of 3/10/2026</t>
  </si>
  <si>
    <t xml:space="preserve">FY 2021 revenue: sec_native value 365817000000; concept RevenueFromContractWithCustomerExcludingAssessedTax; form 10-K; accession 0000320193-23-000106; filed 2023-11-03; period end 2021-09-25; currency USD; unit USD; scale actual; method preferred_direct</t>
  </si>
  <si>
    <t xml:space="preserve">FY 2022 revenue: sec_native value 394328000000; concept RevenueFromContractWithCustomerExcludingAssessedTax; form 10-K; accession 0000320193-24-000123; filed 2024-11-01; period end 2022-09-24; currency USD; unit USD; scale actual; method preferred_direct</t>
  </si>
  <si>
    <t xml:space="preserve">FY 2023 revenue: sec_native value 383285000000; concept RevenueFromContractWithCustomerExcludingAssessedTax; form 10-K; accession 0000320193-25-000079; filed 2025-10-31; period end 2023-09-30; currency USD; unit USD; scale actual; method preferred_direct</t>
  </si>
  <si>
    <t xml:space="preserve">FY 2024 revenue: sec_native value 391035000000; concept RevenueFromContractWithCustomerExcludingAssessedTax; form 10-K; accession 0000320193-25-000079; filed 2025-10-31; period end 2024-09-28; currency USD; unit USD; scale actual; method preferred_direct</t>
  </si>
  <si>
    <t xml:space="preserve">FY 2025 revenue: sec_native value 416161000000; concept RevenueFromContractWithCustomerExcludingAssessedTax; form 10-K; accession 0000320193-25-000079; filed 2025-10-31; period end 2025-09-27; currency USD; unit USD; scale actual; method preferred_direct</t>
  </si>
  <si>
    <t xml:space="preserve">FY 2021 cost_of_revenue: sec_native value 212981000000; concept CostOfGoodsAndServicesSold; form 10-K; accession 0000320193-23-000106; filed 2023-11-03; period end 2021-09-25; currency USD; unit USD; scale actual; method reported_cost_of_revenue_normalized_positive</t>
  </si>
  <si>
    <t xml:space="preserve">FY 2022 cost_of_revenue: sec_native value 223546000000; concept CostOfGoodsAndServicesSold; form 10-K; accession 0000320193-24-000123; filed 2024-11-01; period end 2022-09-24; currency USD; unit USD; scale actual; method reported_cost_of_revenue_normalized_positive</t>
  </si>
  <si>
    <t xml:space="preserve">FY 2023 cost_of_revenue: sec_native value 214137000000; concept CostOfGoodsAndServicesSold; form 10-K; accession 0000320193-25-000079; filed 2025-10-31; period end 2023-09-30; currency USD; unit USD; scale actual; method reported_cost_of_revenue_normalized_positive</t>
  </si>
  <si>
    <t xml:space="preserve">FY 2024 cost_of_revenue: sec_native value 210352000000; concept CostOfGoodsAndServicesSold; form 10-K; accession 0000320193-25-000079; filed 2025-10-31; period end 2024-09-28; currency USD; unit USD; scale actual; method reported_cost_of_revenue_normalized_positive</t>
  </si>
  <si>
    <t xml:space="preserve">FY 2025 cost_of_revenue: sec_native value 220960000000; concept CostOfGoodsAndServicesSold; form 10-K; accession 0000320193-25-000079; filed 2025-10-31; period end 2025-09-27; currency USD; unit USD; scale actual; method reported_cost_of_revenue_normalized_positive</t>
  </si>
  <si>
    <t xml:space="preserve">FY 2021 gross_profit: derived value 152836000000; concept RevenueFromContractWithCustomerExcludingAssessedTax; form 10-K; accession 0000320193-23-000106; filed 2023-11-03; period end 2021-09-25; currency USD; unit USD; scale actual; method revenue_less_reconciled_cost_of_revenue</t>
  </si>
  <si>
    <t xml:space="preserve">FY 2021 gross_profit: derived value 152836000000; concept CostOfGoodsAndServicesSold; form 10-K; accession 0000320193-23-000106; filed 2023-11-03; period end 2021-09-25; currency USD; unit USD; scale actual; method revenue_less_reconciled_cost_of_revenue</t>
  </si>
  <si>
    <t xml:space="preserve">FY 2022 gross_profit: derived value 170782000000; concept RevenueFromContractWithCustomerExcludingAssessedTax; form 10-K; accession 0000320193-24-000123; filed 2024-11-01; period end 2022-09-24; currency USD; unit USD; scale actual; method revenue_less_reconciled_cost_of_revenue</t>
  </si>
  <si>
    <t xml:space="preserve">FY 2022 gross_profit: derived value 170782000000; concept CostOfGoodsAndServicesSold; form 10-K; accession 0000320193-24-000123; filed 2024-11-01; period end 2022-09-24; currency USD; unit USD; scale actual; method revenue_less_reconciled_cost_of_revenue</t>
  </si>
  <si>
    <t xml:space="preserve">FY 2023 gross_profit: derived value 169148000000; concept RevenueFromContractWithCustomerExcludingAssessedTax; form 10-K; accession 0000320193-25-000079; filed 2025-10-31; period end 2023-09-30; currency USD; unit USD; scale actual; method revenue_less_reconciled_cost_of_revenue</t>
  </si>
  <si>
    <t xml:space="preserve">FY 2023 gross_profit: derived value 169148000000; concept CostOfGoodsAndServicesSold; form 10-K; accession 0000320193-25-000079; filed 2025-10-31; period end 2023-09-30; currency USD; unit USD; scale actual; method revenue_less_reconciled_cost_of_revenue</t>
  </si>
  <si>
    <t xml:space="preserve">FY 2024 gross_profit: derived value 180683000000; concept RevenueFromContractWithCustomerExcludingAssessedTax; form 10-K; accession 0000320193-25-000079; filed 2025-10-31; period end 2024-09-28; currency USD; unit USD; scale actual; method revenue_less_reconciled_cost_of_revenue</t>
  </si>
  <si>
    <t xml:space="preserve">FY 2024 gross_profit: derived value 180683000000; concept CostOfGoodsAndServicesSold; form 10-K; accession 0000320193-25-000079; filed 2025-10-31; period end 2024-09-28; currency USD; unit USD; scale actual; method revenue_less_reconciled_cost_of_revenue</t>
  </si>
  <si>
    <t xml:space="preserve">FY 2025 gross_profit: derived value 195201000000; concept RevenueFromContractWithCustomerExcludingAssessedTax; form 10-K; accession 0000320193-25-000079; filed 2025-10-31; period end 2025-09-27; currency USD; unit USD; scale actual; method revenue_less_reconciled_cost_of_revenue</t>
  </si>
  <si>
    <t xml:space="preserve">FY 2025 gross_profit: derived value 195201000000; concept CostOfGoodsAndServicesSold; form 10-K; accession 0000320193-25-000079; filed 2025-10-31; period end 2025-09-27; currency USD; unit USD; scale actual; method revenue_less_reconciled_cost_of_revenue</t>
  </si>
  <si>
    <t xml:space="preserve">FY 2021 ebit: sec_native value 108949000000; concept OperatingIncomeLoss; form 10-K; accession 0000320193-23-000106; filed 2023-11-03; period end 2021-09-25; currency USD; unit USD; scale actual; method preferred_direct</t>
  </si>
  <si>
    <t xml:space="preserve">FY 2022 ebit: sec_native value 119437000000; concept OperatingIncomeLoss; form 10-K; accession 0000320193-24-000123; filed 2024-11-01; period end 2022-09-24; currency USD; unit USD; scale actual; method preferred_direct</t>
  </si>
  <si>
    <t xml:space="preserve">FY 2023 ebit: sec_native value 114301000000; concept OperatingIncomeLoss; form 10-K; accession 0000320193-25-000079; filed 2025-10-31; period end 2023-09-30; currency USD; unit USD; scale actual; method preferred_direct</t>
  </si>
  <si>
    <t xml:space="preserve">FY 2024 ebit: sec_native value 123216000000; concept OperatingIncomeLoss; form 10-K; accession 0000320193-25-000079; filed 2025-10-31; period end 2024-09-28; currency USD; unit USD; scale actual; method preferred_direct</t>
  </si>
  <si>
    <t xml:space="preserve">FY 2025 ebit: sec_native value 133050000000; concept OperatingIncomeLoss; form 10-K; accession 0000320193-25-000079; filed 2025-10-31; period end 2025-09-27; currency USD; unit USD; scale actual; method preferred_direct</t>
  </si>
  <si>
    <t xml:space="preserve">FY 2021 ebitda: derived value 120233000000; concept OperatingIncomeLoss; form 10-K; accession 0000320193-23-000106; filed 2023-11-03; period end 2021-09-25; currency USD; unit USD; scale actual; method ebit_plus_da</t>
  </si>
  <si>
    <t xml:space="preserve">FY 2021 ebitda: derived value 120233000000; concept DepreciationDepletionAndAmortization; form 10-K; accession 0000320193-23-000106; filed 2023-11-03; period end 2021-09-25; currency USD; unit USD; scale actual; method ebit_plus_da</t>
  </si>
  <si>
    <t xml:space="preserve">FY 2022 ebitda: derived value 130541000000; concept OperatingIncomeLoss; form 10-K; accession 0000320193-24-000123; filed 2024-11-01; period end 2022-09-24; currency USD; unit USD; scale actual; method ebit_plus_da</t>
  </si>
  <si>
    <t xml:space="preserve">FY 2022 ebitda: derived value 130541000000; concept DepreciationDepletionAndAmortization; form 10-K; accession 0000320193-24-000123; filed 2024-11-01; period end 2022-09-24; currency USD; unit USD; scale actual; method ebit_plus_da</t>
  </si>
  <si>
    <t xml:space="preserve">FY 2023 ebitda: derived value 125820000000; concept OperatingIncomeLoss; form 10-K; accession 0000320193-25-000079; filed 2025-10-31; period end 2023-09-30; currency USD; unit USD; scale actual; method ebit_plus_da</t>
  </si>
  <si>
    <t xml:space="preserve">FY 2023 ebitda: derived value 125820000000; concept DepreciationDepletionAndAmortization; form 10-K; accession 0000320193-25-000079; filed 2025-10-31; period end 2023-09-30; currency USD; unit USD; scale actual; method ebit_plus_da</t>
  </si>
  <si>
    <t xml:space="preserve">FY 2024 ebitda: derived value 134661000000; concept OperatingIncomeLoss; form 10-K; accession 0000320193-25-000079; filed 2025-10-31; period end 2024-09-28; currency USD; unit USD; scale actual; method ebit_plus_da</t>
  </si>
  <si>
    <t xml:space="preserve">FY 2024 ebitda: derived value 134661000000; concept DepreciationDepletionAndAmortization; form 10-K; accession 0000320193-25-000079; filed 2025-10-31; period end 2024-09-28; currency USD; unit USD; scale actual; method ebit_plus_da</t>
  </si>
  <si>
    <t xml:space="preserve">FY 2025 ebitda: derived value 144748000000; concept OperatingIncomeLoss; form 10-K; accession 0000320193-25-000079; filed 2025-10-31; period end 2025-09-27; currency USD; unit USD; scale actual; method ebit_plus_da</t>
  </si>
  <si>
    <t xml:space="preserve">FY 2025 ebitda: derived value 144748000000; concept DepreciationDepletionAndAmortization; form 10-K; accession 0000320193-25-000079; filed 2025-10-31; period end 2025-09-27; currency USD; unit USD; scale actual; method ebit_plus_da</t>
  </si>
  <si>
    <t xml:space="preserve">FY 2021 interest_expense: sec_native value 2645000000; concept InterestExpense; form 10-K; accession 0000320193-23-000106; filed 2023-11-03; period end 2021-09-25; currency USD; unit USD; scale actual; method preferred_direct</t>
  </si>
  <si>
    <t xml:space="preserve">FY 2022 interest_expense: sec_native value 2931000000; concept InterestExpense; form 10-K; accession 0000320193-23-000106; filed 2023-11-03; period end 2022-09-24; currency USD; unit USD; scale actual; method preferred_direct</t>
  </si>
  <si>
    <t xml:space="preserve">FY 2023 interest_expense: sec_native value 3933000000; concept InterestExpense; form 10-K; accession 0000320193-23-000106; filed 2023-11-03; period end 2023-09-30; currency USD; unit USD; scale actual; method preferred_direct</t>
  </si>
  <si>
    <t xml:space="preserve">FY 2021 income_tax_expense: sec_native value 14527000000; concept IncomeTaxExpenseBenefit; form 10-K; accession 0000320193-23-000106; filed 2023-11-03; period end 2021-09-25; currency USD; unit USD; scale actual; method preferred_direct</t>
  </si>
  <si>
    <t xml:space="preserve">FY 2022 income_tax_expense: sec_native value 19300000000; concept IncomeTaxExpenseBenefit; form 10-K; accession 0000320193-24-000123; filed 2024-11-01; period end 2022-09-24; currency USD; unit USD; scale actual; method preferred_direct</t>
  </si>
  <si>
    <t xml:space="preserve">FY 2023 income_tax_expense: sec_native value 16741000000; concept IncomeTaxExpenseBenefit; form 10-K; accession 0000320193-25-000079; filed 2025-10-31; period end 2023-09-30; currency USD; unit USD; scale actual; method preferred_direct</t>
  </si>
  <si>
    <t xml:space="preserve">FY 2024 income_tax_expense: sec_native value 29749000000; concept IncomeTaxExpenseBenefit; form 10-K; accession 0000320193-25-000079; filed 2025-10-31; period end 2024-09-28; currency USD; unit USD; scale actual; method preferred_direct</t>
  </si>
  <si>
    <t xml:space="preserve">FY 2025 income_tax_expense: sec_native value 20719000000; concept IncomeTaxExpenseBenefit; form 10-K; accession 0000320193-25-000079; filed 2025-10-31; period end 2025-09-27; currency USD; unit USD; scale actual; method preferred_direct</t>
  </si>
  <si>
    <t xml:space="preserve">FY 2021 net_income: sec_native value 94680000000; concept NetIncomeLoss; form 10-K; accession 0000320193-23-000106; filed 2023-11-03; period end 2021-09-25; currency USD; unit USD; scale actual; method preferred_direct</t>
  </si>
  <si>
    <t xml:space="preserve">FY 2022 net_income: sec_native value 99803000000; concept NetIncomeLoss; form 10-K; accession 0000320193-24-000123; filed 2024-11-01; period end 2022-09-24; currency USD; unit USD; scale actual; method preferred_direct</t>
  </si>
  <si>
    <t xml:space="preserve">FY 2023 net_income: sec_native value 96995000000; concept NetIncomeLoss; form 10-K; accession 0000320193-25-000079; filed 2025-10-31; period end 2023-09-30; currency USD; unit USD; scale actual; method preferred_direct</t>
  </si>
  <si>
    <t xml:space="preserve">FY 2024 net_income: sec_native value 93736000000; concept NetIncomeLoss; form 10-K; accession 0000320193-25-000079; filed 2025-10-31; period end 2024-09-28; currency USD; unit USD; scale actual; method preferred_direct</t>
  </si>
  <si>
    <t xml:space="preserve">FY 2025 net_income: sec_native value 112010000000; concept NetIncomeLoss; form 10-K; accession 0000320193-25-000079; filed 2025-10-31; period end 2025-09-27; currency USD; unit USD; scale actual; method preferred_direct</t>
  </si>
  <si>
    <t xml:space="preserve">FY 2021 depreciation: sec_native value 11284000000; concept DepreciationDepletionAndAmortization; form 10-K; accession 0000320193-23-000106; filed 2023-11-03; period end 2021-09-25; currency USD; unit USD; scale actual; method preferred_direct</t>
  </si>
  <si>
    <t xml:space="preserve">FY 2022 depreciation: sec_native value 11104000000; concept DepreciationDepletionAndAmortization; form 10-K; accession 0000320193-24-000123; filed 2024-11-01; period end 2022-09-24; currency USD; unit USD; scale actual; method preferred_direct</t>
  </si>
  <si>
    <t xml:space="preserve">FY 2023 depreciation: sec_native value 11519000000; concept DepreciationDepletionAndAmortization; form 10-K; accession 0000320193-25-000079; filed 2025-10-31; period end 2023-09-30; currency USD; unit USD; scale actual; method preferred_direct</t>
  </si>
  <si>
    <t xml:space="preserve">FY 2024 depreciation: sec_native value 11445000000; concept DepreciationDepletionAndAmortization; form 10-K; accession 0000320193-25-000079; filed 2025-10-31; period end 2024-09-28; currency USD; unit USD; scale actual; method preferred_direct</t>
  </si>
  <si>
    <t xml:space="preserve">FY 2025 depreciation: sec_native value 11698000000; concept DepreciationDepletionAndAmortization; form 10-K; accession 0000320193-25-000079; filed 2025-10-31; period end 2025-09-27; currency USD; unit USD; scale actual; method preferred_direct</t>
  </si>
  <si>
    <t xml:space="preserve">FY 2021 stock_based_comp: sec_native value 7906000000; concept ShareBasedCompensation; form 10-K; accession 0000320193-23-000106; filed 2023-11-03; period end 2021-09-25; currency USD; unit USD; scale actual; method preferred_direct</t>
  </si>
  <si>
    <t xml:space="preserve">FY 2022 stock_based_comp: sec_native value 9038000000; concept ShareBasedCompensation; form 10-K; accession 0000320193-24-000123; filed 2024-11-01; period end 2022-09-24; currency USD; unit USD; scale actual; method preferred_direct</t>
  </si>
  <si>
    <t xml:space="preserve">FY 2023 stock_based_comp: sec_native value 10833000000; concept ShareBasedCompensation; form 10-K; accession 0000320193-25-000079; filed 2025-10-31; period end 2023-09-30; currency USD; unit USD; scale actual; method preferred_direct</t>
  </si>
  <si>
    <t xml:space="preserve">FY 2024 stock_based_comp: sec_native value 11688000000; concept ShareBasedCompensation; form 10-K; accession 0000320193-25-000079; filed 2025-10-31; period end 2024-09-28; currency USD; unit USD; scale actual; method preferred_direct</t>
  </si>
  <si>
    <t xml:space="preserve">FY 2025 stock_based_comp: sec_native value 12863000000; concept ShareBasedCompensation; form 10-K; accession 0000320193-25-000079; filed 2025-10-31; period end 2025-09-27; currency USD; unit USD; scale actual; method preferred_direct</t>
  </si>
  <si>
    <t xml:space="preserve">FY 2021 cfo: sec_native value 104038000000; concept NetCashProvidedByUsedInOperatingActivities; form 10-K; accession 0000320193-23-000106; filed 2023-11-03; period end 2021-09-25; currency USD; unit USD; scale actual; method preferred_direct</t>
  </si>
  <si>
    <t xml:space="preserve">FY 2022 cfo: sec_native value 122151000000; concept NetCashProvidedByUsedInOperatingActivities; form 10-K; accession 0000320193-24-000123; filed 2024-11-01; period end 2022-09-24; currency USD; unit USD; scale actual; method preferred_direct</t>
  </si>
  <si>
    <t xml:space="preserve">FY 2023 cfo: sec_native value 110543000000; concept NetCashProvidedByUsedInOperatingActivities; form 10-K; accession 0000320193-25-000079; filed 2025-10-31; period end 2023-09-30; currency USD; unit USD; scale actual; method preferred_direct</t>
  </si>
  <si>
    <t xml:space="preserve">FY 2024 cfo: sec_native value 118254000000; concept NetCashProvidedByUsedInOperatingActivities; form 10-K; accession 0000320193-25-000079; filed 2025-10-31; period end 2024-09-28; currency USD; unit USD; scale actual; method preferred_direct</t>
  </si>
  <si>
    <t xml:space="preserve">FY 2025 cfo: sec_native value 111482000000; concept NetCashProvidedByUsedInOperatingActivities; form 10-K; accession 0000320193-25-000079; filed 2025-10-31; period end 2025-09-27; currency USD; unit USD; scale actual; method preferred_direct</t>
  </si>
  <si>
    <t xml:space="preserve">FY 2021 capex: sec_native value 11085000000; concept PaymentsToAcquirePropertyPlantAndEquipment; form 10-K; accession 0000320193-23-000106; filed 2023-11-03; period end 2021-09-25; currency USD; unit USD; scale actual; method preferred_direct</t>
  </si>
  <si>
    <t xml:space="preserve">FY 2022 capex: sec_native value 10708000000; concept PaymentsToAcquirePropertyPlantAndEquipment; form 10-K; accession 0000320193-24-000123; filed 2024-11-01; period end 2022-09-24; currency USD; unit USD; scale actual; method preferred_direct</t>
  </si>
  <si>
    <t xml:space="preserve">FY 2023 capex: sec_native value 10959000000; concept PaymentsToAcquirePropertyPlantAndEquipment; form 10-K; accession 0000320193-25-000079; filed 2025-10-31; period end 2023-09-30; currency USD; unit USD; scale actual; method preferred_direct</t>
  </si>
  <si>
    <t xml:space="preserve">FY 2024 capex: sec_native value 9447000000; concept PaymentsToAcquirePropertyPlantAndEquipment; form 10-K; accession 0000320193-25-000079; filed 2025-10-31; period end 2024-09-28; currency USD; unit USD; scale actual; method preferred_direct</t>
  </si>
  <si>
    <t xml:space="preserve">FY 2025 capex: sec_native value 12715000000; concept PaymentsToAcquirePropertyPlantAndEquipment; form 10-K; accession 0000320193-25-000079; filed 2025-10-31; period end 2025-09-27; currency USD; unit USD; scale actual; method preferred_direct</t>
  </si>
  <si>
    <t xml:space="preserve">FY 2021 cash: sec_native value 34940000000; concept CashAndCashEquivalentsAtCarryingValue; form 10-K; accession 0000320193-22-000108; filed 2022-10-28; period end 2021-09-25; currency USD; unit USD; scale actual; method preferred_direct</t>
  </si>
  <si>
    <t xml:space="preserve">FY 2022 cash: sec_native value 23646000000; concept CashAndCashEquivalentsAtCarryingValue; form 10-K; accession 0000320193-23-000106; filed 2023-11-03; period end 2022-09-24; currency USD; unit USD; scale actual; method preferred_direct</t>
  </si>
  <si>
    <t xml:space="preserve">FY 2023 cash: sec_native value 29965000000; concept CashAndCashEquivalentsAtCarryingValue; form 10-K; accession 0000320193-24-000123; filed 2024-11-01; period end 2023-09-30; currency USD; unit USD; scale actual; method preferred_direct</t>
  </si>
  <si>
    <t xml:space="preserve">FY 2024 cash: sec_native value 29943000000; concept CashAndCashEquivalentsAtCarryingValue; form 10-K; accession 0000320193-25-000079; filed 2025-10-31; period end 2024-09-28; currency USD; unit USD; scale actual; method preferred_direct</t>
  </si>
  <si>
    <t xml:space="preserve">FY 2025 cash: sec_native value 35934000000; concept CashAndCashEquivalentsAtCarryingValue; form 10-K; accession 0000320193-25-000079; filed 2025-10-31; period end 2025-09-27; currency USD; unit USD; scale actual; method preferred_direct</t>
  </si>
  <si>
    <t xml:space="preserve">FY 2021 marketable_securities: derived value 155576000000; concept us-gaap:MarketableSecuritiesCurrent; form 10-K; accession 0000320193-22-000108; filed 2022-10-28; period end 2021-09-25; currency USD; unit USD; scale actual; method sum_current_and_noncurrent_marketable_securities</t>
  </si>
  <si>
    <t xml:space="preserve">FY 2021 marketable_securities: derived value 155576000000; concept us-gaap:MarketableSecuritiesNoncurrent; form 10-K; accession 0000320193-22-000108; filed 2022-10-28; period end 2021-09-25; currency USD; unit USD; scale actual; method sum_current_and_noncurrent_marketable_securities</t>
  </si>
  <si>
    <t xml:space="preserve">FY 2022 marketable_securities: derived value 145463000000; concept us-gaap:MarketableSecuritiesCurrent; form 10-K; accession 0000320193-23-000106; filed 2023-11-03; period end 2022-09-24; currency USD; unit USD; scale actual; method sum_current_and_noncurrent_marketable_securities</t>
  </si>
  <si>
    <t xml:space="preserve">FY 2022 marketable_securities: derived value 145463000000; concept us-gaap:MarketableSecuritiesNoncurrent; form 10-K; accession 0000320193-23-000106; filed 2023-11-03; period end 2022-09-24; currency USD; unit USD; scale actual; method sum_current_and_noncurrent_marketable_securities</t>
  </si>
  <si>
    <t xml:space="preserve">FY 2023 marketable_securities: derived value 132134000000; concept us-gaap:MarketableSecuritiesCurrent; form 10-K; accession 0000320193-24-000123; filed 2024-11-01; period end 2023-09-30; currency USD; unit USD; scale actual; method sum_current_and_noncurrent_marketable_securities</t>
  </si>
  <si>
    <t xml:space="preserve">FY 2023 marketable_securities: derived value 132134000000; concept us-gaap:MarketableSecuritiesNoncurrent; form 10-K; accession 0000320193-24-000123; filed 2024-11-01; period end 2023-09-30; currency USD; unit USD; scale actual; method sum_current_and_noncurrent_marketable_securities</t>
  </si>
  <si>
    <t xml:space="preserve">FY 2024 marketable_securities: derived value 126707000000; concept us-gaap:MarketableSecuritiesCurrent; form 10-K; accession 0000320193-25-000079; filed 2025-10-31; period end 2024-09-28; currency USD; unit USD; scale actual; method sum_current_and_noncurrent_marketable_securities</t>
  </si>
  <si>
    <t xml:space="preserve">FY 2024 marketable_securities: derived value 126707000000; concept us-gaap:MarketableSecuritiesNoncurrent; form 10-K; accession 0000320193-25-000079; filed 2025-10-31; period end 2024-09-28; currency USD; unit USD; scale actual; method sum_current_and_noncurrent_marketable_securities</t>
  </si>
  <si>
    <t xml:space="preserve">FY 2025 marketable_securities: derived value 96486000000; concept us-gaap:MarketableSecuritiesCurrent; form 10-K; accession 0000320193-25-000079; filed 2025-10-31; period end 2025-09-27; currency USD; unit USD; scale actual; method sum_current_and_noncurrent_marketable_securities</t>
  </si>
  <si>
    <t xml:space="preserve">FY 2025 marketable_securities: derived value 96486000000; concept us-gaap:MarketableSecuritiesNoncurrent; form 10-K; accession 0000320193-25-000079; filed 2025-10-31; period end 2025-09-27; currency USD; unit USD; scale actual; method sum_current_and_noncurrent_marketable_securities</t>
  </si>
  <si>
    <t xml:space="preserve">FY 2021 marketable_securities_current: sec_native value 27699000000; concept us-gaap:MarketableSecuritiesCurrent; form 10-K; accession 0000320193-22-000108; filed 2022-10-28; period end 2021-09-25; currency USD; unit USD; scale actual; method companyfacts_preferred_direct</t>
  </si>
  <si>
    <t xml:space="preserve">FY 2022 marketable_securities_current: sec_native value 24658000000; concept us-gaap:MarketableSecuritiesCurrent; form 10-K; accession 0000320193-23-000106; filed 2023-11-03; period end 2022-09-24; currency USD; unit USD; scale actual; method companyfacts_preferred_direct</t>
  </si>
  <si>
    <t xml:space="preserve">FY 2023 marketable_securities_current: sec_native value 31590000000; concept us-gaap:MarketableSecuritiesCurrent; form 10-K; accession 0000320193-24-000123; filed 2024-11-01; period end 2023-09-30; currency USD; unit USD; scale actual; method companyfacts_preferred_direct</t>
  </si>
  <si>
    <t xml:space="preserve">FY 2024 marketable_securities_current: sec_native value 35228000000; concept us-gaap:MarketableSecuritiesCurrent; form 10-K; accession 0000320193-25-000079; filed 2025-10-31; period end 2024-09-28; currency USD; unit USD; scale actual; method companyfacts_preferred_direct</t>
  </si>
  <si>
    <t xml:space="preserve">FY 2025 marketable_securities_current: sec_native value 18763000000; concept us-gaap:MarketableSecuritiesCurrent; form 10-K; accession 0000320193-25-000079; filed 2025-10-31; period end 2025-09-27; currency USD; unit USD; scale actual; method companyfacts_preferred_direct</t>
  </si>
  <si>
    <t xml:space="preserve">FY 2021 marketable_securities_noncurrent: sec_native value 127877000000; concept us-gaap:MarketableSecuritiesNoncurrent; form 10-K; accession 0000320193-22-000108; filed 2022-10-28; period end 2021-09-25; currency USD; unit USD; scale actual; method companyfacts_preferred_direct</t>
  </si>
  <si>
    <t xml:space="preserve">FY 2022 marketable_securities_noncurrent: sec_native value 120805000000; concept us-gaap:MarketableSecuritiesNoncurrent; form 10-K; accession 0000320193-23-000106; filed 2023-11-03; period end 2022-09-24; currency USD; unit USD; scale actual; method companyfacts_preferred_direct</t>
  </si>
  <si>
    <t xml:space="preserve">FY 2023 marketable_securities_noncurrent: sec_native value 100544000000; concept us-gaap:MarketableSecuritiesNoncurrent; form 10-K; accession 0000320193-24-000123; filed 2024-11-01; period end 2023-09-30; currency USD; unit USD; scale actual; method companyfacts_preferred_direct</t>
  </si>
  <si>
    <t xml:space="preserve">FY 2024 marketable_securities_noncurrent: sec_native value 91479000000; concept us-gaap:MarketableSecuritiesNoncurrent; form 10-K; accession 0000320193-25-000079; filed 2025-10-31; period end 2024-09-28; currency USD; unit USD; scale actual; method companyfacts_preferred_direct</t>
  </si>
  <si>
    <t xml:space="preserve">FY 2025 marketable_securities_noncurrent: sec_native value 77723000000; concept us-gaap:MarketableSecuritiesNoncurrent; form 10-K; accession 0000320193-25-000079; filed 2025-10-31; period end 2025-09-27; currency USD; unit USD; scale actual; method companyfacts_preferred_direct</t>
  </si>
  <si>
    <t xml:space="preserve">FY 2021 long_term_debt_current: sec_native value 9613000000; concept LongTermDebtCurrent; form 10-K; accession 0000320193-22-000108; filed 2022-10-28; period end 2021-09-25; currency USD; unit USD; scale actual; method preferred_direct</t>
  </si>
  <si>
    <t xml:space="preserve">FY 2022 long_term_debt_current: sec_native value 11128000000; concept LongTermDebtCurrent; form 10-K; accession 0000320193-23-000106; filed 2023-11-03; period end 2022-09-24; currency USD; unit USD; scale actual; method preferred_direct</t>
  </si>
  <si>
    <t xml:space="preserve">FY 2023 long_term_debt_current: sec_native value 9822000000; concept LongTermDebtCurrent; form 10-K; accession 0000320193-24-000123; filed 2024-11-01; period end 2023-09-30; currency USD; unit USD; scale actual; method preferred_direct</t>
  </si>
  <si>
    <t xml:space="preserve">FY 2024 long_term_debt_current: sec_native value 10912000000; concept LongTermDebtCurrent; form 10-K; accession 0000320193-25-000079; filed 2025-10-31; period end 2024-09-28; currency USD; unit USD; scale actual; method preferred_direct</t>
  </si>
  <si>
    <t xml:space="preserve">FY 2025 long_term_debt_current: sec_native value 12350000000; concept LongTermDebtCurrent; form 10-K; accession 0000320193-25-000079; filed 2025-10-31; period end 2025-09-27; currency USD; unit USD; scale actual; method preferred_direct</t>
  </si>
  <si>
    <t xml:space="preserve">FY 2021 commercial_paper: sec_native value 6000000000; concept us-gaap:CommercialPaper; form 10-K; accession 0000320193-22-000108; filed 2022-10-28; period end 2021-09-25; currency USD; unit USD; scale actual; method companyfacts_preferred_direct</t>
  </si>
  <si>
    <t xml:space="preserve">FY 2022 commercial_paper: sec_native value 9982000000; concept us-gaap:CommercialPaper; form 10-K; accession 0000320193-23-000106; filed 2023-11-03; period end 2022-09-24; currency USD; unit USD; scale actual; method companyfacts_preferred_direct</t>
  </si>
  <si>
    <t xml:space="preserve">FY 2023 commercial_paper: sec_native value 5985000000; concept us-gaap:CommercialPaper; form 10-K; accession 0000320193-24-000123; filed 2024-11-01; period end 2023-09-30; currency USD; unit USD; scale actual; method companyfacts_preferred_direct</t>
  </si>
  <si>
    <t xml:space="preserve">FY 2024 commercial_paper: sec_native value 9967000000; concept us-gaap:CommercialPaper; form 10-K; accession 0000320193-25-000079; filed 2025-10-31; period end 2024-09-28; currency USD; unit USD; scale actual; method companyfacts_preferred_direct</t>
  </si>
  <si>
    <t xml:space="preserve">FY 2025 commercial_paper: sec_native value 7979000000; concept us-gaap:CommercialPaper; form 10-K; accession 0000320193-25-000079; filed 2025-10-31; period end 2025-09-27; currency USD; unit USD; scale actual; method companyfacts_preferred_direct</t>
  </si>
  <si>
    <t xml:space="preserve">FY 2021 current_debt: derived value 15613000000; concept LongTermDebtCurrent; form 10-K; accession 0000320193-22-000108; filed 2022-10-28; period end 2021-09-25; currency USD; unit USD; scale actual; method current_debt_and_commercial_paper_with_filed_absence_when_not_reported</t>
  </si>
  <si>
    <t xml:space="preserve">FY 2021 current_debt: derived value 15613000000; concept us-gaap:CommercialPaper; form 10-K; accession 0000320193-22-000108; filed 2022-10-28; period end 2021-09-25; currency USD; unit USD; scale actual; method current_debt_and_commercial_paper_with_filed_absence_when_not_reported</t>
  </si>
  <si>
    <t xml:space="preserve">FY 2022 current_debt: derived value 21110000000; concept LongTermDebtCurrent; form 10-K; accession 0000320193-23-000106; filed 2023-11-03; period end 2022-09-24; currency USD; unit USD; scale actual; method current_debt_and_commercial_paper_with_filed_absence_when_not_reported</t>
  </si>
  <si>
    <t xml:space="preserve">FY 2022 current_debt: derived value 21110000000; concept us-gaap:CommercialPaper; form 10-K; accession 0000320193-23-000106; filed 2023-11-03; period end 2022-09-24; currency USD; unit USD; scale actual; method current_debt_and_commercial_paper_with_filed_absence_when_not_reported</t>
  </si>
  <si>
    <t xml:space="preserve">FY 2023 current_debt: derived value 15807000000; concept LongTermDebtCurrent; form 10-K; accession 0000320193-24-000123; filed 2024-11-01; period end 2023-09-30; currency USD; unit USD; scale actual; method current_debt_and_commercial_paper_with_filed_absence_when_not_reported</t>
  </si>
  <si>
    <t xml:space="preserve">FY 2023 current_debt: derived value 15807000000; concept us-gaap:CommercialPaper; form 10-K; accession 0000320193-24-000123; filed 2024-11-01; period end 2023-09-30; currency USD; unit USD; scale actual; method current_debt_and_commercial_paper_with_filed_absence_when_not_reported</t>
  </si>
  <si>
    <t xml:space="preserve">FY 2024 current_debt: derived value 20879000000; concept LongTermDebtCurrent; form 10-K; accession 0000320193-25-000079; filed 2025-10-31; period end 2024-09-28; currency USD; unit USD; scale actual; method current_debt_and_commercial_paper_with_filed_absence_when_not_reported</t>
  </si>
  <si>
    <t xml:space="preserve">FY 2024 current_debt: derived value 20879000000; concept us-gaap:CommercialPaper; form 10-K; accession 0000320193-25-000079; filed 2025-10-31; period end 2024-09-28; currency USD; unit USD; scale actual; method current_debt_and_commercial_paper_with_filed_absence_when_not_reported</t>
  </si>
  <si>
    <t xml:space="preserve">FY 2025 current_debt: derived value 20329000000; concept LongTermDebtCurrent; form 10-K; accession 0000320193-25-000079; filed 2025-10-31; period end 2025-09-27; currency USD; unit USD; scale actual; method current_debt_and_commercial_paper_with_filed_absence_when_not_reported</t>
  </si>
  <si>
    <t xml:space="preserve">FY 2025 current_debt: derived value 20329000000; concept us-gaap:CommercialPaper; form 10-K; accession 0000320193-25-000079; filed 2025-10-31; period end 2025-09-27; currency USD; unit USD; scale actual; method current_debt_and_commercial_paper_with_filed_absence_when_not_reported</t>
  </si>
  <si>
    <t xml:space="preserve">FY 2021 long_term_debt: sec_native value 109106000000; concept LongTermDebtNoncurrent; form 10-K; accession 0000320193-22-000108; filed 2022-10-28; period end 2021-09-25; currency USD; unit USD; scale actual; method preferred_direct</t>
  </si>
  <si>
    <t xml:space="preserve">FY 2022 long_term_debt: sec_native value 98959000000; concept LongTermDebtNoncurrent; form 10-K; accession 0000320193-23-000106; filed 2023-11-03; period end 2022-09-24; currency USD; unit USD; scale actual; method preferred_direct</t>
  </si>
  <si>
    <t xml:space="preserve">FY 2023 long_term_debt: sec_native value 95281000000; concept LongTermDebtNoncurrent; form 10-K; accession 0000320193-24-000123; filed 2024-11-01; period end 2023-09-30; currency USD; unit USD; scale actual; method preferred_direct</t>
  </si>
  <si>
    <t xml:space="preserve">FY 2024 long_term_debt: sec_native value 85750000000; concept LongTermDebtNoncurrent; form 10-K; accession 0000320193-25-000079; filed 2025-10-31; period end 2024-09-28; currency USD; unit USD; scale actual; method preferred_direct</t>
  </si>
  <si>
    <t xml:space="preserve">FY 2025 long_term_debt: sec_native value 78328000000; concept LongTermDebtNoncurrent; form 10-K; accession 0000320193-25-000079; filed 2025-10-31; period end 2025-09-27; currency USD; unit USD; scale actual; method preferred_direct</t>
  </si>
  <si>
    <t xml:space="preserve">FY 2021 debt: derived value 124719000000; concept LongTermDebtCurrent; form 10-K; accession 0000320193-22-000108; filed 2022-10-28; period end 2021-09-25; currency USD; unit USD; scale actual; method current_plus_long_term_debt_with_filed_absence_when_not_reported</t>
  </si>
  <si>
    <t xml:space="preserve">FY 2021 debt: derived value 124719000000; concept us-gaap:CommercialPaper; form 10-K; accession 0000320193-22-000108; filed 2022-10-28; period end 2021-09-25; currency USD; unit USD; scale actual; method current_plus_long_term_debt_with_filed_absence_when_not_reported</t>
  </si>
  <si>
    <t xml:space="preserve">FY 2021 debt: derived value 124719000000; concept LongTermDebtNoncurrent; form 10-K; accession 0000320193-22-000108; filed 2022-10-28; period end 2021-09-25; currency USD; unit USD; scale actual; method current_plus_long_term_debt_with_filed_absence_when_not_reported</t>
  </si>
  <si>
    <t xml:space="preserve">FY 2022 debt: derived value 120069000000; concept LongTermDebtCurrent; form 10-K; accession 0000320193-23-000106; filed 2023-11-03; period end 2022-09-24; currency USD; unit USD; scale actual; method current_plus_long_term_debt_with_filed_absence_when_not_reported</t>
  </si>
  <si>
    <t xml:space="preserve">FY 2022 debt: derived value 120069000000; concept us-gaap:CommercialPaper; form 10-K; accession 0000320193-23-000106; filed 2023-11-03; period end 2022-09-24; currency USD; unit USD; scale actual; method current_plus_long_term_debt_with_filed_absence_when_not_reported</t>
  </si>
  <si>
    <t xml:space="preserve">FY 2022 debt: derived value 120069000000; concept LongTermDebtNoncurrent; form 10-K; accession 0000320193-23-000106; filed 2023-11-03; period end 2022-09-24; currency USD; unit USD; scale actual; method current_plus_long_term_debt_with_filed_absence_when_not_reported</t>
  </si>
  <si>
    <t xml:space="preserve">FY 2023 debt: derived value 111088000000; concept LongTermDebtCurrent; form 10-K; accession 0000320193-24-000123; filed 2024-11-01; period end 2023-09-30; currency USD; unit USD; scale actual; method current_plus_long_term_debt_with_filed_absence_when_not_reported</t>
  </si>
  <si>
    <t xml:space="preserve">FY 2023 debt: derived value 111088000000; concept us-gaap:CommercialPaper; form 10-K; accession 0000320193-24-000123; filed 2024-11-01; period end 2023-09-30; currency USD; unit USD; scale actual; method current_plus_long_term_debt_with_filed_absence_when_not_reported</t>
  </si>
  <si>
    <t xml:space="preserve">FY 2023 debt: derived value 111088000000; concept LongTermDebtNoncurrent; form 10-K; accession 0000320193-24-000123; filed 2024-11-01; period end 2023-09-30; currency USD; unit USD; scale actual; method current_plus_long_term_debt_with_filed_absence_when_not_reported</t>
  </si>
  <si>
    <t xml:space="preserve">FY 2024 debt: derived value 106629000000; concept LongTermDebtCurrent; form 10-K; accession 0000320193-25-000079; filed 2025-10-31; period end 2024-09-28; currency USD; unit USD; scale actual; method current_plus_long_term_debt_with_filed_absence_when_not_reported</t>
  </si>
  <si>
    <t xml:space="preserve">FY 2024 debt: derived value 106629000000; concept us-gaap:CommercialPaper; form 10-K; accession 0000320193-25-000079; filed 2025-10-31; period end 2024-09-28; currency USD; unit USD; scale actual; method current_plus_long_term_debt_with_filed_absence_when_not_reported</t>
  </si>
  <si>
    <t xml:space="preserve">FY 2024 debt: derived value 106629000000; concept LongTermDebtNoncurrent; form 10-K; accession 0000320193-25-000079; filed 2025-10-31; period end 2024-09-28; currency USD; unit USD; scale actual; method current_plus_long_term_debt_with_filed_absence_when_not_reported</t>
  </si>
  <si>
    <t xml:space="preserve">FY 2025 debt: derived value 98657000000; concept LongTermDebtCurrent; form 10-K; accession 0000320193-25-000079; filed 2025-10-31; period end 2025-09-27; currency USD; unit USD; scale actual; method current_plus_long_term_debt_with_filed_absence_when_not_reported</t>
  </si>
  <si>
    <t xml:space="preserve">FY 2025 debt: derived value 98657000000; concept us-gaap:CommercialPaper; form 10-K; accession 0000320193-25-000079; filed 2025-10-31; period end 2025-09-27; currency USD; unit USD; scale actual; method current_plus_long_term_debt_with_filed_absence_when_not_reported</t>
  </si>
  <si>
    <t xml:space="preserve">FY 2025 debt: derived value 98657000000; concept LongTermDebtNoncurrent; form 10-K; accession 0000320193-25-000079; filed 2025-10-31; period end 2025-09-27; currency USD; unit USD; scale actual; method current_plus_long_term_debt_with_filed_absence_when_not_reported</t>
  </si>
  <si>
    <t xml:space="preserve">FY 2021 operating_lease_liability_current: sec_native value 1449000000; concept OperatingLeaseLiabilityCurrent; form 10-K; accession 0000320193-22-000108; filed 2022-10-28; period end 2021-09-25; currency USD; unit USD; scale actual; method preferred_direct</t>
  </si>
  <si>
    <t xml:space="preserve">FY 2022 operating_lease_liability_current: sec_native value 1534000000; concept OperatingLeaseLiabilityCurrent; form 10-K; accession 0000320193-23-000106; filed 2023-11-03; period end 2022-09-24; currency USD; unit USD; scale actual; method preferred_direct</t>
  </si>
  <si>
    <t xml:space="preserve">FY 2023 operating_lease_liability_current: sec_native value 1410000000; concept OperatingLeaseLiabilityCurrent; form 10-K; accession 0000320193-24-000123; filed 2024-11-01; period end 2023-09-30; currency USD; unit USD; scale actual; method preferred_direct</t>
  </si>
  <si>
    <t xml:space="preserve">FY 2024 operating_lease_liability_current: sec_native value 1488000000; concept OperatingLeaseLiabilityCurrent; form 10-K; accession 0000320193-25-000079; filed 2025-10-31; period end 2024-09-28; currency USD; unit USD; scale actual; method preferred_direct</t>
  </si>
  <si>
    <t xml:space="preserve">FY 2025 operating_lease_liability_current: sec_native value 1579000000; concept OperatingLeaseLiabilityCurrent; form 10-K; accession 0000320193-25-000079; filed 2025-10-31; period end 2025-09-27; currency USD; unit USD; scale actual; method preferred_direct</t>
  </si>
  <si>
    <t xml:space="preserve">FY 2021 operating_lease_liability_noncurrent: sec_native value 9506000000; concept OperatingLeaseLiabilityNoncurrent; form 10-K; accession 0000320193-22-000108; filed 2022-10-28; period end 2021-09-25; currency USD; unit USD; scale actual; method preferred_direct</t>
  </si>
  <si>
    <t xml:space="preserve">FY 2022 operating_lease_liability_noncurrent: sec_native value 9936000000; concept OperatingLeaseLiabilityNoncurrent; form 10-K; accession 0000320193-23-000106; filed 2023-11-03; period end 2022-09-24; currency USD; unit USD; scale actual; method preferred_direct</t>
  </si>
  <si>
    <t xml:space="preserve">FY 2023 operating_lease_liability_noncurrent: sec_native value 10408000000; concept OperatingLeaseLiabilityNoncurrent; form 10-K; accession 0000320193-24-000123; filed 2024-11-01; period end 2023-09-30; currency USD; unit USD; scale actual; method preferred_direct</t>
  </si>
  <si>
    <t xml:space="preserve">FY 2024 operating_lease_liability_noncurrent: sec_native value 10046000000; concept OperatingLeaseLiabilityNoncurrent; form 10-K; accession 0000320193-25-000079; filed 2025-10-31; period end 2024-09-28; currency USD; unit USD; scale actual; method preferred_direct</t>
  </si>
  <si>
    <t xml:space="preserve">FY 2025 operating_lease_liability_noncurrent: sec_native value 10911000000; concept OperatingLeaseLiabilityNoncurrent; form 10-K; accession 0000320193-25-000079; filed 2025-10-31; period end 2025-09-27; currency USD; unit USD; scale actual; method preferred_direct</t>
  </si>
  <si>
    <t xml:space="preserve">FY 2021 lease_liabilities: derived value 10955000000; concept OperatingLeaseLiabilityCurrent; form 10-K; accession 0000320193-22-000108; filed 2022-10-28; period end 2021-09-25; currency USD; unit USD; scale actual; method current_plus_noncurrent_operating_lease_liabilities</t>
  </si>
  <si>
    <t xml:space="preserve">FY 2021 lease_liabilities: derived value 10955000000; concept OperatingLeaseLiabilityNoncurrent; form 10-K; accession 0000320193-22-000108; filed 2022-10-28; period end 2021-09-25; currency USD; unit USD; scale actual; method current_plus_noncurrent_operating_lease_liabilities</t>
  </si>
  <si>
    <t xml:space="preserve">FY 2022 lease_liabilities: derived value 11470000000; concept OperatingLeaseLiabilityCurrent; form 10-K; accession 0000320193-23-000106; filed 2023-11-03; period end 2022-09-24; currency USD; unit USD; scale actual; method current_plus_noncurrent_operating_lease_liabilities</t>
  </si>
  <si>
    <t xml:space="preserve">FY 2022 lease_liabilities: derived value 11470000000; concept OperatingLeaseLiabilityNoncurrent; form 10-K; accession 0000320193-23-000106; filed 2023-11-03; period end 2022-09-24; currency USD; unit USD; scale actual; method current_plus_noncurrent_operating_lease_liabilities</t>
  </si>
  <si>
    <t xml:space="preserve">FY 2023 lease_liabilities: derived value 11818000000; concept OperatingLeaseLiabilityCurrent; form 10-K; accession 0000320193-24-000123; filed 2024-11-01; period end 2023-09-30; currency USD; unit USD; scale actual; method current_plus_noncurrent_operating_lease_liabilities</t>
  </si>
  <si>
    <t xml:space="preserve">FY 2023 lease_liabilities: derived value 11818000000; concept OperatingLeaseLiabilityNoncurrent; form 10-K; accession 0000320193-24-000123; filed 2024-11-01; period end 2023-09-30; currency USD; unit USD; scale actual; method current_plus_noncurrent_operating_lease_liabilities</t>
  </si>
  <si>
    <t xml:space="preserve">FY 2024 lease_liabilities: derived value 11534000000; concept OperatingLeaseLiabilityCurrent; form 10-K; accession 0000320193-25-000079; filed 2025-10-31; period end 2024-09-28; currency USD; unit USD; scale actual; method current_plus_noncurrent_operating_lease_liabilities</t>
  </si>
  <si>
    <t xml:space="preserve">FY 2024 lease_liabilities: derived value 11534000000; concept OperatingLeaseLiabilityNoncurrent; form 10-K; accession 0000320193-25-000079; filed 2025-10-31; period end 2024-09-28; currency USD; unit USD; scale actual; method current_plus_noncurrent_operating_lease_liabilities</t>
  </si>
  <si>
    <t xml:space="preserve">FY 2025 lease_liabilities: derived value 12490000000; concept OperatingLeaseLiabilityCurrent; form 10-K; accession 0000320193-25-000079; filed 2025-10-31; period end 2025-09-27; currency USD; unit USD; scale actual; method current_plus_noncurrent_operating_lease_liabilities</t>
  </si>
  <si>
    <t xml:space="preserve">FY 2025 lease_liabilities: derived value 12490000000; concept OperatingLeaseLiabilityNoncurrent; form 10-K; accession 0000320193-25-000079; filed 2025-10-31; period end 2025-09-27; currency USD; unit USD; scale actual; method current_plus_noncurrent_operating_lease_liabilities</t>
  </si>
  <si>
    <t xml:space="preserve">FY 2021 book_value: sec_native value 63090000000; concept StockholdersEquity; form 10-K; accession 0000320193-24-000123; filed 2024-11-01; period end 2021-09-25; currency USD; unit USD; scale actual; method preferred_direct</t>
  </si>
  <si>
    <t xml:space="preserve">FY 2022 book_value: sec_native value 50672000000; concept StockholdersEquity; form 10-K; accession 0000320193-25-000079; filed 2025-10-31; period end 2022-09-24; currency USD; unit USD; scale actual; method preferred_direct</t>
  </si>
  <si>
    <t xml:space="preserve">FY 2023 book_value: sec_native value 62146000000; concept StockholdersEquity; form 10-K; accession 0000320193-25-000079; filed 2025-10-31; period end 2023-09-30; currency USD; unit USD; scale actual; method preferred_direct</t>
  </si>
  <si>
    <t xml:space="preserve">FY 2024 book_value: sec_native value 56950000000; concept StockholdersEquity; form 10-K; accession 0000320193-25-000079; filed 2025-10-31; period end 2024-09-28; currency USD; unit USD; scale actual; method preferred_direct</t>
  </si>
  <si>
    <t xml:space="preserve">FY 2025 book_value: sec_native value 73733000000; concept StockholdersEquity; form 10-K; accession 0000320193-25-000079; filed 2025-10-31; period end 2025-09-27; currency USD; unit USD; scale actual; method preferred_direct</t>
  </si>
  <si>
    <t xml:space="preserve">FY 2021 accounts_receivable: sec_native value 26278000000; concept AccountsReceivableNetCurrent; form 10-K; accession 0000320193-22-000108; filed 2022-10-28; period end 2021-09-25; currency USD; unit USD; scale actual; method preferred_direct</t>
  </si>
  <si>
    <t xml:space="preserve">FY 2022 accounts_receivable: sec_native value 28184000000; concept AccountsReceivableNetCurrent; form 10-K; accession 0000320193-23-000106; filed 2023-11-03; period end 2022-09-24; currency USD; unit USD; scale actual; method preferred_direct</t>
  </si>
  <si>
    <t xml:space="preserve">FY 2023 accounts_receivable: sec_native value 29508000000; concept AccountsReceivableNetCurrent; form 10-K; accession 0000320193-24-000123; filed 2024-11-01; period end 2023-09-30; currency USD; unit USD; scale actual; method preferred_direct</t>
  </si>
  <si>
    <t xml:space="preserve">FY 2024 accounts_receivable: sec_native value 33410000000; concept AccountsReceivableNetCurrent; form 10-K; accession 0000320193-25-000079; filed 2025-10-31; period end 2024-09-28; currency USD; unit USD; scale actual; method preferred_direct</t>
  </si>
  <si>
    <t xml:space="preserve">FY 2025 accounts_receivable: sec_native value 39777000000; concept AccountsReceivableNetCurrent; form 10-K; accession 0000320193-25-000079; filed 2025-10-31; period end 2025-09-27; currency USD; unit USD; scale actual; method preferred_direct</t>
  </si>
  <si>
    <t xml:space="preserve">FY 2021 inventory: sec_native value 6580000000; concept InventoryNet; form 10-K; accession 0000320193-22-000108; filed 2022-10-28; period end 2021-09-25; currency USD; unit USD; scale actual; method preferred_direct</t>
  </si>
  <si>
    <t xml:space="preserve">FY 2022 inventory: sec_native value 4946000000; concept InventoryNet; form 10-K; accession 0000320193-23-000106; filed 2023-11-03; period end 2022-09-24; currency USD; unit USD; scale actual; method preferred_direct</t>
  </si>
  <si>
    <t xml:space="preserve">FY 2023 inventory: sec_native value 6331000000; concept InventoryNet; form 10-K; accession 0000320193-24-000123; filed 2024-11-01; period end 2023-09-30; currency USD; unit USD; scale actual; method preferred_direct</t>
  </si>
  <si>
    <t xml:space="preserve">FY 2024 inventory: sec_native value 7286000000; concept InventoryNet; form 10-K; accession 0000320193-25-000079; filed 2025-10-31; period end 2024-09-28; currency USD; unit USD; scale actual; method preferred_direct</t>
  </si>
  <si>
    <t xml:space="preserve">FY 2025 inventory: sec_native value 5718000000; concept InventoryNet; form 10-K; accession 0000320193-25-000079; filed 2025-10-31; period end 2025-09-27; currency USD; unit USD; scale actual; method preferred_direct</t>
  </si>
  <si>
    <t xml:space="preserve">FY 2021 accounts_payable: sec_native value 54763000000; concept AccountsPayableCurrent; form 10-K; accession 0000320193-22-000108; filed 2022-10-28; period end 2021-09-25; currency USD; unit USD; scale actual; method preferred_direct</t>
  </si>
  <si>
    <t xml:space="preserve">FY 2022 accounts_payable: sec_native value 64115000000; concept AccountsPayableCurrent; form 10-K; accession 0000320193-23-000106; filed 2023-11-03; period end 2022-09-24; currency USD; unit USD; scale actual; method preferred_direct</t>
  </si>
  <si>
    <t xml:space="preserve">FY 2023 accounts_payable: sec_native value 62611000000; concept AccountsPayableCurrent; form 10-K; accession 0000320193-24-000123; filed 2024-11-01; period end 2023-09-30; currency USD; unit USD; scale actual; method preferred_direct</t>
  </si>
  <si>
    <t xml:space="preserve">FY 2024 accounts_payable: sec_native value 68960000000; concept AccountsPayableCurrent; form 10-K; accession 0000320193-25-000079; filed 2025-10-31; period end 2024-09-28; currency USD; unit USD; scale actual; method preferred_direct</t>
  </si>
  <si>
    <t xml:space="preserve">FY 2025 accounts_payable: sec_native value 69860000000; concept AccountsPayableCurrent; form 10-K; accession 0000320193-25-000079; filed 2025-10-31; period end 2025-09-27; currency USD; unit USD; scale actual; method preferred_direct</t>
  </si>
  <si>
    <t xml:space="preserve">FY 2021 total_assets: sec_native value 351002000000; concept Assets; form 10-K; accession 0000320193-22-000108; filed 2022-10-28; period end 2021-09-25; currency USD; unit USD; scale actual; method preferred_direct</t>
  </si>
  <si>
    <t xml:space="preserve">FY 2022 total_assets: sec_native value 352755000000; concept Assets; form 10-K; accession 0000320193-23-000106; filed 2023-11-03; period end 2022-09-24; currency USD; unit USD; scale actual; method preferred_direct</t>
  </si>
  <si>
    <t xml:space="preserve">FY 2023 total_assets: sec_native value 352583000000; concept Assets; form 10-K; accession 0000320193-24-000123; filed 2024-11-01; period end 2023-09-30; currency USD; unit USD; scale actual; method preferred_direct</t>
  </si>
  <si>
    <t xml:space="preserve">FY 2024 total_assets: sec_native value 364980000000; concept Assets; form 10-K; accession 0000320193-25-000079; filed 2025-10-31; period end 2024-09-28; currency USD; unit USD; scale actual; method preferred_direct</t>
  </si>
  <si>
    <t xml:space="preserve">FY 2025 total_assets: sec_native value 359241000000; concept Assets; form 10-K; accession 0000320193-25-000079; filed 2025-10-31; period end 2025-09-27; currency USD; unit USD; scale actual; method preferred_direct</t>
  </si>
  <si>
    <t xml:space="preserve">FY 2021 total_liabilities: sec_native value 287912000000; concept Liabilities; form 10-K; accession 0000320193-22-000108; filed 2022-10-28; period end 2021-09-25; currency USD; unit USD; scale actual; method preferred_direct</t>
  </si>
  <si>
    <t xml:space="preserve">FY 2022 total_liabilities: sec_native value 302083000000; concept Liabilities; form 10-K; accession 0000320193-23-000106; filed 2023-11-03; period end 2022-09-24; currency USD; unit USD; scale actual; method preferred_direct</t>
  </si>
  <si>
    <t xml:space="preserve">FY 2023 total_liabilities: sec_native value 290437000000; concept Liabilities; form 10-K; accession 0000320193-24-000123; filed 2024-11-01; period end 2023-09-30; currency USD; unit USD; scale actual; method preferred_direct</t>
  </si>
  <si>
    <t xml:space="preserve">FY 2024 total_liabilities: sec_native value 308030000000; concept Liabilities; form 10-K; accession 0000320193-25-000079; filed 2025-10-31; period end 2024-09-28; currency USD; unit USD; scale actual; method preferred_direct</t>
  </si>
  <si>
    <t xml:space="preserve">FY 2025 total_liabilities: sec_native value 285508000000; concept Liabilities; form 10-K; accession 0000320193-25-000079; filed 2025-10-31; period end 2025-09-27; currency USD; unit USD; scale actual; method preferred_direct</t>
  </si>
  <si>
    <t xml:space="preserve">FY 2021 retained_earnings: sec_native value 5562000000; concept RetainedEarningsAccumulatedDeficit; form 10-K; accession 0000320193-22-000108; filed 2022-10-28; period end 2021-09-25; currency USD; unit USD; scale actual; method preferred_direct</t>
  </si>
  <si>
    <t xml:space="preserve">FY 2022 retained_earnings: sec_native value -3068000000; concept RetainedEarningsAccumulatedDeficit; form 10-K; accession 0000320193-23-000106; filed 2023-11-03; period end 2022-09-24; currency USD; unit USD; scale actual; method preferred_direct</t>
  </si>
  <si>
    <t xml:space="preserve">FY 2023 retained_earnings: sec_native value -214000000; concept RetainedEarningsAccumulatedDeficit; form 10-K; accession 0000320193-24-000123; filed 2024-11-01; period end 2023-09-30; currency USD; unit USD; scale actual; method preferred_direct</t>
  </si>
  <si>
    <t xml:space="preserve">FY 2024 retained_earnings: sec_native value -19154000000; concept RetainedEarningsAccumulatedDeficit; form 10-K; accession 0000320193-25-000079; filed 2025-10-31; period end 2024-09-28; currency USD; unit USD; scale actual; method preferred_direct</t>
  </si>
  <si>
    <t xml:space="preserve">FY 2025 retained_earnings: sec_native value -14264000000; concept RetainedEarningsAccumulatedDeficit; form 10-K; accession 0000320193-25-000079; filed 2025-10-31; period end 2025-09-27; currency USD; unit USD; scale actual; method preferred_direct</t>
  </si>
  <si>
    <t xml:space="preserve">FY 2021 dividends_paid: sec_native value 14467000000; concept PaymentsOfDividendsCommonStock; form 10-K; accession 0000320193-21-000105; filed 2021-10-29; period end 2021-09-25; currency USD; unit USD; scale actual; method preferred_direct</t>
  </si>
  <si>
    <t xml:space="preserve">FY 2022 dividends_paid: sec_native value 14841000000; concept PaymentsOfDividendsCommonStock; form 10-K; accession 0000320193-22-000108; filed 2022-10-28; period end 2022-09-24; currency USD; unit USD; scale actual; method preferred_direct</t>
  </si>
  <si>
    <t xml:space="preserve">FY 2023 dividends_paid: sec_native value 15025000000; concept PaymentsOfDividendsCommonStock; form 10-K; accession 0000320193-23-000106; filed 2023-11-03; period end 2023-09-30; currency USD; unit USD; scale actual; method preferred_direct</t>
  </si>
  <si>
    <t xml:space="preserve">FY 2024 dividends_paid: sec_native value 15234000000; concept PaymentsOfDividendsCommonStock; form 10-K; accession 0000320193-24-000123; filed 2024-11-01; period end 2024-09-28; currency USD; unit USD; scale actual; method preferred_direct</t>
  </si>
  <si>
    <t xml:space="preserve">FY 2025 dividends_paid: sec_native value 15421000000; concept PaymentsOfDividendsCommonStock; form 10-K; accession 0000320193-25-000079; filed 2025-10-31; period end 2025-09-27; currency USD; unit USD; scale actual; method preferred_direct</t>
  </si>
  <si>
    <t xml:space="preserve">FY 2021 non_controlling_interest: derived value 0; concept Assets; form 10-K; accession 0000320193-22-000108; filed 2022-10-28; period end 2021-09-25; currency USD; unit USD; scale actual; method balance_sheet_zero_residual_confirmed</t>
  </si>
  <si>
    <t xml:space="preserve">FY 2021 non_controlling_interest: derived value 0; concept Liabilities; form 10-K; accession 0000320193-22-000108; filed 2022-10-28; period end 2021-09-25; currency USD; unit USD; scale actual; method balance_sheet_zero_residual_confirmed</t>
  </si>
  <si>
    <t xml:space="preserve">FY 2021 non_controlling_interest: derived value 0; concept StockholdersEquity; form 10-K; accession 0000320193-24-000123; filed 2024-11-01; period end 2021-09-25; currency USD; unit USD; scale actual; method balance_sheet_zero_residual_confirmed</t>
  </si>
  <si>
    <t xml:space="preserve">FY 2022 non_controlling_interest: derived value 0; concept Assets; form 10-K; accession 0000320193-23-000106; filed 2023-11-03; period end 2022-09-24; currency USD; unit USD; scale actual; method balance_sheet_zero_residual_confirmed</t>
  </si>
  <si>
    <t xml:space="preserve">FY 2022 non_controlling_interest: derived value 0; concept Liabilities; form 10-K; accession 0000320193-23-000106; filed 2023-11-03; period end 2022-09-24; currency USD; unit USD; scale actual; method balance_sheet_zero_residual_confirmed</t>
  </si>
  <si>
    <t xml:space="preserve">FY 2022 non_controlling_interest: derived value 0; concept StockholdersEquity; form 10-K; accession 0000320193-25-000079; filed 2025-10-31; period end 2022-09-24; currency USD; unit USD; scale actual; method balance_sheet_zero_residual_confirmed</t>
  </si>
  <si>
    <t xml:space="preserve">FY 2023 non_controlling_interest: derived value 0; concept Assets; form 10-K; accession 0000320193-24-000123; filed 2024-11-01; period end 2023-09-30; currency USD; unit USD; scale actual; method balance_sheet_zero_residual_confirmed</t>
  </si>
  <si>
    <t xml:space="preserve">FY 2023 non_controlling_interest: derived value 0; concept Liabilities; form 10-K; accession 0000320193-24-000123; filed 2024-11-01; period end 2023-09-30; currency USD; unit USD; scale actual; method balance_sheet_zero_residual_confirmed</t>
  </si>
  <si>
    <t xml:space="preserve">FY 2023 non_controlling_interest: derived value 0; concept StockholdersEquity; form 10-K; accession 0000320193-25-000079; filed 2025-10-31; period end 2023-09-30; currency USD; unit USD; scale actual; method balance_sheet_zero_residual_confirmed</t>
  </si>
  <si>
    <t xml:space="preserve">FY 2024 non_controlling_interest: derived value 0; concept Assets; form 10-K; accession 0000320193-25-000079; filed 2025-10-31; period end 2024-09-28; currency USD; unit USD; scale actual; method balance_sheet_zero_residual_confirmed</t>
  </si>
  <si>
    <t xml:space="preserve">FY 2024 non_controlling_interest: derived value 0; concept Liabilities; form 10-K; accession 0000320193-25-000079; filed 2025-10-31; period end 2024-09-28; currency USD; unit USD; scale actual; method balance_sheet_zero_residual_confirmed</t>
  </si>
  <si>
    <t xml:space="preserve">FY 2024 non_controlling_interest: derived value 0; concept StockholdersEquity; form 10-K; accession 0000320193-25-000079; filed 2025-10-31; period end 2024-09-28; currency USD; unit USD; scale actual; method balance_sheet_zero_residual_confirmed</t>
  </si>
  <si>
    <t xml:space="preserve">FY 2025 non_controlling_interest: derived value 0; concept Assets; form 10-K; accession 0000320193-25-000079; filed 2025-10-31; period end 2025-09-27; currency USD; unit USD; scale actual; method balance_sheet_zero_residual_confirmed</t>
  </si>
  <si>
    <t xml:space="preserve">FY 2025 non_controlling_interest: derived value 0; concept Liabilities; form 10-K; accession 0000320193-25-000079; filed 2025-10-31; period end 2025-09-27; currency USD; unit USD; scale actual; method balance_sheet_zero_residual_confirmed</t>
  </si>
  <si>
    <t xml:space="preserve">FY 2025 non_controlling_interest: derived value 0; concept StockholdersEquity; form 10-K; accession 0000320193-25-000079; filed 2025-10-31; period end 2025-09-27; currency USD; unit USD; scale actual; method balance_sheet_zero_residual_confirmed</t>
  </si>
  <si>
    <t xml:space="preserve">FY 2021 preferred_equity: not applicable; no_preferred_stock_fact_disclosed_in_filed_10k.</t>
  </si>
  <si>
    <t xml:space="preserve">FY 2022 preferred_equity: not applicable; no_preferred_stock_fact_disclosed_in_filed_10k.</t>
  </si>
  <si>
    <t xml:space="preserve">FY 2023 preferred_equity: not applicable; no_preferred_stock_fact_disclosed_in_filed_10k.</t>
  </si>
  <si>
    <t xml:space="preserve">FY 2024 preferred_equity: not applicable; no_preferred_stock_fact_disclosed_in_filed_10k.</t>
  </si>
  <si>
    <t xml:space="preserve">FY 2025 preferred_equity: not applicable; no_preferred_stock_fact_disclosed_in_filed_10k.</t>
  </si>
  <si>
    <t xml:space="preserve">FY 2021 total_current_assets: sec_native value 134836000000; concept AssetsCurrent; form 10-K; accession 0000320193-22-000108; filed 2022-10-28; period end 2021-09-25; currency USD; unit USD; scale actual; method preferred_direct</t>
  </si>
  <si>
    <t xml:space="preserve">FY 2022 total_current_assets: sec_native value 135405000000; concept AssetsCurrent; form 10-K; accession 0000320193-23-000106; filed 2023-11-03; period end 2022-09-24; currency USD; unit USD; scale actual; method preferred_direct</t>
  </si>
  <si>
    <t xml:space="preserve">FY 2023 total_current_assets: sec_native value 143566000000; concept AssetsCurrent; form 10-K; accession 0000320193-24-000123; filed 2024-11-01; period end 2023-09-30; currency USD; unit USD; scale actual; method preferred_direct</t>
  </si>
  <si>
    <t xml:space="preserve">FY 2024 total_current_assets: sec_native value 152987000000; concept AssetsCurrent; form 10-K; accession 0000320193-25-000079; filed 2025-10-31; period end 2024-09-28; currency USD; unit USD; scale actual; method preferred_direct</t>
  </si>
  <si>
    <t xml:space="preserve">FY 2025 total_current_assets: sec_native value 147957000000; concept AssetsCurrent; form 10-K; accession 0000320193-25-000079; filed 2025-10-31; period end 2025-09-27; currency USD; unit USD; scale actual; method preferred_direct</t>
  </si>
  <si>
    <t xml:space="preserve">FY 2021 other_current_assets: sec_native value 14111000000; concept us-gaap:OtherAssetsCurrent; form 10-K; accession 0000320193-22-000108; filed 2022-10-28; period end 2021-09-25; currency USD; unit USD; scale actual; method companyfacts_preferred_direct</t>
  </si>
  <si>
    <t xml:space="preserve">FY 2022 other_current_assets: sec_native value 21223000000; concept us-gaap:OtherAssetsCurrent; form 10-K; accession 0000320193-23-000106; filed 2023-11-03; period end 2022-09-24; currency USD; unit USD; scale actual; method companyfacts_preferred_direct</t>
  </si>
  <si>
    <t xml:space="preserve">FY 2023 other_current_assets: sec_native value 14695000000; concept us-gaap:OtherAssetsCurrent; form 10-K; accession 0000320193-24-000123; filed 2024-11-01; period end 2023-09-30; currency USD; unit USD; scale actual; method companyfacts_preferred_direct</t>
  </si>
  <si>
    <t xml:space="preserve">FY 2024 other_current_assets: sec_native value 14287000000; concept us-gaap:OtherAssetsCurrent; form 10-K; accession 0000320193-25-000079; filed 2025-10-31; period end 2024-09-28; currency USD; unit USD; scale actual; method companyfacts_preferred_direct</t>
  </si>
  <si>
    <t xml:space="preserve">FY 2025 other_current_assets: sec_native value 14585000000; concept us-gaap:OtherAssetsCurrent; form 10-K; accession 0000320193-25-000079; filed 2025-10-31; period end 2025-09-27; currency USD; unit USD; scale actual; method companyfacts_preferred_direct</t>
  </si>
  <si>
    <t xml:space="preserve">FY 2021 ppe_net: sec_native value 39440000000; concept PropertyPlantAndEquipmentNet; form 10-K; accession 0000320193-22-000108; filed 2022-10-28; period end 2021-09-25; currency USD; unit USD; scale actual; method preferred_direct</t>
  </si>
  <si>
    <t xml:space="preserve">FY 2022 ppe_net: sec_native value 42117000000; concept PropertyPlantAndEquipmentNet; form 10-K; accession 0000320193-23-000106; filed 2023-11-03; period end 2022-09-24; currency USD; unit USD; scale actual; method preferred_direct</t>
  </si>
  <si>
    <t xml:space="preserve">FY 2023 ppe_net: sec_native value 43715000000; concept PropertyPlantAndEquipmentNet; form 10-K; accession 0000320193-24-000123; filed 2024-11-01; period end 2023-09-30; currency USD; unit USD; scale actual; method preferred_direct</t>
  </si>
  <si>
    <t xml:space="preserve">FY 2024 ppe_net: sec_native value 45680000000; concept PropertyPlantAndEquipmentNet; form 10-K; accession 0000320193-25-000079; filed 2025-10-31; period end 2024-09-28; currency USD; unit USD; scale actual; method preferred_direct</t>
  </si>
  <si>
    <t xml:space="preserve">FY 2025 ppe_net: sec_native value 49834000000; concept PropertyPlantAndEquipmentNet; form 10-K; accession 0000320193-25-000079; filed 2025-10-31; period end 2025-09-27; currency USD; unit USD; scale actual; method preferred_direct</t>
  </si>
  <si>
    <t xml:space="preserve">FY 2021 other_assets: sec_native value 48849000000; concept OtherAssetsNoncurrent; form 10-K; accession 0000320193-22-000108; filed 2022-10-28; period end 2021-09-25; currency USD; unit USD; scale actual; method preferred_direct</t>
  </si>
  <si>
    <t xml:space="preserve">FY 2022 other_assets: sec_native value 54428000000; concept OtherAssetsNoncurrent; form 10-K; accession 0000320193-23-000106; filed 2023-11-03; period end 2022-09-24; currency USD; unit USD; scale actual; method preferred_direct</t>
  </si>
  <si>
    <t xml:space="preserve">FY 2023 other_assets: sec_native value 64758000000; concept OtherAssetsNoncurrent; form 10-K; accession 0000320193-24-000123; filed 2024-11-01; period end 2023-09-30; currency USD; unit USD; scale actual; method preferred_direct</t>
  </si>
  <si>
    <t xml:space="preserve">FY 2024 other_assets: sec_native value 74834000000; concept OtherAssetsNoncurrent; form 10-K; accession 0000320193-25-000079; filed 2025-10-31; period end 2024-09-28; currency USD; unit USD; scale actual; method preferred_direct</t>
  </si>
  <si>
    <t xml:space="preserve">FY 2025 other_assets: sec_native value 83727000000; concept OtherAssetsNoncurrent; form 10-K; accession 0000320193-25-000079; filed 2025-10-31; period end 2025-09-27; currency USD; unit USD; scale actual; method preferred_direct</t>
  </si>
  <si>
    <t xml:space="preserve">FY 2021 other_liabilities: sec_native value 53325000000; concept OtherLiabilitiesNoncurrent; form 10-K; accession 0000320193-22-000108; filed 2022-10-28; period end 2021-09-25; currency USD; unit USD; scale actual; method preferred_direct</t>
  </si>
  <si>
    <t xml:space="preserve">FY 2022 other_liabilities: sec_native value 49142000000; concept OtherLiabilitiesNoncurrent; form 10-K; accession 0000320193-23-000106; filed 2023-11-03; period end 2022-09-24; currency USD; unit USD; scale actual; method preferred_direct</t>
  </si>
  <si>
    <t xml:space="preserve">FY 2023 other_liabilities: sec_native value 49848000000; concept OtherLiabilitiesNoncurrent; form 10-K; accession 0000320193-24-000123; filed 2024-11-01; period end 2023-09-30; currency USD; unit USD; scale actual; method preferred_direct</t>
  </si>
  <si>
    <t xml:space="preserve">FY 2024 other_liabilities: sec_native value 45888000000; concept OtherLiabilitiesNoncurrent; form 10-K; accession 0000320193-25-000079; filed 2025-10-31; period end 2024-09-28; currency USD; unit USD; scale actual; method preferred_direct</t>
  </si>
  <si>
    <t xml:space="preserve">FY 2025 other_liabilities: sec_native value 41549000000; concept OtherLiabilitiesNoncurrent; form 10-K; accession 0000320193-25-000079; filed 2025-10-31; period end 2025-09-27; currency USD; unit USD; scale actual; method preferred_direct</t>
  </si>
  <si>
    <t xml:space="preserve">FY 2021 total_current_liabilities: sec_native value 125481000000; concept LiabilitiesCurrent; form 10-K; accession 0000320193-22-000108; filed 2022-10-28; period end 2021-09-25; currency USD; unit USD; scale actual; method preferred_direct</t>
  </si>
  <si>
    <t xml:space="preserve">FY 2022 total_current_liabilities: sec_native value 153982000000; concept LiabilitiesCurrent; form 10-K; accession 0000320193-23-000106; filed 2023-11-03; period end 2022-09-24; currency USD; unit USD; scale actual; method preferred_direct</t>
  </si>
  <si>
    <t xml:space="preserve">FY 2023 total_current_liabilities: sec_native value 145308000000; concept LiabilitiesCurrent; form 10-K; accession 0000320193-24-000123; filed 2024-11-01; period end 2023-09-30; currency USD; unit USD; scale actual; method preferred_direct</t>
  </si>
  <si>
    <t xml:space="preserve">FY 2024 total_current_liabilities: sec_native value 176392000000; concept LiabilitiesCurrent; form 10-K; accession 0000320193-25-000079; filed 2025-10-31; period end 2024-09-28; currency USD; unit USD; scale actual; method preferred_direct</t>
  </si>
  <si>
    <t xml:space="preserve">FY 2025 total_current_liabilities: sec_native value 165631000000; concept LiabilitiesCurrent; form 10-K; accession 0000320193-25-000079; filed 2025-10-31; period end 2025-09-27; currency USD; unit USD; scale actual; method preferred_direct</t>
  </si>
  <si>
    <t xml:space="preserve">FY 2021 other_current_liabilities: sec_native value 47493000000; concept us-gaap:OtherLiabilitiesCurrent; form 10-K; accession 0000320193-22-000108; filed 2022-10-28; period end 2021-09-25; currency USD; unit USD; scale actual; method companyfacts_preferred_direct</t>
  </si>
  <si>
    <t xml:space="preserve">FY 2022 other_current_liabilities: sec_native value 60845000000; concept us-gaap:OtherLiabilitiesCurrent; form 10-K; accession 0000320193-23-000106; filed 2023-11-03; period end 2022-09-24; currency USD; unit USD; scale actual; method companyfacts_preferred_direct</t>
  </si>
  <si>
    <t xml:space="preserve">FY 2023 other_current_liabilities: sec_native value 58829000000; concept us-gaap:OtherLiabilitiesCurrent; form 10-K; accession 0000320193-24-000123; filed 2024-11-01; period end 2023-09-30; currency USD; unit USD; scale actual; method companyfacts_preferred_direct</t>
  </si>
  <si>
    <t xml:space="preserve">FY 2024 other_current_liabilities: sec_native value 78304000000; concept us-gaap:OtherLiabilitiesCurrent; form 10-K; accession 0000320193-25-000079; filed 2025-10-31; period end 2024-09-28; currency USD; unit USD; scale actual; method companyfacts_preferred_direct</t>
  </si>
  <si>
    <t xml:space="preserve">FY 2025 other_current_liabilities: sec_native value 66387000000; concept us-gaap:OtherLiabilitiesCurrent; form 10-K; accession 0000320193-25-000079; filed 2025-10-31; period end 2025-09-27; currency USD; unit USD; scale actual; method companyfacts_preferred_direct</t>
  </si>
  <si>
    <t xml:space="preserve">FY 2021 deferred_revenue: sec_native value 11900000000; concept us-gaap:ContractWithCustomerLiability; form 10-K; accession 0000320193-22-000108; filed 2022-10-28; period end 2021-09-25; currency USD; unit USD; scale actual; method companyfacts_preferred_direct</t>
  </si>
  <si>
    <t xml:space="preserve">FY 2022 deferred_revenue: sec_native value 12400000000; concept us-gaap:ContractWithCustomerLiability; form 10-K; accession 0000320193-23-000106; filed 2023-11-03; period end 2022-09-24; currency USD; unit USD; scale actual; method companyfacts_preferred_direct</t>
  </si>
  <si>
    <t xml:space="preserve">FY 2023 deferred_revenue: sec_native value 12100000000; concept us-gaap:ContractWithCustomerLiability; form 10-K; accession 0000320193-24-000123; filed 2024-11-01; period end 2023-09-30; currency USD; unit USD; scale actual; method companyfacts_preferred_direct</t>
  </si>
  <si>
    <t xml:space="preserve">FY 2024 deferred_revenue: sec_native value 12800000000; concept us-gaap:ContractWithCustomerLiability; form 10-K; accession 0000320193-25-000079; filed 2025-10-31; period end 2024-09-28; currency USD; unit USD; scale actual; method companyfacts_preferred_direct</t>
  </si>
  <si>
    <t xml:space="preserve">FY 2025 deferred_revenue: sec_native value 13700000000; concept us-gaap:ContractWithCustomerLiability; form 10-K; accession 0000320193-25-000079; filed 2025-10-31; period end 2025-09-27; currency USD; unit USD; scale actual; method companyfacts_preferred_direct</t>
  </si>
  <si>
    <t xml:space="preserve">FY 2021 research_and_development: sec_native value 21914000000; concept ResearchAndDevelopmentExpense; form 10-K; accession 0000320193-23-000106; filed 2023-11-03; period end 2021-09-25; currency USD; unit USD; scale actual; method preferred_direct</t>
  </si>
  <si>
    <t xml:space="preserve">FY 2022 research_and_development: sec_native value 26251000000; concept ResearchAndDevelopmentExpense; form 10-K; accession 0000320193-24-000123; filed 2024-11-01; period end 2022-09-24; currency USD; unit USD; scale actual; method preferred_direct</t>
  </si>
  <si>
    <t xml:space="preserve">FY 2023 research_and_development: sec_native value 29915000000; concept ResearchAndDevelopmentExpense; form 10-K; accession 0000320193-25-000079; filed 2025-10-31; period end 2023-09-30; currency USD; unit USD; scale actual; method preferred_direct</t>
  </si>
  <si>
    <t xml:space="preserve">FY 2024 research_and_development: sec_native value 31370000000; concept ResearchAndDevelopmentExpense; form 10-K; accession 0000320193-25-000079; filed 2025-10-31; period end 2024-09-28; currency USD; unit USD; scale actual; method preferred_direct</t>
  </si>
  <si>
    <t xml:space="preserve">FY 2025 research_and_development: sec_native value 34550000000; concept ResearchAndDevelopmentExpense; form 10-K; accession 0000320193-25-000079; filed 2025-10-31; period end 2025-09-27; currency USD; unit USD; scale actual; method preferred_direct</t>
  </si>
  <si>
    <t xml:space="preserve">FY 2021 general_and_administrative: sec_native value 21973000000; concept SellingGeneralAndAdministrativeExpense; form 10-K; accession 0000320193-23-000106; filed 2023-11-03; period end 2021-09-25; currency USD; unit USD; scale actual; method preferred_direct</t>
  </si>
  <si>
    <t xml:space="preserve">FY 2022 general_and_administrative: sec_native value 25094000000; concept SellingGeneralAndAdministrativeExpense; form 10-K; accession 0000320193-24-000123; filed 2024-11-01; period end 2022-09-24; currency USD; unit USD; scale actual; method preferred_direct</t>
  </si>
  <si>
    <t xml:space="preserve">FY 2023 general_and_administrative: sec_native value 24932000000; concept SellingGeneralAndAdministrativeExpense; form 10-K; accession 0000320193-25-000079; filed 2025-10-31; period end 2023-09-30; currency USD; unit USD; scale actual; method preferred_direct</t>
  </si>
  <si>
    <t xml:space="preserve">FY 2024 general_and_administrative: sec_native value 26097000000; concept SellingGeneralAndAdministrativeExpense; form 10-K; accession 0000320193-25-000079; filed 2025-10-31; period end 2024-09-28; currency USD; unit USD; scale actual; method preferred_direct</t>
  </si>
  <si>
    <t xml:space="preserve">FY 2025 general_and_administrative: sec_native value 27601000000; concept SellingGeneralAndAdministrativeExpense; form 10-K; accession 0000320193-25-000079; filed 2025-10-31; period end 2025-09-27; currency USD; unit USD; scale actual; method preferred_direct</t>
  </si>
  <si>
    <t xml:space="preserve">FY 2025 marketing: sec_native value 19524000000; concept SellingAndMarketingExpense; form 10-K; accession 0000320193-25-000079; filed 2025-10-31; period end 2025-09-27; currency USD; unit USD; scale actual; method preferred_direct</t>
  </si>
  <si>
    <t xml:space="preserve">FY 2021 other_operating_expenses: derived value 0; concept RevenueFromContractWithCustomerExcludingAssessedTax; form 10-K; accession 0000320193-23-000106; filed 2023-11-03; period end 2021-09-25; currency USD; unit USD; scale actual; method gross_profit_less_ebit_rd_and_sga</t>
  </si>
  <si>
    <t xml:space="preserve">FY 2021 other_operating_expenses: derived value 0; concept CostOfGoodsAndServicesSold; form 10-K; accession 0000320193-23-000106; filed 2023-11-03; period end 2021-09-25; currency USD; unit USD; scale actual; method gross_profit_less_ebit_rd_and_sga</t>
  </si>
  <si>
    <t xml:space="preserve">FY 2021 other_operating_expenses: derived value 0; concept OperatingIncomeLoss; form 10-K; accession 0000320193-23-000106; filed 2023-11-03; period end 2021-09-25; currency USD; unit USD; scale actual; method gross_profit_less_ebit_rd_and_sga</t>
  </si>
  <si>
    <t xml:space="preserve">FY 2021 other_operating_expenses: derived value 0; concept ResearchAndDevelopmentExpense; form 10-K; accession 0000320193-23-000106; filed 2023-11-03; period end 2021-09-25; currency USD; unit USD; scale actual; method gross_profit_less_ebit_rd_and_sga</t>
  </si>
  <si>
    <t xml:space="preserve">FY 2021 other_operating_expenses: derived value 0; concept SellingGeneralAndAdministrativeExpense; form 10-K; accession 0000320193-23-000106; filed 2023-11-03; period end 2021-09-25; currency USD; unit USD; scale actual; method gross_profit_less_ebit_rd_and_sga</t>
  </si>
  <si>
    <t xml:space="preserve">FY 2022 other_operating_expenses: derived value 0; concept RevenueFromContractWithCustomerExcludingAssessedTax; form 10-K; accession 0000320193-24-000123; filed 2024-11-01; period end 2022-09-24; currency USD; unit USD; scale actual; method gross_profit_less_ebit_rd_and_sga</t>
  </si>
  <si>
    <t xml:space="preserve">FY 2022 other_operating_expenses: derived value 0; concept CostOfGoodsAndServicesSold; form 10-K; accession 0000320193-24-000123; filed 2024-11-01; period end 2022-09-24; currency USD; unit USD; scale actual; method gross_profit_less_ebit_rd_and_sga</t>
  </si>
  <si>
    <t xml:space="preserve">FY 2022 other_operating_expenses: derived value 0; concept OperatingIncomeLoss; form 10-K; accession 0000320193-24-000123; filed 2024-11-01; period end 2022-09-24; currency USD; unit USD; scale actual; method gross_profit_less_ebit_rd_and_sga</t>
  </si>
  <si>
    <t xml:space="preserve">FY 2022 other_operating_expenses: derived value 0; concept ResearchAndDevelopmentExpense; form 10-K; accession 0000320193-24-000123; filed 2024-11-01; period end 2022-09-24; currency USD; unit USD; scale actual; method gross_profit_less_ebit_rd_and_sga</t>
  </si>
  <si>
    <t xml:space="preserve">FY 2022 other_operating_expenses: derived value 0; concept SellingGeneralAndAdministrativeExpense; form 10-K; accession 0000320193-24-000123; filed 2024-11-01; period end 2022-09-24; currency USD; unit USD; scale actual; method gross_profit_less_ebit_rd_and_sga</t>
  </si>
  <si>
    <t xml:space="preserve">FY 2023 other_operating_expenses: derived value 0; concept RevenueFromContractWithCustomerExcludingAssessedTax; form 10-K; accession 0000320193-25-000079; filed 2025-10-31; period end 2023-09-30; currency USD; unit USD; scale actual; method gross_profit_less_ebit_rd_and_sga</t>
  </si>
  <si>
    <t xml:space="preserve">FY 2023 other_operating_expenses: derived value 0; concept CostOfGoodsAndServicesSold; form 10-K; accession 0000320193-25-000079; filed 2025-10-31; period end 2023-09-30; currency USD; unit USD; scale actual; method gross_profit_less_ebit_rd_and_sga</t>
  </si>
  <si>
    <t xml:space="preserve">FY 2023 other_operating_expenses: derived value 0; concept OperatingIncomeLoss; form 10-K; accession 0000320193-25-000079; filed 2025-10-31; period end 2023-09-30; currency USD; unit USD; scale actual; method gross_profit_less_ebit_rd_and_sga</t>
  </si>
  <si>
    <t xml:space="preserve">FY 2023 other_operating_expenses: derived value 0; concept ResearchAndDevelopmentExpense; form 10-K; accession 0000320193-25-000079; filed 2025-10-31; period end 2023-09-30; currency USD; unit USD; scale actual; method gross_profit_less_ebit_rd_and_sga</t>
  </si>
  <si>
    <t xml:space="preserve">FY 2023 other_operating_expenses: derived value 0; concept SellingGeneralAndAdministrativeExpense; form 10-K; accession 0000320193-25-000079; filed 2025-10-31; period end 2023-09-30; currency USD; unit USD; scale actual; method gross_profit_less_ebit_rd_and_sga</t>
  </si>
  <si>
    <t xml:space="preserve">FY 2024 other_operating_expenses: derived value 0; concept RevenueFromContractWithCustomerExcludingAssessedTax; form 10-K; accession 0000320193-25-000079; filed 2025-10-31; period end 2024-09-28; currency USD; unit USD; scale actual; method gross_profit_less_ebit_rd_and_sga</t>
  </si>
  <si>
    <t xml:space="preserve">FY 2024 other_operating_expenses: derived value 0; concept CostOfGoodsAndServicesSold; form 10-K; accession 0000320193-25-000079; filed 2025-10-31; period end 2024-09-28; currency USD; unit USD; scale actual; method gross_profit_less_ebit_rd_and_sga</t>
  </si>
  <si>
    <t xml:space="preserve">FY 2024 other_operating_expenses: derived value 0; concept OperatingIncomeLoss; form 10-K; accession 0000320193-25-000079; filed 2025-10-31; period end 2024-09-28; currency USD; unit USD; scale actual; method gross_profit_less_ebit_rd_and_sga</t>
  </si>
  <si>
    <t xml:space="preserve">FY 2024 other_operating_expenses: derived value 0; concept ResearchAndDevelopmentExpense; form 10-K; accession 0000320193-25-000079; filed 2025-10-31; period end 2024-09-28; currency USD; unit USD; scale actual; method gross_profit_less_ebit_rd_and_sga</t>
  </si>
  <si>
    <t xml:space="preserve">FY 2024 other_operating_expenses: derived value 0; concept SellingGeneralAndAdministrativeExpense; form 10-K; accession 0000320193-25-000079; filed 2025-10-31; period end 2024-09-28; currency USD; unit USD; scale actual; method gross_profit_less_ebit_rd_and_sga</t>
  </si>
  <si>
    <t xml:space="preserve">FY 2025 other_operating_expenses: derived value 0; concept RevenueFromContractWithCustomerExcludingAssessedTax; form 10-K; accession 0000320193-25-000079; filed 2025-10-31; period end 2025-09-27; currency USD; unit USD; scale actual; method gross_profit_less_ebit_rd_and_sga</t>
  </si>
  <si>
    <t xml:space="preserve">FY 2025 other_operating_expenses: derived value 0; concept CostOfGoodsAndServicesSold; form 10-K; accession 0000320193-25-000079; filed 2025-10-31; period end 2025-09-27; currency USD; unit USD; scale actual; method gross_profit_less_ebit_rd_and_sga</t>
  </si>
  <si>
    <t xml:space="preserve">FY 2025 other_operating_expenses: derived value 0; concept OperatingIncomeLoss; form 10-K; accession 0000320193-25-000079; filed 2025-10-31; period end 2025-09-27; currency USD; unit USD; scale actual; method gross_profit_less_ebit_rd_and_sga</t>
  </si>
  <si>
    <t xml:space="preserve">FY 2025 other_operating_expenses: derived value 0; concept ResearchAndDevelopmentExpense; form 10-K; accession 0000320193-25-000079; filed 2025-10-31; period end 2025-09-27; currency USD; unit USD; scale actual; method gross_profit_less_ebit_rd_and_sga</t>
  </si>
  <si>
    <t xml:space="preserve">FY 2025 other_operating_expenses: derived value 0; concept SellingGeneralAndAdministrativeExpense; form 10-K; accession 0000320193-25-000079; filed 2025-10-31; period end 2025-09-27; currency USD; unit USD; scale actual; method gross_profit_less_ebit_rd_and_sga</t>
  </si>
  <si>
    <t xml:space="preserve">FY 2021 deferred_tax: sec_native value -4774000000; concept DeferredIncomeTaxExpenseBenefit; form 10-K; accession 0000320193-22-000108; filed 2022-10-28; period end 2021-09-25; currency USD; unit USD; scale actual; method preferred_direct</t>
  </si>
  <si>
    <t xml:space="preserve">FY 2022 deferred_tax: sec_native value 895000000; concept DeferredIncomeTaxExpenseBenefit; form 10-K; accession 0000320193-22-000108; filed 2022-10-28; period end 2022-09-24; currency USD; unit USD; scale actual; method preferred_direct</t>
  </si>
  <si>
    <t xml:space="preserve">FY 2021 nwc_change: not applicable; no_prior_fiscal_period.</t>
  </si>
  <si>
    <t xml:space="preserve">FY 2022 nwc_change: derived value -9080000000; concept AccountsReceivableNetCurrent; form 10-K; accession 0000320193-23-000106; filed 2023-11-03; period end 2022-09-24; currency USD; unit USD; scale actual; method change_in_accounts_receivable_plus_inventory_less_accounts_payable</t>
  </si>
  <si>
    <t xml:space="preserve">FY 2022 nwc_change: derived value -9080000000; concept InventoryNet; form 10-K; accession 0000320193-23-000106; filed 2023-11-03; period end 2022-09-24; currency USD; unit USD; scale actual; method change_in_accounts_receivable_plus_inventory_less_accounts_payable</t>
  </si>
  <si>
    <t xml:space="preserve">FY 2022 nwc_change: derived value -9080000000; concept AccountsPayableCurrent; form 10-K; accession 0000320193-23-000106; filed 2023-11-03; period end 2022-09-24; currency USD; unit USD; scale actual; method change_in_accounts_receivable_plus_inventory_less_accounts_payable</t>
  </si>
  <si>
    <t xml:space="preserve">FY 2022 nwc_change: derived value -9080000000; concept AccountsReceivableNetCurrent; form 10-K; accession 0000320193-22-000108; filed 2022-10-28; period end 2021-09-25; currency USD; unit USD; scale actual; method change_in_accounts_receivable_plus_inventory_less_accounts_payable</t>
  </si>
  <si>
    <t xml:space="preserve">FY 2022 nwc_change: derived value -9080000000; concept InventoryNet; form 10-K; accession 0000320193-22-000108; filed 2022-10-28; period end 2021-09-25; currency USD; unit USD; scale actual; method change_in_accounts_receivable_plus_inventory_less_accounts_payable</t>
  </si>
  <si>
    <t xml:space="preserve">FY 2022 nwc_change: derived value -9080000000; concept AccountsPayableCurrent; form 10-K; accession 0000320193-22-000108; filed 2022-10-28; period end 2021-09-25; currency USD; unit USD; scale actual; method change_in_accounts_receivable_plus_inventory_less_accounts_payable</t>
  </si>
  <si>
    <t xml:space="preserve">FY 2023 nwc_change: derived value 4213000000; concept AccountsReceivableNetCurrent; form 10-K; accession 0000320193-24-000123; filed 2024-11-01; period end 2023-09-30; currency USD; unit USD; scale actual; method change_in_accounts_receivable_plus_inventory_less_accounts_payable</t>
  </si>
  <si>
    <t xml:space="preserve">FY 2023 nwc_change: derived value 4213000000; concept InventoryNet; form 10-K; accession 0000320193-24-000123; filed 2024-11-01; period end 2023-09-30; currency USD; unit USD; scale actual; method change_in_accounts_receivable_plus_inventory_less_accounts_payable</t>
  </si>
  <si>
    <t xml:space="preserve">FY 2023 nwc_change: derived value 4213000000; concept AccountsPayableCurrent; form 10-K; accession 0000320193-24-000123; filed 2024-11-01; period end 2023-09-30; currency USD; unit USD; scale actual; method change_in_accounts_receivable_plus_inventory_less_accounts_payable</t>
  </si>
  <si>
    <t xml:space="preserve">FY 2023 nwc_change: derived value 4213000000; concept AccountsReceivableNetCurrent; form 10-K; accession 0000320193-23-000106; filed 2023-11-03; period end 2022-09-24; currency USD; unit USD; scale actual; method change_in_accounts_receivable_plus_inventory_less_accounts_payable</t>
  </si>
  <si>
    <t xml:space="preserve">FY 2023 nwc_change: derived value 4213000000; concept InventoryNet; form 10-K; accession 0000320193-23-000106; filed 2023-11-03; period end 2022-09-24; currency USD; unit USD; scale actual; method change_in_accounts_receivable_plus_inventory_less_accounts_payable</t>
  </si>
  <si>
    <t xml:space="preserve">FY 2023 nwc_change: derived value 4213000000; concept AccountsPayableCurrent; form 10-K; accession 0000320193-23-000106; filed 2023-11-03; period end 2022-09-24; currency USD; unit USD; scale actual; method change_in_accounts_receivable_plus_inventory_less_accounts_payable</t>
  </si>
  <si>
    <t xml:space="preserve">FY 2024 nwc_change: derived value -1492000000; concept AccountsReceivableNetCurrent; form 10-K; accession 0000320193-25-000079; filed 2025-10-31; period end 2024-09-28; currency USD; unit USD; scale actual; method change_in_accounts_receivable_plus_inventory_less_accounts_payable</t>
  </si>
  <si>
    <t xml:space="preserve">FY 2024 nwc_change: derived value -1492000000; concept InventoryNet; form 10-K; accession 0000320193-25-000079; filed 2025-10-31; period end 2024-09-28; currency USD; unit USD; scale actual; method change_in_accounts_receivable_plus_inventory_less_accounts_payable</t>
  </si>
  <si>
    <t xml:space="preserve">FY 2024 nwc_change: derived value -1492000000; concept AccountsPayableCurrent; form 10-K; accession 0000320193-25-000079; filed 2025-10-31; period end 2024-09-28; currency USD; unit USD; scale actual; method change_in_accounts_receivable_plus_inventory_less_accounts_payable</t>
  </si>
  <si>
    <t xml:space="preserve">FY 2024 nwc_change: derived value -1492000000; concept AccountsReceivableNetCurrent; form 10-K; accession 0000320193-24-000123; filed 2024-11-01; period end 2023-09-30; currency USD; unit USD; scale actual; method change_in_accounts_receivable_plus_inventory_less_accounts_payable</t>
  </si>
  <si>
    <t xml:space="preserve">FY 2024 nwc_change: derived value -1492000000; concept InventoryNet; form 10-K; accession 0000320193-24-000123; filed 2024-11-01; period end 2023-09-30; currency USD; unit USD; scale actual; method change_in_accounts_receivable_plus_inventory_less_accounts_payable</t>
  </si>
  <si>
    <t xml:space="preserve">FY 2024 nwc_change: derived value -1492000000; concept AccountsPayableCurrent; form 10-K; accession 0000320193-24-000123; filed 2024-11-01; period end 2023-09-30; currency USD; unit USD; scale actual; method change_in_accounts_receivable_plus_inventory_less_accounts_payable</t>
  </si>
  <si>
    <t xml:space="preserve">FY 2025 nwc_change: derived value 3899000000; concept AccountsReceivableNetCurrent; form 10-K; accession 0000320193-25-000079; filed 2025-10-31; period end 2025-09-27; currency USD; unit USD; scale actual; method change_in_accounts_receivable_plus_inventory_less_accounts_payable</t>
  </si>
  <si>
    <t xml:space="preserve">FY 2025 nwc_change: derived value 3899000000; concept InventoryNet; form 10-K; accession 0000320193-25-000079; filed 2025-10-31; period end 2025-09-27; currency USD; unit USD; scale actual; method change_in_accounts_receivable_plus_inventory_less_accounts_payable</t>
  </si>
  <si>
    <t xml:space="preserve">FY 2025 nwc_change: derived value 3899000000; concept AccountsPayableCurrent; form 10-K; accession 0000320193-25-000079; filed 2025-10-31; period end 2025-09-27; currency USD; unit USD; scale actual; method change_in_accounts_receivable_plus_inventory_less_accounts_payable</t>
  </si>
  <si>
    <t xml:space="preserve">FY 2025 nwc_change: derived value 3899000000; concept AccountsReceivableNetCurrent; form 10-K; accession 0000320193-25-000079; filed 2025-10-31; period end 2024-09-28; currency USD; unit USD; scale actual; method change_in_accounts_receivable_plus_inventory_less_accounts_payable</t>
  </si>
  <si>
    <t xml:space="preserve">FY 2025 nwc_change: derived value 3899000000; concept InventoryNet; form 10-K; accession 0000320193-25-000079; filed 2025-10-31; period end 2024-09-28; currency USD; unit USD; scale actual; method change_in_accounts_receivable_plus_inventory_less_accounts_payable</t>
  </si>
  <si>
    <t xml:space="preserve">FY 2025 nwc_change: derived value 3899000000; concept AccountsPayableCurrent; form 10-K; accession 0000320193-25-000079; filed 2025-10-31; period end 2024-09-28; currency USD; unit USD; scale actual; method change_in_accounts_receivable_plus_inventory_less_accounts_payable</t>
  </si>
  <si>
    <t xml:space="preserve">FY 2021 operating_net_working_capital: derived value -165548000000; concept AssetsCurrent;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</si>
  <si>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CashAndCashEquivalentsAtCarryingValue;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</si>
  <si>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us-gaap:MarketableSecuritiesCurrent;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</si>
  <si>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us-gaap:MarketableSecuritiesNoncurrent;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</si>
  <si>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LiabilitiesCurrent;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</si>
  <si>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LongTermDebtCurrent;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</si>
  <si>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us-gaap:CommercialPaper; form 10-K; accession 0000320193-22-000108; filed 2022-10-28; period end 2021-09-25; currency USD; unit USD; scale actual; method noncash_current_assets_less_current_liabilities_plus_current_debt</t>
  </si>
  <si>
    <t xml:space="preserve">FY 2022 operating_net_working_capital: derived value -166576000000; concept AssetsCurrent;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</si>
  <si>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CashAndCashEquivalentsAtCarryingValue;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</si>
  <si>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us-gaap:MarketableSecuritiesCurrent;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</si>
  <si>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us-gaap:MarketableSecuritiesNoncurrent;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</si>
  <si>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LiabilitiesCurrent;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</si>
  <si>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LongTermDebtCurrent;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</si>
  <si>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us-gaap:CommercialPaper; form 10-K; accession 0000320193-23-000106; filed 2023-11-03; period end 2022-09-24; currency USD; unit USD; scale actual; method noncash_current_assets_less_current_liabilities_plus_current_debt</t>
  </si>
  <si>
    <t xml:space="preserve">FY 2023 operating_net_working_capital: derived value -148034000000; concept AssetsCurrent;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</si>
  <si>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CashAndCashEquivalentsAtCarryingValue;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</si>
  <si>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us-gaap:MarketableSecuritiesCurrent;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</si>
  <si>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us-gaap:MarketableSecuritiesNoncurrent;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</si>
  <si>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LiabilitiesCurrent;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</si>
  <si>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LongTermDebtCurrent;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</si>
  <si>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us-gaap:CommercialPaper; form 10-K; accession 0000320193-24-000123; filed 2024-11-01; period end 2023-09-30; currency USD; unit USD; scale actual; method noncash_current_assets_less_current_liabilities_plus_current_debt</t>
  </si>
  <si>
    <t xml:space="preserve">FY 2024 operating_net_working_capital: derived value -159176000000; concept AssetsCurrent;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</si>
  <si>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CashAndCashEquivalentsAtCarryingValue;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</si>
  <si>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us-gaap:MarketableSecuritiesCurrent;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</si>
  <si>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us-gaap:MarketableSecuritiesNoncurrent;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</si>
  <si>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LiabilitiesCurrent;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</si>
  <si>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LongTermDebtCurrent;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</si>
  <si>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us-gaap:CommercialPaper; form 10-K; accession 0000320193-25-000079; filed 2025-10-31; period end 2024-09-28; currency USD; unit USD; scale actual; method noncash_current_assets_less_current_liabilities_plus_current_debt</t>
  </si>
  <si>
    <t xml:space="preserve">FY 2025 operating_net_working_capital: derived value -129765000000; concept AssetsCurrent;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</si>
  <si>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CashAndCashEquivalentsAtCarryingValue;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</si>
  <si>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us-gaap:MarketableSecuritiesCurrent;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</si>
  <si>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us-gaap:MarketableSecuritiesNoncurrent;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</si>
  <si>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LiabilitiesCurrent;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</si>
  <si>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LongTermDebtCurrent;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</si>
  <si>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us-gaap:CommercialPaper; form 10-K; accession 0000320193-25-000079; filed 2025-10-31; period end 2025-09-27; currency USD; unit USD; scale actual; method noncash_current_assets_less_current_liabilities_plus_current_debt</t>
  </si>
  <si>
    <t xml:space="preserve">FY 2021 fcff: not applicable; no_prior_fiscal_period.</t>
  </si>
  <si>
    <t xml:space="preserve">FY 2022 fcff: derived value 109558877097.97401; concept OperatingIncomeLoss;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</si>
  <si>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IncomeTaxExpenseBenefit;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</si>
  <si>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IncomeLossFromContinuingOperationsBeforeIncomeTaxesExtraordinaryItemsNoncontrollingInterest;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</si>
  <si>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DepreciationDepletionAndAmortization;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</si>
  <si>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PaymentsToAcquirePropertyPlantAndEquipment;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</si>
  <si>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AccountsReceivableNetCurrent; form 10-K; accession 0000320193-23-000106; filed 2023-11-03; period end 2022-09-24; currency USD; unit USD; scale actual; method ebit_after_tax_plus_da_less_capex_and_nwc_change</t>
  </si>
  <si>
    <t xml:space="preserve">FY 2022 fcff: derived value 109558877097.97401; concept InventoryNet; form 10-K; accession 0000320193-23-000106; filed 2023-11-03; period end 2022-09-24; currency USD; unit USD; scale actual; method ebit_after_tax_plus_da_less_capex_and_nwc_change</t>
  </si>
  <si>
    <t xml:space="preserve">FY 2022 fcff: derived value 109558877097.97401; concept AccountsPayableCurrent; form 10-K; accession 0000320193-23-000106; filed 2023-11-03; period end 2022-09-24; currency USD; unit USD; scale actual; method ebit_after_tax_plus_da_less_capex_and_nwc_change</t>
  </si>
  <si>
    <t xml:space="preserve">FY 2022 fcff: derived value 109558877097.97401; concept AccountsReceivableNetCurrent; form 10-K; accession 0000320193-22-000108; filed 2022-10-28; period end 2021-09-25; currency USD; unit USD; scale actual; method ebit_after_tax_plus_da_less_capex_and_nwc_change</t>
  </si>
  <si>
    <t xml:space="preserve">FY 2022 fcff: derived value 109558877097.97401; concept InventoryNet; form 10-K; accession 0000320193-22-000108; filed 2022-10-28; period end 2021-09-25; currency USD; unit USD; scale actual; method ebit_after_tax_plus_da_less_capex_and_nwc_change</t>
  </si>
  <si>
    <t xml:space="preserve">FY 2022 fcff: derived value 109558877097.97401; concept AccountsPayableCurrent; form 10-K; accession 0000320193-22-000108; filed 2022-10-28; period end 2021-09-25; currency USD; unit USD; scale actual; method ebit_after_tax_plus_da_less_capex_and_nwc_change</t>
  </si>
  <si>
    <t xml:space="preserve">FY 2023 fcff: derived value 93823836665.61159; concept OperatingIncomeLoss;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</si>
  <si>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IncomeTaxExpenseBenefit;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</si>
  <si>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IncomeLossFromContinuingOperationsBeforeIncomeTaxesExtraordinaryItemsNoncontrollingInterest;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</si>
  <si>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DepreciationDepletionAndAmortization;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</si>
  <si>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PaymentsToAcquirePropertyPlantAndEquipment;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</si>
  <si>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AccountsReceivableNetCurrent; form 10-K; accession 0000320193-24-000123; filed 2024-11-01; period end 2023-09-30; currency USD; unit USD; scale actual; method ebit_after_tax_plus_da_less_capex_and_nwc_change</t>
  </si>
  <si>
    <t xml:space="preserve">FY 2023 fcff: derived value 93823836665.61159; concept InventoryNet; form 10-K; accession 0000320193-24-000123; filed 2024-11-01; period end 2023-09-30; currency USD; unit USD; scale actual; method ebit_after_tax_plus_da_less_capex_and_nwc_change</t>
  </si>
  <si>
    <t xml:space="preserve">FY 2023 fcff: derived value 93823836665.61159; concept AccountsPayableCurrent; form 10-K; accession 0000320193-24-000123; filed 2024-11-01; period end 2023-09-30; currency USD; unit USD; scale actual; method ebit_after_tax_plus_da_less_capex_and_nwc_change</t>
  </si>
  <si>
    <t xml:space="preserve">FY 2023 fcff: derived value 93823836665.61159; concept AccountsReceivableNetCurrent; form 10-K; accession 0000320193-23-000106; filed 2023-11-03; period end 2022-09-24; currency USD; unit USD; scale actual; method ebit_after_tax_plus_da_less_capex_and_nwc_change</t>
  </si>
  <si>
    <t xml:space="preserve">FY 2023 fcff: derived value 93823836665.61159; concept InventoryNet; form 10-K; accession 0000320193-23-000106; filed 2023-11-03; period end 2022-09-24; currency USD; unit USD; scale actual; method ebit_after_tax_plus_da_less_capex_and_nwc_change</t>
  </si>
  <si>
    <t xml:space="preserve">FY 2023 fcff: derived value 93823836665.61159; concept AccountsPayableCurrent; form 10-K; accession 0000320193-23-000106; filed 2023-11-03; period end 2022-09-24; currency USD; unit USD; scale actual; method ebit_after_tax_plus_da_less_capex_and_nwc_change</t>
  </si>
  <si>
    <t xml:space="preserve">FY 2024 fcff: derived value 97021805288.09167; concept OperatingIncomeLoss;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</si>
  <si>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IncomeTaxExpenseBenefit;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</si>
  <si>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IncomeLossFromContinuingOperationsBeforeIncomeTaxesExtraordinaryItemsNoncontrollingInterest;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</si>
  <si>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DepreciationDepletionAndAmortization;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</si>
  <si>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PaymentsToAcquirePropertyPlantAndEquipment;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</si>
  <si>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AccountsReceivableNetCurrent;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</si>
  <si>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InventoryNet;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</si>
  <si>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AccountsPayableCurrent;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</si>
  <si>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AccountsReceivableNetCurrent; form 10-K; accession 0000320193-24-000123; filed 2024-11-01; period end 2023-09-30; currency USD; unit USD; scale actual; method ebit_after_tax_plus_da_less_capex_and_nwc_change</t>
  </si>
  <si>
    <t xml:space="preserve">FY 2024 fcff: derived value 97021805288.09167; concept InventoryNet; form 10-K; accession 0000320193-24-000123; filed 2024-11-01; period end 2023-09-30; currency USD; unit USD; scale actual; method ebit_after_tax_plus_da_less_capex_and_nwc_change</t>
  </si>
  <si>
    <t xml:space="preserve">FY 2024 fcff: derived value 97021805288.09167; concept AccountsPayableCurrent; form 10-K; accession 0000320193-24-000123; filed 2024-11-01; period end 2023-09-30; currency USD; unit USD; scale actual; method ebit_after_tax_plus_da_less_capex_and_nwc_change</t>
  </si>
  <si>
    <t xml:space="preserve">FY 2025 fcff: derived value 107364891892.50276; concept OperatingIncomeLoss;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</si>
  <si>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IncomeTaxExpenseBenefit;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</si>
  <si>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IncomeLossFromContinuingOperationsBeforeIncomeTaxesExtraordinaryItemsNoncontrollingInterest;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</si>
  <si>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DepreciationDepletionAndAmortization;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</si>
  <si>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PaymentsToAcquirePropertyPlantAndEquipment;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</si>
  <si>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AccountsReceivableNetCurrent;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</si>
  <si>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InventoryNet;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</si>
  <si>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AccountsPayableCurrent;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</si>
  <si>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AccountsReceivableNetCurrent; form 10-K; accession 0000320193-25-000079; filed 2025-10-31; period end 2024-09-28; currency USD; unit USD; scale actual; method ebit_after_tax_plus_da_less_capex_and_nwc_change</t>
  </si>
  <si>
    <t xml:space="preserve">FY 2025 fcff: derived value 107364891892.50276; concept InventoryNet; form 10-K; accession 0000320193-25-000079; filed 2025-10-31; period end 2024-09-28; currency USD; unit USD; scale actual; method ebit_after_tax_plus_da_less_capex_and_nwc_change</t>
  </si>
  <si>
    <t xml:space="preserve">FY 2025 fcff: derived value 107364891892.50276; concept AccountsPayableCurrent; form 10-K; accession 0000320193-25-000079; filed 2025-10-31; period end 2024-09-28; currency USD; unit USD; scale actual; method ebit_after_tax_plus_da_less_capex_and_nwc_change</t>
  </si>
  <si>
    <t xml:space="preserve">FY 2021 balance_sheet_check: derived value 0; concept Assets; form 10-K; accession 0000320193-22-000108; filed 2022-10-28; period end 2021-09-25; currency USD; unit USD; scale actual; method assets_less_liabilities_equity_and_nci</t>
  </si>
  <si>
    <t xml:space="preserve">FY 2021 balance_sheet_check: derived value 0; concept Liabilities; form 10-K; accession 0000320193-22-000108; filed 2022-10-28; period end 2021-09-25; currency USD; unit USD; scale actual; method assets_less_liabilities_equity_and_nci</t>
  </si>
  <si>
    <t xml:space="preserve">FY 2021 balance_sheet_check: derived value 0; concept StockholdersEquity; form 10-K; accession 0000320193-24-000123; filed 2024-11-01; period end 2021-09-25; currency USD; unit USD; scale actual; method assets_less_liabilities_equity_and_nci</t>
  </si>
  <si>
    <t xml:space="preserve">FY 2022 balance_sheet_check: derived value 0; concept Assets; form 10-K; accession 0000320193-23-000106; filed 2023-11-03; period end 2022-09-24; currency USD; unit USD; scale actual; method assets_less_liabilities_equity_and_nci</t>
  </si>
  <si>
    <t xml:space="preserve">FY 2022 balance_sheet_check: derived value 0; concept Liabilities; form 10-K; accession 0000320193-23-000106; filed 2023-11-03; period end 2022-09-24; currency USD; unit USD; scale actual; method assets_less_liabilities_equity_and_nci</t>
  </si>
  <si>
    <t xml:space="preserve">FY 2022 balance_sheet_check: derived value 0; concept StockholdersEquity; form 10-K; accession 0000320193-25-000079; filed 2025-10-31; period end 2022-09-24; currency USD; unit USD; scale actual; method assets_less_liabilities_equity_and_nci</t>
  </si>
  <si>
    <t xml:space="preserve">FY 2023 balance_sheet_check: derived value 0; concept Assets; form 10-K; accession 0000320193-24-000123; filed 2024-11-01; period end 2023-09-30; currency USD; unit USD; scale actual; method assets_less_liabilities_equity_and_nci</t>
  </si>
  <si>
    <t xml:space="preserve">FY 2023 balance_sheet_check: derived value 0; concept Liabilities; form 10-K; accession 0000320193-24-000123; filed 2024-11-01; period end 2023-09-30; currency USD; unit USD; scale actual; method assets_less_liabilities_equity_and_nci</t>
  </si>
  <si>
    <t xml:space="preserve">FY 2023 balance_sheet_check: derived value 0; concept StockholdersEquity; form 10-K; accession 0000320193-25-000079; filed 2025-10-31; period end 2023-09-30; currency USD; unit USD; scale actual; method assets_less_liabilities_equity_and_nci</t>
  </si>
  <si>
    <t xml:space="preserve">FY 2024 balance_sheet_check: derived value 0; concept Assets; form 10-K; accession 0000320193-25-000079; filed 2025-10-31; period end 2024-09-28; currency USD; unit USD; scale actual; method assets_less_liabilities_equity_and_nci</t>
  </si>
  <si>
    <t xml:space="preserve">FY 2024 balance_sheet_check: derived value 0; concept Liabilities; form 10-K; accession 0000320193-25-000079; filed 2025-10-31; period end 2024-09-28; currency USD; unit USD; scale actual; method assets_less_liabilities_equity_and_nci</t>
  </si>
  <si>
    <t xml:space="preserve">FY 2024 balance_sheet_check: derived value 0; concept StockholdersEquity; form 10-K; accession 0000320193-25-000079; filed 2025-10-31; period end 2024-09-28; currency USD; unit USD; scale actual; method assets_less_liabilities_equity_and_nci</t>
  </si>
  <si>
    <t xml:space="preserve">FY 2025 balance_sheet_check: derived value 0; concept Assets; form 10-K; accession 0000320193-25-000079; filed 2025-10-31; period end 2025-09-27; currency USD; unit USD; scale actual; method assets_less_liabilities_equity_and_nci</t>
  </si>
  <si>
    <t xml:space="preserve">FY 2025 balance_sheet_check: derived value 0; concept Liabilities; form 10-K; accession 0000320193-25-000079; filed 2025-10-31; period end 2025-09-27; currency USD; unit USD; scale actual; method assets_less_liabilities_equity_and_nci</t>
  </si>
  <si>
    <t xml:space="preserve">FY 2025 balance_sheet_check: derived value 0; concept StockholdersEquity; form 10-K; accession 0000320193-25-000079; filed 2025-10-31; period end 2025-09-27; currency USD; unit USD; scale actual; method assets_less_liabilities_equity_and_nci</t>
  </si>
  <si>
    <t xml:space="preserve">FY 2021 tax_rate: derived value 0.13302260844085087; concept IncomeTaxExpenseBenefit; form 10-K; accession 0000320193-23-000106; filed 2023-11-03; period end 2021-09-25; currency USD; unit USD; scale actual; method income_tax_expense_over_pretax_income</t>
  </si>
  <si>
    <t xml:space="preserve">FY 2021 tax_rate: derived value 0.13302260844085087; concept IncomeLossFromContinuingOperationsBeforeIncomeTaxesExtraordinaryItemsNoncontrollingInterest; form 10-K; accession 0000320193-23-000106; filed 2023-11-03; period end 2021-09-25; currency USD; unit USD; scale actual; method income_tax_expense_over_pretax_income</t>
  </si>
  <si>
    <t xml:space="preserve">FY 2022 tax_rate: derived value 0.16204461684424407; concept IncomeTaxExpenseBenefit; form 10-K; accession 0000320193-24-000123; filed 2024-11-01; period end 2022-09-24; currency USD; unit USD; scale actual; method income_tax_expense_over_pretax_income</t>
  </si>
  <si>
    <t xml:space="preserve">FY 2022 tax_rate: derived value 0.16204461684424407; concept IncomeLossFromContinuingOperationsBeforeIncomeTaxesExtraordinaryItemsNoncontrollingInterest; form 10-K; accession 0000320193-24-000123; filed 2024-11-01; period end 2022-09-24; currency USD; unit USD; scale actual; method income_tax_expense_over_pretax_income</t>
  </si>
  <si>
    <t xml:space="preserve">FY 2023 tax_rate: derived value 0.14719174228036858; concept IncomeTaxExpenseBenefit; form 10-K; accession 0000320193-25-000079; filed 2025-10-31; period end 2023-09-30; currency USD; unit USD; scale actual; method income_tax_expense_over_pretax_income</t>
  </si>
  <si>
    <t xml:space="preserve">FY 2023 tax_rate: derived value 0.14719174228036858; concept IncomeLossFromContinuingOperationsBeforeIncomeTaxesExtraordinaryItemsNoncontrollingInterest; form 10-K; accession 0000320193-25-000079; filed 2025-10-31; period end 2023-09-30; currency USD; unit USD; scale actual; method income_tax_expense_over_pretax_income</t>
  </si>
  <si>
    <t xml:space="preserve">FY 2024 tax_rate: derived value 0.24091185164189982; concept IncomeTaxExpenseBenefit; form 10-K; accession 0000320193-25-000079; filed 2025-10-31; period end 2024-09-28; currency USD; unit USD; scale actual; method income_tax_expense_over_pretax_income</t>
  </si>
  <si>
    <t xml:space="preserve">FY 2024 tax_rate: derived value 0.24091185164189982; concept IncomeLossFromContinuingOperationsBeforeIncomeTaxesExtraordinaryItemsNoncontrollingInterest; form 10-K; accession 0000320193-25-000079; filed 2025-10-31; period end 2024-09-28; currency USD; unit USD; scale actual; method income_tax_expense_over_pretax_income</t>
  </si>
  <si>
    <t xml:space="preserve">FY 2025 tax_rate: derived value 0.15610002335586043; concept IncomeTaxExpenseBenefit; form 10-K; accession 0000320193-25-000079; filed 2025-10-31; period end 2025-09-27; currency USD; unit USD; scale actual; method income_tax_expense_over_pretax_income</t>
  </si>
  <si>
    <t xml:space="preserve">FY 2025 tax_rate: derived value 0.15610002335586043; concept IncomeLossFromContinuingOperationsBeforeIncomeTaxesExtraordinaryItemsNoncontrollingInterest; form 10-K; accession 0000320193-25-000079; filed 2025-10-31; period end 2025-09-27; currency USD; unit USD; scale actual; method income_tax_expense_over_pretax_income</t>
  </si>
  <si>
    <t xml:space="preserve">FY 2021 shares: sec_native value 16864919000; concept us-gaap:WeightedAverageNumberOfDilutedSharesOutstanding; form 10-K; accession 0000320193-23-000106; filed 2023-11-03; period end 2021-09-25; currency unavailable; unit shares; scale actual; method companyfacts_preferred_direct</t>
  </si>
  <si>
    <t xml:space="preserve">FY 2022 shares: sec_native value 16325819000; concept us-gaap:WeightedAverageNumberOfDilutedSharesOutstanding; form 10-K; accession 0000320193-24-000123; filed 2024-11-01; period end 2022-09-24; currency unavailable; unit shares; scale actual; method companyfacts_preferred_direct</t>
  </si>
  <si>
    <t xml:space="preserve">FY 2023 shares: sec_native value 15812547000; concept us-gaap:WeightedAverageNumberOfDilutedSharesOutstanding; form 10-K; accession 0000320193-25-000079; filed 2025-10-31; period end 2023-09-30; currency unavailable; unit shares; scale actual; method companyfacts_preferred_direct</t>
  </si>
  <si>
    <t xml:space="preserve">FY 2024 shares: sec_native value 15408095000; concept us-gaap:WeightedAverageNumberOfDilutedSharesOutstanding; form 10-K; accession 0000320193-25-000079; filed 2025-10-31; period end 2024-09-28; currency unavailable; unit shares; scale actual; method companyfacts_preferred_direct</t>
  </si>
  <si>
    <t xml:space="preserve">FY 2025 shares: sec_native value 15004697000; concept us-gaap:WeightedAverageNumberOfDilutedSharesOutstanding; form 10-K; accession 0000320193-25-000079; filed 2025-10-31; period end 2025-09-27; currency unavailable; unit shares; scale actual; method companyfacts_preferred_direct</t>
  </si>
  <si>
    <t xml:space="preserve">FY2025 operating lease liabilities are 12490000000; lease expense remains in EBIT/FCFF, so leases are not deducted again in the enterprise-to-common-equity bridge.</t>
  </si>
  <si>
    <t xml:space="preserve">Risk-free rate 0.0528 from live; equity risk premium 0.0838 from live; beta 1.08 from openbb_yfinance; market context as of 2026-10-03.</t>
  </si>
  <si>
    <t xml:space="preserve">Technology hardware five-year profile: Revenue growth is initialized from the filed revenue history (5-year CAGR 3.28%), not issuer guidance. Stage 1 growth applies for three years, then fades linearly toward Stage 2 growth over four years; terminal growth is separate. Forecast gross margin uses the three-year filed average for FY2023, 2024, 2025. EBIT margin starts at latest filed FY2025 margin 31.97% and fades linearly over five years to the three-year filed average 31.10%. CapEx ratio uses the three-year filed average 2.78%. D&amp;A ratio uses the three-year filed average 2.91%. The assumption cells remain editable.</t>
  </si>
  <si>
    <t xml:space="preserve">Working-capital policy for technology hardware: filed receivable, inventory, and payable days.</t>
  </si>
  <si>
    <t xml:space="preserve">FY2025 working-capital days are initialized from filed balances: DSO 34.9 = receivables / revenue x 365; DIO 9.4 = inventory / cost of revenue x 365; DPO 115.4 = payables / cost of revenue x 365. accounts_receivable 39777000000; AccountsReceivableNetCurrent; accession 0000320193-25-000079; filed 2025-10-31; preferred_direct; inventory 5718000000; InventoryNet; accession 0000320193-25-000079; filed 2025-10-31; preferred_direct; accounts_payable 69860000000; AccountsPayableCurrent; accession 0000320193-25-000079; filed 2025-10-31; preferred_direct; revenue 416161000000; RevenueFromContractWithCustomerExcludingAssessedTax; accession 0000320193-25-000079; filed 2025-10-31; preferred_direct; cost_of_revenue 220960000000; CostOfGoodsAndServicesSold; accession 0000320193-25-000079; filed 2025-10-31; reported_cost_of_revenue_normalized_positive.</t>
  </si>
  <si>
    <t xml:space="preserve">Tax assumption starts from FY2025 filed income-tax expense divided by filed pretax income (derived SEC tax line; accession 0000320193-25-000079; filed 2025-10-31); the rate remains editable.</t>
  </si>
  <si>
    <t xml:space="preserve">Capital weights use the current market capitalization from openbb_yfinance as of 2026-10-03 and FY2025 filed debt.</t>
  </si>
  <si>
    <t xml:space="preserve">Cost of debt 0.0445; Explicit analyst proxy: midpoint of issuer FY2025 new-issuance effective-rate range (4.45%), from SEC accession 0000320193-25-000079, filed 2025-10-31; not a weighted-average yield for all outstanding debt.</t>
  </si>
  <si>
    <t xml:space="preserve">Terminal exit multiple is the median current EV/EBITDA of 4 source-ready peers (SONY, DELL, HPQ, LOGI); peer source curated.</t>
  </si>
  <si>
    <t xml:space="preserve">Terminal growth 0.0250 is an editable analyst assumption; no issuer guidance or consensus long-term growth estimate is presented as a fact.</t>
  </si>
  <si>
    <t xml:space="preserve">Financial statements are annual through FY2025; interim filings are not included. Review current-year forecasts against the latest SEC quarterly results.</t>
  </si>
  <si>
    <t xml:space="preserve">Market context as of 2026-10-03</t>
  </si>
  <si>
    <t xml:space="preserve">financials: edgartools_native</t>
  </si>
  <si>
    <t xml:space="preserve">profile: SEC Edgar</t>
  </si>
  <si>
    <t xml:space="preserve">market_data: openbb_yfinance</t>
  </si>
  <si>
    <t xml:space="preserve">market_context: backend_canonical_valuation_context</t>
  </si>
  <si>
    <t xml:space="preserve">peers: backend_peer_pipeline</t>
  </si>
  <si>
    <t xml:space="preserve">insider_trades: lazy_optional</t>
  </si>
</sst>
</file>

<file path=xl/styles.xml><?xml version="1.0" encoding="utf-8"?>
<styleSheet xmlns="http://schemas.openxmlformats.org/spreadsheetml/2006/main">
  <numFmts count="41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"/>
    <numFmt numFmtId="169" formatCode="0.00%"/>
    <numFmt numFmtId="170" formatCode="mmm\ d&quot;, &quot;yy"/>
    <numFmt numFmtId="171" formatCode="@"/>
    <numFmt numFmtId="172" formatCode="#,##0_);\(#,##0\);_-"/>
    <numFmt numFmtId="173" formatCode="0.00"/>
    <numFmt numFmtId="174" formatCode="0.0%"/>
    <numFmt numFmtId="175" formatCode="0.0\x_)"/>
    <numFmt numFmtId="176" formatCode="\$0.00"/>
    <numFmt numFmtId="177" formatCode="0.0&quot;x EBITDA&quot;"/>
    <numFmt numFmtId="178" formatCode="0"/>
    <numFmt numFmtId="179" formatCode="#,##0.0;\(#,##0.0\);\-"/>
    <numFmt numFmtId="180" formatCode="&quot;FY&quot;0\A"/>
    <numFmt numFmtId="181" formatCode="&quot;FY&quot;0\E"/>
    <numFmt numFmtId="182" formatCode="#,##0;\-#,##0"/>
    <numFmt numFmtId="183" formatCode="_-* #,##0_-;\-* #,##0_-;_-* \-_-;_-@_-"/>
    <numFmt numFmtId="184" formatCode="#,##0.0_);[RED]\(#,##0.0\)"/>
    <numFmt numFmtId="185" formatCode="#,##0.00_);\(#,##0.00\);&quot;- - &quot;"/>
    <numFmt numFmtId="186" formatCode="#,##0.0_);\(#,##0.0\);&quot;- - &quot;"/>
    <numFmt numFmtId="187" formatCode="#,##0.0%_);\(#,##0.0%\);&quot;- - &quot;"/>
    <numFmt numFmtId="188" formatCode="#,##0.00%_);\(#,##0.00%\);&quot;- - &quot;"/>
    <numFmt numFmtId="189" formatCode="#,##0.00%"/>
    <numFmt numFmtId="190" formatCode="#,##0%_);\(#,##0%\);&quot;- - &quot;"/>
    <numFmt numFmtId="191" formatCode="#,##0.00"/>
    <numFmt numFmtId="192" formatCode="\$#,##0.00_);&quot;($&quot;#,##0.00\);&quot;- - &quot;"/>
    <numFmt numFmtId="193" formatCode="#,##0_);\(#,##0\);&quot;- - &quot;"/>
    <numFmt numFmtId="194" formatCode="#,##0.0\x_);\(#,##0.0&quot;x)&quot;;&quot;- - &quot;"/>
    <numFmt numFmtId="195" formatCode="#,##0.00\x_);\(#,##0.00&quot;x)&quot;;&quot;- - &quot;"/>
    <numFmt numFmtId="196" formatCode="#,##0.0&quot;  &quot;;\(#,##0.0&quot;) &quot;;&quot;-  &quot;"/>
    <numFmt numFmtId="197" formatCode="mm/yy"/>
    <numFmt numFmtId="198" formatCode="[$-1009]d/mmm/yy;@"/>
    <numFmt numFmtId="199" formatCode="General\A"/>
    <numFmt numFmtId="200" formatCode="&quot;FY&quot;General"/>
    <numFmt numFmtId="201" formatCode="#,##0.0"/>
    <numFmt numFmtId="202" formatCode="_(* #,##0.0_);_(* \(#,##0.0\);_(* \-??_);_(@_)"/>
    <numFmt numFmtId="203" formatCode="_-* #,##0.0_-;\-* #,##0.0_-;_-* \-??_-;_-@_-"/>
    <numFmt numFmtId="204" formatCode="0.0"/>
  </numFmts>
  <fonts count="8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sz val="12"/>
      <color rgb="FF000000"/>
      <name val="Aptos Narrow"/>
      <family val="2"/>
      <charset val="1"/>
    </font>
    <font>
      <b val="true"/>
      <sz val="12"/>
      <color rgb="FFFFFFFF"/>
      <name val="Aptos Narrow"/>
      <family val="2"/>
      <charset val="1"/>
    </font>
    <font>
      <sz val="12"/>
      <color rgb="FFFFFFFF"/>
      <name val="Aptos Narrow"/>
      <family val="2"/>
      <charset val="1"/>
    </font>
    <font>
      <sz val="12"/>
      <color rgb="FF0000FF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i val="true"/>
      <sz val="12"/>
      <color rgb="FF008000"/>
      <name val="Arial"/>
      <family val="2"/>
      <charset val="1"/>
    </font>
    <font>
      <sz val="12"/>
      <color rgb="FF006100"/>
      <name val="Aptos Narrow"/>
      <family val="2"/>
      <charset val="1"/>
    </font>
    <font>
      <sz val="12"/>
      <color rgb="FF008000"/>
      <name val="Aptos Narrow"/>
      <family val="2"/>
      <charset val="1"/>
    </font>
    <font>
      <u val="single"/>
      <sz val="12"/>
      <color theme="10"/>
      <name val="Aptos Narrow"/>
      <family val="2"/>
      <charset val="1"/>
    </font>
    <font>
      <sz val="12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u val="single"/>
      <sz val="12"/>
      <color rgb="FF0563C1"/>
      <name val="Aptos Narrow"/>
      <family val="2"/>
      <charset val="1"/>
    </font>
    <font>
      <sz val="12"/>
      <color rgb="FF7030A0"/>
      <name val="Aptos Narrow"/>
      <family val="2"/>
      <charset val="1"/>
    </font>
    <font>
      <sz val="12"/>
      <color rgb="FFFF0000"/>
      <name val="Aptos Narrow"/>
      <family val="2"/>
      <charset val="1"/>
    </font>
    <font>
      <sz val="12"/>
      <color rgb="FF00B05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theme="1"/>
      <name val="Garamond"/>
      <family val="1"/>
      <charset val="1"/>
    </font>
    <font>
      <b val="true"/>
      <sz val="10"/>
      <color theme="1"/>
      <name val="Garamond"/>
      <family val="1"/>
      <charset val="1"/>
    </font>
    <font>
      <sz val="10"/>
      <color theme="1"/>
      <name val="Garamond"/>
      <family val="1"/>
      <charset val="1"/>
    </font>
    <font>
      <sz val="10"/>
      <color theme="1"/>
      <name val="Aptos Narrow"/>
      <family val="2"/>
      <charset val="1"/>
    </font>
    <font>
      <i val="true"/>
      <sz val="10"/>
      <color theme="1"/>
      <name val="Aptos Narrow"/>
      <family val="2"/>
      <charset val="1"/>
    </font>
    <font>
      <i val="true"/>
      <sz val="10"/>
      <color theme="1"/>
      <name val="Garamond"/>
      <family val="1"/>
      <charset val="1"/>
    </font>
    <font>
      <b val="true"/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sz val="11"/>
      <color theme="9"/>
      <name val="Aptos Narrow"/>
      <family val="2"/>
      <charset val="1"/>
    </font>
    <font>
      <b val="true"/>
      <sz val="11"/>
      <color theme="4"/>
      <name val="Aptos Narrow"/>
      <family val="2"/>
      <charset val="1"/>
    </font>
    <font>
      <b val="true"/>
      <sz val="11"/>
      <color theme="9"/>
      <name val="Aptos Narrow"/>
      <family val="2"/>
      <charset val="1"/>
    </font>
    <font>
      <b val="true"/>
      <sz val="11"/>
      <color rgb="FF0000FF"/>
      <name val="Aptos Narrow"/>
      <family val="2"/>
      <charset val="1"/>
    </font>
    <font>
      <b val="true"/>
      <sz val="1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i val="true"/>
      <sz val="11"/>
      <color rgb="FF0000FF"/>
      <name val="Aptos Narrow"/>
      <family val="2"/>
      <charset val="1"/>
    </font>
    <font>
      <i val="true"/>
      <sz val="11"/>
      <name val="Aptos Narrow"/>
      <family val="2"/>
      <charset val="1"/>
    </font>
    <font>
      <sz val="11"/>
      <color theme="4"/>
      <name val="Aptos Narrow"/>
      <family val="2"/>
      <charset val="1"/>
    </font>
    <font>
      <sz val="8"/>
      <color rgb="FF008000"/>
      <name val="Garamond"/>
      <family val="1"/>
      <charset val="1"/>
    </font>
    <font>
      <sz val="11"/>
      <color rgb="FF0000FF"/>
      <name val="Aptos Narrow"/>
      <family val="2"/>
      <charset val="1"/>
    </font>
    <font>
      <sz val="11"/>
      <color rgb="FF000000"/>
      <name val="Garamond"/>
      <family val="1"/>
      <charset val="1"/>
    </font>
    <font>
      <b val="true"/>
      <sz val="11"/>
      <color rgb="FFFFFFFF"/>
      <name val="Aptos Narrow"/>
      <family val="2"/>
      <charset val="1"/>
    </font>
    <font>
      <sz val="11"/>
      <color rgb="FFFFCC00"/>
      <name val="Aptos Narrow"/>
      <family val="2"/>
      <charset val="1"/>
    </font>
    <font>
      <sz val="11"/>
      <color rgb="FFFFFFFF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i val="true"/>
      <sz val="11"/>
      <color rgb="FF000000"/>
      <name val="Aptos Narrow"/>
      <family val="2"/>
      <charset val="1"/>
    </font>
    <font>
      <sz val="11"/>
      <color rgb="FF008000"/>
      <name val="Aptos Narrow"/>
      <family val="2"/>
      <charset val="1"/>
    </font>
    <font>
      <b val="true"/>
      <sz val="14"/>
      <color rgb="FF000000"/>
      <name val="Aptos Narrow"/>
      <family val="2"/>
      <charset val="1"/>
    </font>
    <font>
      <b val="true"/>
      <u val="single"/>
      <sz val="11"/>
      <color rgb="FFFFFFFF"/>
      <name val="Aptos Narrow"/>
      <family val="2"/>
      <charset val="1"/>
    </font>
    <font>
      <sz val="10"/>
      <name val="Aptos Narrow"/>
      <family val="2"/>
      <charset val="1"/>
    </font>
    <font>
      <b val="true"/>
      <sz val="10"/>
      <color rgb="FFFFFFFF"/>
      <name val="Aptos Narrow"/>
      <family val="2"/>
      <charset val="1"/>
    </font>
    <font>
      <sz val="10"/>
      <color theme="0"/>
      <name val="Aptos Narrow"/>
      <family val="2"/>
      <charset val="1"/>
    </font>
    <font>
      <b val="true"/>
      <sz val="10"/>
      <color theme="0"/>
      <name val="Aptos Narrow"/>
      <family val="2"/>
      <charset val="1"/>
    </font>
    <font>
      <b val="true"/>
      <sz val="10"/>
      <color theme="1"/>
      <name val="Aptos Narrow"/>
      <family val="2"/>
      <charset val="1"/>
    </font>
    <font>
      <b val="true"/>
      <sz val="10"/>
      <name val="Aptos Narrow"/>
      <family val="2"/>
      <charset val="1"/>
    </font>
    <font>
      <i val="true"/>
      <sz val="10"/>
      <color rgb="FF000000"/>
      <name val="Aptos Narrow"/>
      <family val="2"/>
      <charset val="1"/>
    </font>
    <font>
      <i val="true"/>
      <sz val="10"/>
      <color rgb="FF0000E1"/>
      <name val="Aptos Narrow"/>
      <family val="2"/>
      <charset val="1"/>
    </font>
    <font>
      <i val="true"/>
      <sz val="10"/>
      <name val="Aptos Narrow"/>
      <family val="2"/>
      <charset val="1"/>
    </font>
    <font>
      <sz val="10"/>
      <color rgb="FF0000E1"/>
      <name val="Aptos Narrow"/>
      <family val="2"/>
      <charset val="1"/>
    </font>
    <font>
      <b val="true"/>
      <sz val="10"/>
      <color rgb="FF000000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b val="true"/>
      <sz val="10"/>
      <color rgb="FF17365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82434"/>
        <bgColor rgb="FF243839"/>
      </patternFill>
    </fill>
    <fill>
      <patternFill patternType="solid">
        <fgColor rgb="FFFFFFFF"/>
        <bgColor rgb="FFF2F2F2"/>
      </patternFill>
    </fill>
    <fill>
      <patternFill patternType="solid">
        <fgColor rgb="FFFFFFCC"/>
        <bgColor rgb="FFFFF2CC"/>
      </patternFill>
    </fill>
    <fill>
      <patternFill patternType="solid">
        <fgColor rgb="FFC6EFCE"/>
        <bgColor rgb="FFD9F2D0"/>
      </patternFill>
    </fill>
    <fill>
      <patternFill patternType="solid">
        <fgColor theme="0" tint="-0.15"/>
        <bgColor rgb="FFE8E8E8"/>
      </patternFill>
    </fill>
    <fill>
      <patternFill patternType="solid">
        <fgColor rgb="FF243839"/>
        <bgColor rgb="FF17365D"/>
      </patternFill>
    </fill>
    <fill>
      <patternFill patternType="solid">
        <fgColor theme="0" tint="-0.05"/>
        <bgColor rgb="FFE8E8E8"/>
      </patternFill>
    </fill>
    <fill>
      <patternFill patternType="solid">
        <fgColor rgb="FFFFCC00"/>
        <bgColor rgb="FFFFFF00"/>
      </patternFill>
    </fill>
    <fill>
      <patternFill patternType="solid">
        <fgColor theme="4"/>
        <bgColor rgb="FF365F91"/>
      </patternFill>
    </fill>
    <fill>
      <patternFill patternType="solid">
        <fgColor theme="0" tint="-0.5"/>
        <bgColor rgb="FF969696"/>
      </patternFill>
    </fill>
    <fill>
      <patternFill patternType="solid">
        <fgColor theme="9" tint="0.7999"/>
        <bgColor rgb="FFC6EFCE"/>
      </patternFill>
    </fill>
    <fill>
      <patternFill patternType="solid">
        <fgColor rgb="FFFFF2CC"/>
        <bgColor rgb="FFFFFFCC"/>
      </patternFill>
    </fill>
    <fill>
      <patternFill patternType="solid">
        <fgColor rgb="FF17365D"/>
        <bgColor rgb="FF243839"/>
      </patternFill>
    </fill>
    <fill>
      <patternFill patternType="solid">
        <fgColor rgb="FF365F91"/>
        <bgColor rgb="FF156082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8E8E8"/>
      </patternFill>
    </fill>
  </fills>
  <borders count="3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/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dotted"/>
      <top/>
      <bottom/>
      <diagonal/>
    </border>
    <border diagonalUp="false" diagonalDown="false">
      <left/>
      <right style="dotted"/>
      <top style="thin"/>
      <bottom/>
      <diagonal/>
    </border>
  </borders>
  <cellStyleXfs count="5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3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2" xfId="3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7" fillId="0" borderId="0" xfId="1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7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17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4" fillId="0" borderId="18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9" fillId="0" borderId="18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1" fillId="0" borderId="18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2" fillId="0" borderId="18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2" fillId="0" borderId="19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4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49" fillId="0" borderId="0" xfId="3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19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49" fillId="0" borderId="20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2" fillId="2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4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53" fillId="9" borderId="0" xfId="21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4" fontId="44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3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4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4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43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5" fillId="3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5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8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5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9" fontId="5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31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1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87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31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5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6" fontId="4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7" fontId="5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7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4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9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9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2" fontId="5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5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5" fontId="5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3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7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5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5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6" fontId="50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5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5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50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50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50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5" fontId="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5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43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43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55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55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55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55" fillId="6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4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4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5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7" fontId="5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5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55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5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4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4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6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5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5" fontId="8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5" fontId="4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6" fontId="4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3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3" borderId="1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8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1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6" fontId="52" fillId="1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0" fillId="10" borderId="0" xfId="3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6" fontId="38" fillId="1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1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1" fillId="1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1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3" fillId="10" borderId="29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1" fillId="10" borderId="0" xfId="32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97" fontId="63" fillId="1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3" fillId="1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8" fontId="62" fillId="1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9" fontId="60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0" fontId="60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3" fillId="11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11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4" fillId="11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1" fontId="65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65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2" fontId="64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6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6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1" fontId="67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8" fillId="8" borderId="30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6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1" fontId="69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69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2" fontId="35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5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1" fontId="60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60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14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14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1" fontId="64" fillId="8" borderId="14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1" fontId="64" fillId="8" borderId="31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2" fontId="64" fillId="0" borderId="14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1" fontId="35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35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1" fontId="70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70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2" fontId="70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6" fillId="8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6" fillId="8" borderId="30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4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14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2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64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1" fontId="35" fillId="0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3" fontId="71" fillId="12" borderId="15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1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5" fillId="0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4" fontId="74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5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7" fillId="1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7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1"/>
    <cellStyle name="Comma 2" xfId="22"/>
    <cellStyle name="Comma 3" xfId="23"/>
    <cellStyle name="Comma 4" xfId="24"/>
    <cellStyle name="Comma 4 2" xfId="25"/>
    <cellStyle name="Comma 5" xfId="26"/>
    <cellStyle name="Comma 6" xfId="27"/>
    <cellStyle name="Currency 2" xfId="28"/>
    <cellStyle name="Currency 4" xfId="29"/>
    <cellStyle name="HeaderCellStyle" xfId="30"/>
    <cellStyle name="Normal 10" xfId="31"/>
    <cellStyle name="Normal 17" xfId="32"/>
    <cellStyle name="Normal 18" xfId="33"/>
    <cellStyle name="Normal 2" xfId="34"/>
    <cellStyle name="Normal 2 2" xfId="35"/>
    <cellStyle name="Normal 2 2 2" xfId="36"/>
    <cellStyle name="Normal 2 3" xfId="37"/>
    <cellStyle name="Normal 3" xfId="38"/>
    <cellStyle name="Normal 3 2 3" xfId="39"/>
    <cellStyle name="Normal 3 2 3 2" xfId="40"/>
    <cellStyle name="Normal 4" xfId="41"/>
    <cellStyle name="Normal 5" xfId="42"/>
    <cellStyle name="Normal 5 2" xfId="43"/>
    <cellStyle name="Normal 5 3" xfId="44"/>
    <cellStyle name="Normal 5 4" xfId="45"/>
    <cellStyle name="Normal 6" xfId="46"/>
    <cellStyle name="Normal 7" xfId="47"/>
    <cellStyle name="Normal 8" xfId="48"/>
    <cellStyle name="Normal_Ch01 Pics v2.2" xfId="49"/>
    <cellStyle name="Percent 2" xfId="50"/>
    <cellStyle name="Percent 3" xfId="51"/>
    <cellStyle name="*unknown*" xfId="20" builtinId="8"/>
  </cellStyles>
  <dxfs count="5">
    <dxf>
      <fill>
        <patternFill patternType="solid">
          <fgColor rgb="FF365F9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006100"/>
      <rgbColor rgb="FF800080"/>
      <rgbColor rgb="FF156082"/>
      <rgbColor rgb="FFBFBFBF"/>
      <rgbColor rgb="FF808080"/>
      <rgbColor rgb="FF9999FF"/>
      <rgbColor rgb="FF7030A0"/>
      <rgbColor rgb="FFFFFF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E1"/>
      <rgbColor rgb="FF00CCFF"/>
      <rgbColor rgb="FFC6EFCE"/>
      <rgbColor rgb="FFD9F2D0"/>
      <rgbColor rgb="FFFFF2CC"/>
      <rgbColor rgb="FFE8E8E8"/>
      <rgbColor rgb="FFF2AA84"/>
      <rgbColor rgb="FFF2F2F2"/>
      <rgbColor rgb="FFFCE4D6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17365D"/>
      <rgbColor rgb="FF4EA72E"/>
      <rgbColor rgb="FF182434"/>
      <rgbColor rgb="FF404040"/>
      <rgbColor rgb="FF993300"/>
      <rgbColor rgb="FF993366"/>
      <rgbColor rgb="FF365F91"/>
      <rgbColor rgb="FF2438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2434"/>
    <pageSetUpPr fitToPage="false"/>
  </sheetPr>
  <dimension ref="A1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9.16796875" defaultRowHeight="15.75" customHeight="false" zeroHeight="false" outlineLevelRow="0" outlineLevelCol="0"/>
  <cols>
    <col collapsed="false" customWidth="false" hidden="false" outlineLevel="0" max="1" min="1" style="1" width="9.17"/>
    <col collapsed="false" customWidth="true" hidden="false" outlineLevel="0" max="2" min="2" style="1" width="34.17"/>
    <col collapsed="false" customWidth="true" hidden="false" outlineLevel="0" max="3" min="3" style="1" width="16.5"/>
    <col collapsed="false" customWidth="true" hidden="false" outlineLevel="0" max="4" min="4" style="1" width="13.5"/>
    <col collapsed="false" customWidth="false" hidden="false" outlineLevel="0" max="5" min="5" style="1" width="9.17"/>
    <col collapsed="false" customWidth="true" hidden="false" outlineLevel="0" max="6" min="6" style="1" width="55.66"/>
    <col collapsed="false" customWidth="true" hidden="false" outlineLevel="0" max="7" min="7" style="1" width="9.67"/>
    <col collapsed="false" customWidth="true" hidden="false" outlineLevel="0" max="8" min="8" style="1" width="27.84"/>
    <col collapsed="false" customWidth="true" hidden="false" outlineLevel="0" max="9" min="9" style="1" width="12.5"/>
    <col collapsed="false" customWidth="true" hidden="false" outlineLevel="0" max="10" min="10" style="1" width="10.67"/>
    <col collapsed="false" customWidth="true" hidden="false" outlineLevel="0" max="11" min="11" style="1" width="13.67"/>
    <col collapsed="false" customWidth="false" hidden="false" outlineLevel="0" max="16384" min="12" style="1" width="9.17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3"/>
      <c r="G1" s="2"/>
      <c r="H1" s="2"/>
      <c r="I1" s="2"/>
      <c r="J1" s="2"/>
      <c r="K1" s="2"/>
      <c r="L1" s="2"/>
    </row>
    <row r="2" customFormat="false" ht="15.75" hidden="false" customHeight="false" outlineLevel="0" collapsed="false">
      <c r="A2" s="2"/>
      <c r="B2" s="2"/>
      <c r="C2" s="2"/>
      <c r="D2" s="2"/>
      <c r="E2" s="2"/>
      <c r="F2" s="3"/>
      <c r="G2" s="2"/>
      <c r="H2" s="2"/>
      <c r="I2" s="2"/>
      <c r="J2" s="2"/>
      <c r="K2" s="2"/>
      <c r="L2" s="2"/>
    </row>
    <row r="3" customFormat="false" ht="15.75" hidden="false" customHeight="false" outlineLevel="0" collapsed="false">
      <c r="A3" s="2"/>
      <c r="B3" s="2"/>
      <c r="C3" s="2"/>
      <c r="D3" s="2"/>
      <c r="E3" s="2"/>
      <c r="F3" s="3"/>
      <c r="G3" s="2"/>
      <c r="H3" s="2"/>
      <c r="I3" s="2"/>
      <c r="J3" s="2"/>
      <c r="K3" s="2"/>
      <c r="L3" s="2"/>
    </row>
    <row r="4" customFormat="false" ht="15.75" hidden="false" customHeight="false" outlineLevel="0" collapsed="false">
      <c r="A4" s="2"/>
      <c r="C4" s="2"/>
      <c r="D4" s="2"/>
      <c r="E4" s="2"/>
      <c r="F4" s="3"/>
      <c r="G4" s="2"/>
      <c r="H4" s="2"/>
      <c r="I4" s="2"/>
      <c r="J4" s="2"/>
      <c r="K4" s="2"/>
      <c r="L4" s="2"/>
    </row>
    <row r="5" customFormat="false" ht="15.75" hidden="false" customHeight="false" outlineLevel="0" collapsed="false">
      <c r="A5" s="2"/>
      <c r="B5" s="2"/>
      <c r="C5" s="2"/>
      <c r="D5" s="2"/>
      <c r="E5" s="2"/>
      <c r="F5" s="3"/>
      <c r="G5" s="2"/>
      <c r="H5" s="2"/>
      <c r="I5" s="2"/>
      <c r="J5" s="2"/>
      <c r="K5" s="2"/>
      <c r="L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3"/>
      <c r="G6" s="2"/>
      <c r="H6" s="2"/>
      <c r="I6" s="2"/>
      <c r="J6" s="2"/>
      <c r="K6" s="2"/>
      <c r="L6" s="2"/>
    </row>
    <row r="7" customFormat="false" ht="16.5" hidden="false" customHeight="true" outlineLevel="0" collapsed="false">
      <c r="A7" s="2"/>
      <c r="B7" s="4" t="s">
        <v>0</v>
      </c>
      <c r="C7" s="5" t="s">
        <v>1</v>
      </c>
      <c r="D7" s="5" t="s">
        <v>1</v>
      </c>
      <c r="E7" s="2"/>
      <c r="F7" s="6" t="s">
        <v>2</v>
      </c>
      <c r="G7" s="6"/>
      <c r="H7" s="6"/>
      <c r="I7" s="2"/>
      <c r="J7" s="2"/>
      <c r="K7" s="2"/>
      <c r="L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3"/>
      <c r="G8" s="2"/>
      <c r="H8" s="2"/>
      <c r="I8" s="2"/>
      <c r="J8" s="2"/>
      <c r="K8" s="2"/>
      <c r="L8" s="2"/>
    </row>
    <row r="9" customFormat="false" ht="15.75" hidden="false" customHeight="false" outlineLevel="0" collapsed="false">
      <c r="A9" s="2"/>
      <c r="B9" s="2" t="s">
        <v>3</v>
      </c>
      <c r="C9" s="7" t="s">
        <v>4</v>
      </c>
      <c r="D9" s="2"/>
      <c r="E9" s="2"/>
      <c r="F9" s="8" t="s">
        <v>5</v>
      </c>
      <c r="G9" s="2"/>
      <c r="H9" s="2"/>
      <c r="I9" s="2"/>
      <c r="J9" s="9"/>
      <c r="K9" s="2"/>
      <c r="L9" s="2"/>
    </row>
    <row r="10" customFormat="false" ht="15.75" hidden="false" customHeight="false" outlineLevel="0" collapsed="false">
      <c r="A10" s="2"/>
      <c r="B10" s="2" t="s">
        <v>6</v>
      </c>
      <c r="C10" s="7" t="s">
        <v>7</v>
      </c>
      <c r="D10" s="2"/>
      <c r="E10" s="2"/>
      <c r="F10" s="8" t="s">
        <v>8</v>
      </c>
      <c r="G10" s="2"/>
      <c r="H10" s="2"/>
      <c r="I10" s="2"/>
      <c r="J10" s="9"/>
      <c r="K10" s="2"/>
      <c r="L10" s="2"/>
    </row>
    <row r="11" customFormat="false" ht="15.75" hidden="false" customHeight="false" outlineLevel="0" collapsed="false">
      <c r="A11" s="2"/>
      <c r="B11" s="2"/>
      <c r="C11" s="10"/>
      <c r="D11" s="2"/>
      <c r="E11" s="2"/>
      <c r="F11" s="8" t="s">
        <v>9</v>
      </c>
      <c r="G11" s="2"/>
      <c r="H11" s="2"/>
      <c r="I11" s="2"/>
      <c r="J11" s="9"/>
      <c r="K11" s="2"/>
      <c r="L11" s="2"/>
    </row>
    <row r="12" customFormat="false" ht="15.75" hidden="false" customHeight="false" outlineLevel="0" collapsed="false">
      <c r="A12" s="2"/>
      <c r="B12" s="2" t="s">
        <v>10</v>
      </c>
      <c r="C12" s="11" t="n">
        <v>1</v>
      </c>
      <c r="D12" s="2"/>
      <c r="E12" s="2"/>
      <c r="F12" s="8" t="s">
        <v>11</v>
      </c>
      <c r="G12" s="2"/>
      <c r="H12" s="2"/>
      <c r="I12" s="2"/>
      <c r="J12" s="9"/>
      <c r="K12" s="2"/>
      <c r="L12" s="2"/>
    </row>
    <row r="13" customFormat="false" ht="15.75" hidden="false" customHeight="false" outlineLevel="0" collapsed="false">
      <c r="A13" s="2"/>
      <c r="B13" s="2"/>
      <c r="C13" s="10"/>
      <c r="D13" s="2"/>
      <c r="E13" s="2"/>
      <c r="F13" s="8" t="s">
        <v>12</v>
      </c>
      <c r="G13" s="2"/>
      <c r="H13" s="2"/>
      <c r="I13" s="2"/>
      <c r="J13" s="9"/>
      <c r="K13" s="2"/>
      <c r="L13" s="2"/>
    </row>
    <row r="14" customFormat="false" ht="15.75" hidden="false" customHeight="false" outlineLevel="0" collapsed="false">
      <c r="A14" s="2"/>
      <c r="B14" s="2" t="s">
        <v>13</v>
      </c>
      <c r="C14" s="12" t="n">
        <f aca="false">CHOOSE($C$12,'DCF Model - Base (1)'!Q111,'DCF Model - Bull (2)'!Q111,'DCF Model - Bear (3)'!Q111)</f>
        <v>1063996.92295877</v>
      </c>
      <c r="D14" s="2"/>
      <c r="E14" s="2"/>
      <c r="F14" s="8" t="s">
        <v>14</v>
      </c>
      <c r="G14" s="2"/>
      <c r="H14" s="2"/>
      <c r="I14" s="2"/>
      <c r="J14" s="9"/>
      <c r="K14" s="2"/>
      <c r="L14" s="2"/>
    </row>
    <row r="15" customFormat="false" ht="15.75" hidden="false" customHeight="true" outlineLevel="0" collapsed="false">
      <c r="A15" s="2"/>
      <c r="B15" s="2" t="s">
        <v>15</v>
      </c>
      <c r="C15" s="12" t="n">
        <f aca="false">CHOOSE($C$12,'DCF Model - Base (1)'!Q98,'DCF Model - Bull (2)'!Q98,'DCF Model - Bear (3)'!Q98)</f>
        <v>1390376.45609093</v>
      </c>
      <c r="D15" s="2"/>
      <c r="E15" s="2"/>
      <c r="F15" s="8" t="s">
        <v>16</v>
      </c>
      <c r="G15" s="2"/>
      <c r="H15" s="2"/>
      <c r="I15" s="2"/>
      <c r="J15" s="9"/>
      <c r="K15" s="2"/>
      <c r="L15" s="2"/>
    </row>
    <row r="16" customFormat="false" ht="15.75" hidden="false" customHeight="false" outlineLevel="0" collapsed="false">
      <c r="A16" s="2"/>
      <c r="B16" s="2"/>
      <c r="C16" s="13"/>
      <c r="D16" s="2"/>
      <c r="E16" s="2"/>
      <c r="F16" s="8"/>
      <c r="G16" s="2"/>
      <c r="H16" s="2"/>
      <c r="I16" s="2"/>
      <c r="J16" s="9"/>
      <c r="K16" s="2"/>
      <c r="L16" s="2"/>
    </row>
    <row r="17" customFormat="false" ht="15.75" hidden="false" customHeight="false" outlineLevel="0" collapsed="false">
      <c r="A17" s="2"/>
      <c r="B17" s="2" t="s">
        <v>17</v>
      </c>
      <c r="C17" s="14" t="n">
        <f aca="false">CHOOSE($C$12,'DCF Model - Base (1)'!Q113,'DCF Model - Bull (2)'!Q113,'DCF Model - Bear (3)'!Q113)</f>
        <v>-0.781517084995257</v>
      </c>
      <c r="D17" s="2"/>
      <c r="E17" s="2"/>
      <c r="F17" s="8"/>
      <c r="G17" s="2"/>
      <c r="H17" s="2"/>
      <c r="I17" s="2"/>
      <c r="J17" s="2"/>
      <c r="K17" s="2"/>
      <c r="L17" s="2"/>
    </row>
    <row r="18" customFormat="false" ht="15.75" hidden="false" customHeight="false" outlineLevel="0" collapsed="false">
      <c r="A18" s="2"/>
      <c r="B18" s="2" t="s">
        <v>18</v>
      </c>
      <c r="C18" s="14" t="n">
        <f aca="false">CHOOSE($C$12,'DCF Model - Base (1)'!Q100,'DCF Model - Bull (2)'!Q100,'DCF Model - Bear (3)'!Q100)</f>
        <v>-0.714497763549943</v>
      </c>
      <c r="D18" s="2"/>
      <c r="E18" s="2"/>
      <c r="F18" s="15"/>
      <c r="G18" s="2"/>
      <c r="H18" s="2"/>
      <c r="I18" s="2"/>
      <c r="J18" s="2"/>
      <c r="K18" s="2"/>
      <c r="L18" s="2"/>
    </row>
    <row r="19" customFormat="false" ht="15.75" hidden="false" customHeight="false" outlineLevel="0" collapsed="false">
      <c r="A19" s="2"/>
      <c r="B19" s="2"/>
      <c r="D19" s="2"/>
      <c r="E19" s="2"/>
      <c r="F19" s="15"/>
      <c r="G19" s="2"/>
      <c r="H19" s="2"/>
      <c r="I19" s="2"/>
      <c r="J19" s="2"/>
      <c r="K19" s="2"/>
      <c r="L19" s="2"/>
    </row>
    <row r="20" customFormat="false" ht="15.75" hidden="false" customHeight="false" outlineLevel="0" collapsed="false">
      <c r="A20" s="2"/>
      <c r="B20" s="2" t="s">
        <v>19</v>
      </c>
      <c r="C20" s="16" t="n">
        <v>46298</v>
      </c>
      <c r="D20" s="2"/>
      <c r="E20" s="2"/>
      <c r="F20" s="3"/>
      <c r="G20" s="2"/>
      <c r="H20" s="2"/>
      <c r="I20" s="2"/>
      <c r="J20" s="2"/>
      <c r="K20" s="2"/>
      <c r="L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</row>
    <row r="22" customFormat="false" ht="16.5" hidden="false" customHeight="true" outlineLevel="0" collapsed="false">
      <c r="A22" s="2"/>
      <c r="B22" s="4" t="s">
        <v>20</v>
      </c>
      <c r="C22" s="5" t="s">
        <v>1</v>
      </c>
      <c r="D22" s="5" t="s">
        <v>1</v>
      </c>
      <c r="E22" s="2"/>
      <c r="F22" s="6" t="s">
        <v>21</v>
      </c>
      <c r="G22" s="5" t="s">
        <v>1</v>
      </c>
      <c r="H22" s="5" t="s">
        <v>1</v>
      </c>
      <c r="I22" s="2"/>
      <c r="J22" s="2"/>
      <c r="K22" s="2"/>
      <c r="L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</row>
    <row r="24" customFormat="false" ht="15" hidden="false" customHeight="true" outlineLevel="0" collapsed="false">
      <c r="A24" s="2"/>
      <c r="B24" s="2" t="s">
        <v>22</v>
      </c>
      <c r="C24" s="17"/>
      <c r="D24" s="17"/>
      <c r="E24" s="2"/>
      <c r="F24" s="18" t="s">
        <v>23</v>
      </c>
      <c r="G24" s="19" t="s">
        <v>24</v>
      </c>
      <c r="H24" s="19"/>
      <c r="I24" s="2"/>
      <c r="J24" s="2"/>
      <c r="K24" s="2"/>
      <c r="L24" s="2"/>
    </row>
    <row r="25" customFormat="false" ht="15" hidden="false" customHeight="true" outlineLevel="0" collapsed="false">
      <c r="A25" s="2"/>
      <c r="B25" s="2" t="s">
        <v>25</v>
      </c>
      <c r="C25" s="20"/>
      <c r="D25" s="21"/>
      <c r="E25" s="2"/>
      <c r="F25" s="22" t="s">
        <v>23</v>
      </c>
      <c r="G25" s="23" t="s">
        <v>26</v>
      </c>
      <c r="H25" s="23"/>
      <c r="I25" s="2"/>
      <c r="J25" s="2"/>
      <c r="K25" s="2"/>
      <c r="L25" s="2"/>
    </row>
    <row r="26" customFormat="false" ht="15" hidden="false" customHeight="true" outlineLevel="0" collapsed="false">
      <c r="A26" s="2"/>
      <c r="B26" s="2" t="s">
        <v>27</v>
      </c>
      <c r="C26" s="2"/>
      <c r="D26" s="2"/>
      <c r="E26" s="2"/>
      <c r="F26" s="24" t="s">
        <v>23</v>
      </c>
      <c r="G26" s="23" t="s">
        <v>28</v>
      </c>
      <c r="H26" s="23"/>
      <c r="I26" s="2"/>
      <c r="J26" s="2"/>
      <c r="K26" s="2"/>
      <c r="L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5" t="s">
        <v>23</v>
      </c>
      <c r="G27" s="23" t="s">
        <v>29</v>
      </c>
      <c r="H27" s="23"/>
      <c r="I27" s="2"/>
      <c r="J27" s="2"/>
      <c r="K27" s="2"/>
      <c r="L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6" t="s">
        <v>23</v>
      </c>
      <c r="G28" s="27" t="s">
        <v>30</v>
      </c>
      <c r="H28" s="27"/>
      <c r="I28" s="2"/>
      <c r="J28" s="2"/>
      <c r="K28" s="2"/>
      <c r="L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</row>
  </sheetData>
  <mergeCells count="5">
    <mergeCell ref="G24:H24"/>
    <mergeCell ref="G25:H25"/>
    <mergeCell ref="G26:H26"/>
    <mergeCell ref="G27:H27"/>
    <mergeCell ref="G28:H28"/>
  </mergeCells>
  <dataValidations count="1">
    <dataValidation allowBlank="false" error="Select 1 (Base), 2 (Bull), or 3 (Bear)." errorStyle="stop" errorTitle="Invalid Scenario" operator="between" prompt="1=Base, 2=Bull, 3=Bear" promptTitle="Scenario" showDropDown="false" showErrorMessage="false" showInputMessage="false" sqref="C12" type="list">
      <formula1>"1,2,3"</formula1>
      <formula2>0</formula2>
    </dataValidation>
  </dataValidations>
  <hyperlinks>
    <hyperlink ref="F9" location="'Ouputs - Base'!A1" display="Outputs - Base"/>
    <hyperlink ref="F10" location="'DCF Model - Base (1)'!A1" display="DCF Model - Base (1)"/>
    <hyperlink ref="F11" location="'DCF Model - Bull (2)'!A1" display="DCF Model - Bull (2)"/>
    <hyperlink ref="F12" location="'DCF Model - Bear (3)'!A1" display="DCF Model - Bear (3)"/>
    <hyperlink ref="F13" location="WACC!A1" display="WACC"/>
    <hyperlink ref="F14" location="Comps!A1" display="Comps "/>
    <hyperlink ref="F15" location="'Assumption Breakdown'!A1" display="Data Given (Recalculated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A72E"/>
    <pageSetUpPr fitToPage="false"/>
  </sheetPr>
  <dimension ref="B2:Q43"/>
  <sheetViews>
    <sheetView showFormulas="false" showGridLines="false" showRowColHeaders="true" showZeros="true" rightToLeft="false" tabSelected="false" showOutlineSymbols="true" defaultGridColor="true" view="normal" topLeftCell="A1" colorId="64" zoomScale="114" zoomScaleNormal="114" zoomScalePageLayoutView="100" workbookViewId="0">
      <selection pane="topLeft" activeCell="A1" activeCellId="0" sqref="A1"/>
    </sheetView>
  </sheetViews>
  <sheetFormatPr defaultColWidth="15.66796875" defaultRowHeight="15" customHeight="false" zeroHeight="false" outlineLevelRow="0" outlineLevelCol="0"/>
  <cols>
    <col collapsed="false" customWidth="true" hidden="false" outlineLevel="0" max="1" min="1" style="28" width="5.67"/>
  </cols>
  <sheetData>
    <row r="2" customFormat="false" ht="18.75" hidden="false" customHeight="true" outlineLevel="0" collapsed="false">
      <c r="B2" s="29" t="s">
        <v>31</v>
      </c>
      <c r="C2" s="30"/>
      <c r="D2" s="31"/>
      <c r="E2" s="31"/>
      <c r="F2" s="31"/>
      <c r="G2" s="31"/>
      <c r="H2" s="31"/>
      <c r="I2" s="31"/>
    </row>
    <row r="3" customFormat="false" ht="15.75" hidden="false" customHeight="true" outlineLevel="0" collapsed="false">
      <c r="B3" s="32" t="s">
        <v>32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</row>
    <row r="4" customFormat="false" ht="15.75" hidden="false" customHeight="true" outlineLevel="0" collapsed="false">
      <c r="B4" s="35" t="s">
        <v>33</v>
      </c>
      <c r="C4" s="31"/>
      <c r="D4" s="31"/>
      <c r="E4" s="31"/>
      <c r="F4" s="31"/>
      <c r="G4" s="31"/>
      <c r="H4" s="31"/>
      <c r="I4" s="31"/>
    </row>
    <row r="5" customFormat="false" ht="15" hidden="false" customHeight="false" outlineLevel="0" collapsed="false">
      <c r="B5" s="36"/>
      <c r="C5" s="31"/>
      <c r="D5" s="31"/>
      <c r="E5" s="31"/>
      <c r="F5" s="31"/>
      <c r="G5" s="31"/>
      <c r="H5" s="31"/>
      <c r="I5" s="31"/>
    </row>
    <row r="6" customFormat="false" ht="15" hidden="false" customHeight="false" outlineLevel="0" collapsed="false">
      <c r="B6" s="37" t="s">
        <v>34</v>
      </c>
      <c r="C6" s="38"/>
      <c r="D6" s="38"/>
      <c r="E6" s="38"/>
      <c r="F6" s="38"/>
      <c r="G6" s="38"/>
      <c r="H6" s="39" t="s">
        <v>35</v>
      </c>
      <c r="I6" s="40" t="s">
        <v>36</v>
      </c>
      <c r="J6" s="39" t="s">
        <v>37</v>
      </c>
      <c r="K6" s="39" t="s">
        <v>38</v>
      </c>
      <c r="L6" s="39" t="s">
        <v>39</v>
      </c>
      <c r="M6" s="39" t="s">
        <v>40</v>
      </c>
      <c r="N6" s="39" t="s">
        <v>41</v>
      </c>
      <c r="O6" s="39" t="s">
        <v>42</v>
      </c>
      <c r="P6" s="39" t="s">
        <v>43</v>
      </c>
      <c r="Q6" s="40" t="s">
        <v>44</v>
      </c>
    </row>
    <row r="7" customFormat="false" ht="15" hidden="false" customHeight="false" outlineLevel="0" collapsed="false">
      <c r="B7" s="41"/>
      <c r="I7" s="42"/>
      <c r="Q7" s="42"/>
    </row>
    <row r="8" customFormat="false" ht="15" hidden="false" customHeight="false" outlineLevel="0" collapsed="false">
      <c r="B8" s="41" t="s">
        <v>45</v>
      </c>
      <c r="H8" s="43" t="n">
        <f aca="false">CHOOSE(Cover!$C$12,'DCF Model - Base (1)'!H51,'DCF Model - Bull (2)'!H51,'DCF Model - Bear (3)'!H51)</f>
        <v>108949</v>
      </c>
      <c r="I8" s="44" t="n">
        <f aca="false">CHOOSE(Cover!$C$12,'DCF Model - Base (1)'!I51,'DCF Model - Bull (2)'!I51,'DCF Model - Bear (3)'!I51)</f>
        <v>119437</v>
      </c>
      <c r="J8" s="45" t="n">
        <f aca="false">CHOOSE(Cover!$C$12,'DCF Model - Base (1)'!J51,'DCF Model - Bull (2)'!J51,'DCF Model - Bear (3)'!J51)</f>
        <v>114301</v>
      </c>
      <c r="K8" s="45" t="n">
        <f aca="false">CHOOSE(Cover!$C$12,'DCF Model - Base (1)'!K51,'DCF Model - Bull (2)'!K51,'DCF Model - Bear (3)'!K51)</f>
        <v>123216</v>
      </c>
      <c r="L8" s="45" t="n">
        <f aca="false">CHOOSE(Cover!$C$12,'DCF Model - Base (1)'!L51,'DCF Model - Bull (2)'!L51,'DCF Model - Bear (3)'!L51)</f>
        <v>133050</v>
      </c>
      <c r="M8" s="45" t="n">
        <f aca="false">CHOOSE(Cover!$C$12,'DCF Model - Base (1)'!M51,'DCF Model - Bull (2)'!M51,'DCF Model - Bear (3)'!M51)</f>
        <v>136666.178923099</v>
      </c>
      <c r="N8" s="45" t="n">
        <f aca="false">CHOOSE(Cover!$C$12,'DCF Model - Base (1)'!N51,'DCF Model - Bull (2)'!N51,'DCF Model - Bear (3)'!N51)</f>
        <v>140376.438671554</v>
      </c>
      <c r="O8" s="45" t="n">
        <f aca="false">CHOOSE(Cover!$C$12,'DCF Model - Base (1)'!O51,'DCF Model - Bull (2)'!O51,'DCF Model - Bear (3)'!O51)</f>
        <v>144183.060517574</v>
      </c>
      <c r="P8" s="45" t="n">
        <f aca="false">CHOOSE(Cover!$C$12,'DCF Model - Base (1)'!P51,'DCF Model - Bull (2)'!P51,'DCF Model - Bear (3)'!P51)</f>
        <v>147618.070269538</v>
      </c>
      <c r="Q8" s="46" t="n">
        <f aca="false">CHOOSE(Cover!$C$12,'DCF Model - Base (1)'!Q51,'DCF Model - Bull (2)'!Q51,'DCF Model - Bear (3)'!Q51)</f>
        <v>150648.744004033</v>
      </c>
    </row>
    <row r="9" customFormat="false" ht="15" hidden="false" customHeight="false" outlineLevel="0" collapsed="false">
      <c r="B9" s="47" t="s">
        <v>46</v>
      </c>
      <c r="H9" s="43" t="n">
        <f aca="false">CHOOSE(Cover!$C$12,'DCF Model - Base (1)'!H68,'DCF Model - Bull (2)'!H68,'DCF Model - Bear (3)'!H68)</f>
        <v>11284</v>
      </c>
      <c r="I9" s="44" t="n">
        <f aca="false">CHOOSE(Cover!$C$12,'DCF Model - Base (1)'!I68,'DCF Model - Bull (2)'!I68,'DCF Model - Bear (3)'!I68)</f>
        <v>11104</v>
      </c>
      <c r="J9" s="45" t="n">
        <f aca="false">CHOOSE(Cover!$C$12,'DCF Model - Base (1)'!J68,'DCF Model - Bull (2)'!J68,'DCF Model - Bear (3)'!J68)</f>
        <v>11519</v>
      </c>
      <c r="K9" s="45" t="n">
        <f aca="false">CHOOSE(Cover!$C$12,'DCF Model - Base (1)'!K68,'DCF Model - Bull (2)'!K68,'DCF Model - Bear (3)'!K68)</f>
        <v>11445</v>
      </c>
      <c r="L9" s="45" t="n">
        <f aca="false">CHOOSE(Cover!$C$12,'DCF Model - Base (1)'!L68,'DCF Model - Bull (2)'!L68,'DCF Model - Bear (3)'!L68)</f>
        <v>11698</v>
      </c>
      <c r="M9" s="45" t="n">
        <f aca="false">CHOOSE(Cover!$C$12,'DCF Model - Base (1)'!M68,'DCF Model - Bull (2)'!M68,'DCF Model - Bear (3)'!M68)</f>
        <v>12526.2920466733</v>
      </c>
      <c r="N9" s="45" t="n">
        <f aca="false">CHOOSE(Cover!$C$12,'DCF Model - Base (1)'!N68,'DCF Model - Bull (2)'!N68,'DCF Model - Bear (3)'!N68)</f>
        <v>12937.1544258042</v>
      </c>
      <c r="O9" s="45" t="n">
        <f aca="false">CHOOSE(Cover!$C$12,'DCF Model - Base (1)'!O68,'DCF Model - Bull (2)'!O68,'DCF Model - Bear (3)'!O68)</f>
        <v>13361.4930909706</v>
      </c>
      <c r="P9" s="45" t="n">
        <f aca="false">CHOOSE(Cover!$C$12,'DCF Model - Base (1)'!P68,'DCF Model - Bull (2)'!P68,'DCF Model - Bear (3)'!P68)</f>
        <v>13755.9243670161</v>
      </c>
      <c r="Q9" s="46" t="n">
        <f aca="false">CHOOSE(Cover!$C$12,'DCF Model - Base (1)'!Q68,'DCF Model - Bull (2)'!Q68,'DCF Model - Bear (3)'!Q68)</f>
        <v>14116.8798224066</v>
      </c>
    </row>
    <row r="10" customFormat="false" ht="15" hidden="false" customHeight="false" outlineLevel="0" collapsed="false">
      <c r="B10" s="48" t="s">
        <v>47</v>
      </c>
      <c r="C10" s="49"/>
      <c r="D10" s="49"/>
      <c r="E10" s="49"/>
      <c r="F10" s="49"/>
      <c r="G10" s="49"/>
      <c r="H10" s="50" t="n">
        <f aca="false">CHOOSE(Cover!$C$12,'DCF Model - Base (1)'!H54,'DCF Model - Bull (2)'!H54,'DCF Model - Bear (3)'!H54)</f>
        <v>120233</v>
      </c>
      <c r="I10" s="51" t="n">
        <f aca="false">CHOOSE(Cover!$C$12,'DCF Model - Base (1)'!I54,'DCF Model - Bull (2)'!I54,'DCF Model - Bear (3)'!I54)</f>
        <v>130541</v>
      </c>
      <c r="J10" s="45" t="n">
        <f aca="false">CHOOSE(Cover!$C$12,'DCF Model - Base (1)'!J54,'DCF Model - Bull (2)'!J54,'DCF Model - Bear (3)'!J54)</f>
        <v>125820</v>
      </c>
      <c r="K10" s="45" t="n">
        <f aca="false">CHOOSE(Cover!$C$12,'DCF Model - Base (1)'!K54,'DCF Model - Bull (2)'!K54,'DCF Model - Bear (3)'!K54)</f>
        <v>134661</v>
      </c>
      <c r="L10" s="45" t="n">
        <f aca="false">CHOOSE(Cover!$C$12,'DCF Model - Base (1)'!L54,'DCF Model - Bull (2)'!L54,'DCF Model - Bear (3)'!L54)</f>
        <v>144748</v>
      </c>
      <c r="M10" s="45" t="n">
        <f aca="false">CHOOSE(Cover!$C$12,'DCF Model - Base (1)'!M54,'DCF Model - Bull (2)'!M54,'DCF Model - Bear (3)'!M54)</f>
        <v>149192.470969772</v>
      </c>
      <c r="N10" s="45" t="n">
        <f aca="false">CHOOSE(Cover!$C$12,'DCF Model - Base (1)'!N54,'DCF Model - Bull (2)'!N54,'DCF Model - Bear (3)'!N54)</f>
        <v>153313.593097358</v>
      </c>
      <c r="O10" s="45" t="n">
        <f aca="false">CHOOSE(Cover!$C$12,'DCF Model - Base (1)'!O54,'DCF Model - Bull (2)'!O54,'DCF Model - Bear (3)'!O54)</f>
        <v>157544.553608545</v>
      </c>
      <c r="P10" s="45" t="n">
        <f aca="false">CHOOSE(Cover!$C$12,'DCF Model - Base (1)'!P54,'DCF Model - Bull (2)'!P54,'DCF Model - Bear (3)'!P54)</f>
        <v>161373.994636555</v>
      </c>
      <c r="Q10" s="52" t="n">
        <f aca="false">CHOOSE(Cover!$C$12,'DCF Model - Base (1)'!Q54,'DCF Model - Bull (2)'!Q54,'DCF Model - Bear (3)'!Q54)</f>
        <v>164765.623826439</v>
      </c>
    </row>
    <row r="11" customFormat="false" ht="15" hidden="false" customHeight="false" outlineLevel="0" collapsed="false">
      <c r="B11" s="41"/>
      <c r="I11" s="42"/>
      <c r="J11" s="53"/>
      <c r="K11" s="53"/>
      <c r="L11" s="53"/>
      <c r="M11" s="53"/>
      <c r="N11" s="53"/>
      <c r="O11" s="53"/>
      <c r="P11" s="53"/>
      <c r="Q11" s="54"/>
    </row>
    <row r="12" customFormat="false" ht="15" hidden="false" customHeight="false" outlineLevel="0" collapsed="false">
      <c r="B12" s="55" t="s">
        <v>48</v>
      </c>
      <c r="H12" s="45" t="n">
        <f aca="false">CHOOSE(Cover!$C$12,'DCF Model - Base (1)'!H60,'DCF Model - Bull (2)'!H60,'DCF Model - Bear (3)'!H60)</f>
        <v>91942.0585554024</v>
      </c>
      <c r="I12" s="46" t="n">
        <f aca="false">CHOOSE(Cover!$C$12,'DCF Model - Base (1)'!I60,'DCF Model - Bull (2)'!I60,'DCF Model - Bear (3)'!I60)</f>
        <v>100792.881510446</v>
      </c>
      <c r="J12" s="45" t="n">
        <f aca="false">CHOOSE(Cover!$C$12,'DCF Model - Base (1)'!J60,'DCF Model - Bull (2)'!J60,'DCF Model - Bear (3)'!J60)</f>
        <v>96458.6112304018</v>
      </c>
      <c r="K12" s="45" t="n">
        <f aca="false">CHOOSE(Cover!$C$12,'DCF Model - Base (1)'!K60,'DCF Model - Bull (2)'!K60,'DCF Model - Bear (3)'!K60)</f>
        <v>103981.979522184</v>
      </c>
      <c r="L12" s="45" t="n">
        <f aca="false">CHOOSE(Cover!$C$12,'DCF Model - Base (1)'!L60,'DCF Model - Bull (2)'!L60,'DCF Model - Bear (3)'!L60)</f>
        <v>112280.891892503</v>
      </c>
      <c r="M12" s="45" t="n">
        <f aca="false">CHOOSE(Cover!$C$12,'DCF Model - Base (1)'!M60,'DCF Model - Bull (2)'!M60,'DCF Model - Bear (3)'!M60)</f>
        <v>115332.585201247</v>
      </c>
      <c r="N12" s="45" t="n">
        <f aca="false">CHOOSE(Cover!$C$12,'DCF Model - Base (1)'!N60,'DCF Model - Bull (2)'!N60,'DCF Model - Bear (3)'!N60)</f>
        <v>118463.673316312</v>
      </c>
      <c r="O12" s="45" t="n">
        <f aca="false">CHOOSE(Cover!$C$12,'DCF Model - Base (1)'!O60,'DCF Model - Bull (2)'!O60,'DCF Model - Bear (3)'!O60)</f>
        <v>121676.081403261</v>
      </c>
      <c r="P12" s="45" t="n">
        <f aca="false">CHOOSE(Cover!$C$12,'DCF Model - Base (1)'!P60,'DCF Model - Bull (2)'!P60,'DCF Model - Bear (3)'!P60)</f>
        <v>124574.886052716</v>
      </c>
      <c r="Q12" s="46" t="n">
        <f aca="false">CHOOSE(Cover!$C$12,'DCF Model - Base (1)'!Q60,'DCF Model - Bull (2)'!Q60,'DCF Model - Bear (3)'!Q60)</f>
        <v>127132.471546472</v>
      </c>
    </row>
    <row r="13" customFormat="false" ht="15" hidden="false" customHeight="false" outlineLevel="0" collapsed="false">
      <c r="B13" s="47" t="s">
        <v>49</v>
      </c>
      <c r="H13" s="43" t="n">
        <f aca="false">H9</f>
        <v>11284</v>
      </c>
      <c r="I13" s="44" t="n">
        <f aca="false">I9</f>
        <v>11104</v>
      </c>
      <c r="J13" s="45" t="n">
        <f aca="false">J9</f>
        <v>11519</v>
      </c>
      <c r="K13" s="45" t="n">
        <f aca="false">K9</f>
        <v>11445</v>
      </c>
      <c r="L13" s="45" t="n">
        <f aca="false">L9</f>
        <v>11698</v>
      </c>
      <c r="M13" s="45" t="n">
        <f aca="false">M9</f>
        <v>12526.2920466733</v>
      </c>
      <c r="N13" s="45" t="n">
        <f aca="false">N9</f>
        <v>12937.1544258042</v>
      </c>
      <c r="O13" s="45" t="n">
        <f aca="false">O9</f>
        <v>13361.4930909706</v>
      </c>
      <c r="P13" s="45" t="n">
        <f aca="false">P9</f>
        <v>13755.9243670161</v>
      </c>
      <c r="Q13" s="46" t="n">
        <f aca="false">Q9</f>
        <v>14116.8798224066</v>
      </c>
    </row>
    <row r="14" customFormat="false" ht="15" hidden="false" customHeight="false" outlineLevel="0" collapsed="false">
      <c r="B14" s="47" t="s">
        <v>50</v>
      </c>
      <c r="H14" s="45" t="n">
        <f aca="false">CHOOSE(Cover!$C$12,'DCF Model - Base (1)'!H65,'DCF Model - Bull (2)'!H65,'DCF Model - Bear (3)'!H65)</f>
        <v>-11085</v>
      </c>
      <c r="I14" s="46" t="n">
        <f aca="false">CHOOSE(Cover!$C$12,'DCF Model - Base (1)'!I65,'DCF Model - Bull (2)'!I65,'DCF Model - Bear (3)'!I65)</f>
        <v>-10708</v>
      </c>
      <c r="J14" s="45" t="n">
        <f aca="false">CHOOSE(Cover!$C$12,'DCF Model - Base (1)'!J65,'DCF Model - Bull (2)'!J65,'DCF Model - Bear (3)'!J65)</f>
        <v>-10959</v>
      </c>
      <c r="K14" s="45" t="n">
        <f aca="false">CHOOSE(Cover!$C$12,'DCF Model - Base (1)'!K65,'DCF Model - Bull (2)'!K65,'DCF Model - Bear (3)'!K65)</f>
        <v>-9447</v>
      </c>
      <c r="L14" s="45" t="n">
        <f aca="false">CHOOSE(Cover!$C$12,'DCF Model - Base (1)'!L65,'DCF Model - Bull (2)'!L65,'DCF Model - Bear (3)'!L65)</f>
        <v>-12715</v>
      </c>
      <c r="M14" s="45" t="n">
        <f aca="false">CHOOSE(Cover!$C$12,'DCF Model - Base (1)'!M65,'DCF Model - Bull (2)'!M65,'DCF Model - Bear (3)'!M65)</f>
        <v>-11935.0431958497</v>
      </c>
      <c r="N14" s="45" t="n">
        <f aca="false">CHOOSE(Cover!$C$12,'DCF Model - Base (1)'!N65,'DCF Model - Bull (2)'!N65,'DCF Model - Bear (3)'!N65)</f>
        <v>-12326.5126126736</v>
      </c>
      <c r="O14" s="45" t="n">
        <f aca="false">CHOOSE(Cover!$C$12,'DCF Model - Base (1)'!O65,'DCF Model - Bull (2)'!O65,'DCF Model - Bear (3)'!O65)</f>
        <v>-12730.8222263693</v>
      </c>
      <c r="P14" s="45" t="n">
        <f aca="false">CHOOSE(Cover!$C$12,'DCF Model - Base (1)'!P65,'DCF Model - Bull (2)'!P65,'DCF Model - Bear (3)'!P65)</f>
        <v>-13106.6360984917</v>
      </c>
      <c r="Q14" s="46" t="n">
        <f aca="false">CHOOSE(Cover!$C$12,'DCF Model - Base (1)'!Q65,'DCF Model - Bull (2)'!Q65,'DCF Model - Bear (3)'!Q65)</f>
        <v>-13450.5542297161</v>
      </c>
    </row>
    <row r="15" customFormat="false" ht="15" hidden="false" customHeight="false" outlineLevel="0" collapsed="false">
      <c r="B15" s="47" t="s">
        <v>51</v>
      </c>
      <c r="H15" s="45" t="str">
        <f aca="false">CHOOSE(Cover!$C$12,'DCF Model - Base (1)'!H77,'DCF Model - Bull (2)'!H77,'DCF Model - Bear (3)'!H77)</f>
        <v/>
      </c>
      <c r="I15" s="46" t="n">
        <f aca="false">CHOOSE(Cover!$C$12,'DCF Model - Base (1)'!I77,'DCF Model - Bull (2)'!I77,'DCF Model - Bear (3)'!I77)</f>
        <v>9080</v>
      </c>
      <c r="J15" s="45" t="n">
        <f aca="false">CHOOSE(Cover!$C$12,'DCF Model - Base (1)'!J77,'DCF Model - Bull (2)'!J77,'DCF Model - Bear (3)'!J77)</f>
        <v>-4213</v>
      </c>
      <c r="K15" s="45" t="n">
        <f aca="false">CHOOSE(Cover!$C$12,'DCF Model - Base (1)'!K77,'DCF Model - Bull (2)'!K77,'DCF Model - Bear (3)'!K77)</f>
        <v>1492</v>
      </c>
      <c r="L15" s="45" t="n">
        <f aca="false">CHOOSE(Cover!$C$12,'DCF Model - Base (1)'!L77,'DCF Model - Bull (2)'!L77,'DCF Model - Bear (3)'!L77)</f>
        <v>-3899</v>
      </c>
      <c r="M15" s="45" t="n">
        <f aca="false">CHOOSE(Cover!$C$12,'DCF Model - Base (1)'!M77,'DCF Model - Bull (2)'!M77,'DCF Model - Bear (3)'!M77)</f>
        <v>2243.51741609585</v>
      </c>
      <c r="N15" s="45" t="n">
        <f aca="false">CHOOSE(Cover!$C$12,'DCF Model - Base (1)'!N77,'DCF Model - Bull (2)'!N77,'DCF Model - Bear (3)'!N77)</f>
        <v>872.759371247936</v>
      </c>
      <c r="O15" s="45" t="n">
        <f aca="false">CHOOSE(Cover!$C$12,'DCF Model - Base (1)'!O77,'DCF Model - Bull (2)'!O77,'DCF Model - Bear (3)'!O77)</f>
        <v>901.385878624889</v>
      </c>
      <c r="P15" s="45" t="n">
        <f aca="false">CHOOSE(Cover!$C$12,'DCF Model - Base (1)'!P77,'DCF Model - Bull (2)'!P77,'DCF Model - Bear (3)'!P77)</f>
        <v>837.856201899405</v>
      </c>
      <c r="Q15" s="46" t="n">
        <f aca="false">CHOOSE(Cover!$C$12,'DCF Model - Base (1)'!Q77,'DCF Model - Bull (2)'!Q77,'DCF Model - Bear (3)'!Q77)</f>
        <v>766.746415092835</v>
      </c>
    </row>
    <row r="16" customFormat="false" ht="15" hidden="false" customHeight="false" outlineLevel="0" collapsed="false">
      <c r="B16" s="56" t="s">
        <v>52</v>
      </c>
      <c r="C16" s="53"/>
      <c r="D16" s="53"/>
      <c r="E16" s="53"/>
      <c r="F16" s="53"/>
      <c r="G16" s="53"/>
      <c r="H16" s="57" t="n">
        <f aca="false">SUM(H12:H15)</f>
        <v>92141.0585554024</v>
      </c>
      <c r="I16" s="58" t="n">
        <f aca="false">SUM(I12:I15)</f>
        <v>110268.881510446</v>
      </c>
      <c r="J16" s="57" t="n">
        <f aca="false">SUM(J12:J15)</f>
        <v>92805.6112304018</v>
      </c>
      <c r="K16" s="57" t="n">
        <f aca="false">SUM(K12:K15)</f>
        <v>107471.979522184</v>
      </c>
      <c r="L16" s="57" t="n">
        <f aca="false">SUM(L12:L15)</f>
        <v>107364.891892503</v>
      </c>
      <c r="M16" s="57" t="n">
        <f aca="false">SUM(M12:M15)</f>
        <v>118167.351468167</v>
      </c>
      <c r="N16" s="57" t="n">
        <f aca="false">SUM(N12:N15)</f>
        <v>119947.07450069</v>
      </c>
      <c r="O16" s="57" t="n">
        <f aca="false">SUM(O12:O15)</f>
        <v>123208.138146487</v>
      </c>
      <c r="P16" s="57" t="n">
        <f aca="false">SUM(P12:P15)</f>
        <v>126062.03052314</v>
      </c>
      <c r="Q16" s="58" t="n">
        <f aca="false">SUM(Q12:Q15)</f>
        <v>128565.543554255</v>
      </c>
    </row>
    <row r="17" customFormat="false" ht="15" hidden="false" customHeight="false" outlineLevel="0" collapsed="false">
      <c r="B17" s="55"/>
      <c r="H17" s="59"/>
      <c r="I17" s="60"/>
      <c r="J17" s="59"/>
      <c r="K17" s="59"/>
      <c r="L17" s="59"/>
      <c r="M17" s="59"/>
      <c r="N17" s="59"/>
      <c r="O17" s="59"/>
      <c r="P17" s="59"/>
      <c r="Q17" s="60"/>
    </row>
    <row r="18" customFormat="false" ht="15" hidden="false" customHeight="false" outlineLevel="0" collapsed="false">
      <c r="B18" s="47" t="s">
        <v>53</v>
      </c>
      <c r="E18" s="61" t="n">
        <f aca="false">CHOOSE(Cover!$C$12,'DCF Model - Base (1)'!I9,'DCF Model - Bull (2)'!I9,'DCF Model - Bear (3)'!I9)</f>
        <v>46298</v>
      </c>
      <c r="H18" s="59"/>
      <c r="I18" s="60"/>
      <c r="J18" s="59"/>
      <c r="K18" s="59"/>
      <c r="L18" s="59"/>
      <c r="M18" s="59"/>
      <c r="N18" s="59"/>
      <c r="O18" s="59"/>
      <c r="P18" s="59"/>
      <c r="Q18" s="60"/>
    </row>
    <row r="19" customFormat="false" ht="15" hidden="false" customHeight="false" outlineLevel="0" collapsed="false">
      <c r="B19" s="47" t="s">
        <v>54</v>
      </c>
      <c r="H19" s="62"/>
      <c r="I19" s="63"/>
      <c r="J19" s="62"/>
      <c r="K19" s="62"/>
      <c r="L19" s="62"/>
      <c r="M19" s="62" t="n">
        <f aca="false">CHOOSE(Cover!$C$12,'DCF Model - Base (1)'!M82,'DCF Model - Bull (2)'!M82,'DCF Model - Bear (3)'!M82)</f>
        <v>46660</v>
      </c>
      <c r="N19" s="62" t="n">
        <f aca="false">CHOOSE(Cover!$C$12,'DCF Model - Base (1)'!N82,'DCF Model - Bull (2)'!N82,'DCF Model - Bear (3)'!N82)</f>
        <v>47026</v>
      </c>
      <c r="O19" s="62" t="n">
        <f aca="false">CHOOSE(Cover!$C$12,'DCF Model - Base (1)'!O82,'DCF Model - Bull (2)'!O82,'DCF Model - Bear (3)'!O82)</f>
        <v>47391</v>
      </c>
      <c r="P19" s="62" t="n">
        <f aca="false">CHOOSE(Cover!$C$12,'DCF Model - Base (1)'!P82,'DCF Model - Bull (2)'!P82,'DCF Model - Bear (3)'!P82)</f>
        <v>47756</v>
      </c>
      <c r="Q19" s="63" t="n">
        <f aca="false">CHOOSE(Cover!$C$12,'DCF Model - Base (1)'!Q82,'DCF Model - Bull (2)'!Q82,'DCF Model - Bear (3)'!Q82)</f>
        <v>48121</v>
      </c>
    </row>
    <row r="20" customFormat="false" ht="15" hidden="false" customHeight="false" outlineLevel="0" collapsed="false">
      <c r="B20" s="47" t="s">
        <v>55</v>
      </c>
      <c r="I20" s="64"/>
      <c r="J20" s="65"/>
      <c r="K20" s="65"/>
      <c r="L20" s="65"/>
      <c r="M20" s="65" t="n">
        <f aca="false">CHOOSE(Cover!$C$12,'DCF Model - Base (1)'!M83,'DCF Model - Bull (2)'!M83,'DCF Model - Bear (3)'!M83)</f>
        <v>1</v>
      </c>
      <c r="N20" s="65" t="n">
        <f aca="false">CHOOSE(Cover!$C$12,'DCF Model - Base (1)'!N83,'DCF Model - Bull (2)'!N83,'DCF Model - Bear (3)'!N83)</f>
        <v>2</v>
      </c>
      <c r="O20" s="65" t="n">
        <f aca="false">CHOOSE(Cover!$C$12,'DCF Model - Base (1)'!O83,'DCF Model - Bull (2)'!O83,'DCF Model - Bear (3)'!O83)</f>
        <v>3</v>
      </c>
      <c r="P20" s="65" t="n">
        <f aca="false">CHOOSE(Cover!$C$12,'DCF Model - Base (1)'!P83,'DCF Model - Bull (2)'!P83,'DCF Model - Bear (3)'!P83)</f>
        <v>4</v>
      </c>
      <c r="Q20" s="64" t="n">
        <f aca="false">CHOOSE(Cover!$C$12,'DCF Model - Base (1)'!Q83,'DCF Model - Bull (2)'!Q83,'DCF Model - Bear (3)'!Q83)</f>
        <v>5</v>
      </c>
    </row>
    <row r="21" customFormat="false" ht="15" hidden="false" customHeight="false" outlineLevel="0" collapsed="false">
      <c r="B21" s="47" t="s">
        <v>56</v>
      </c>
      <c r="I21" s="64"/>
      <c r="J21" s="65"/>
      <c r="K21" s="65"/>
      <c r="L21" s="65"/>
      <c r="M21" s="65" t="n">
        <f aca="false">CHOOSE(Cover!$C$12,'DCF Model - Base (1)'!M84,'DCF Model - Bull (2)'!M84,'DCF Model - Bear (3)'!M84)</f>
        <v>0.5</v>
      </c>
      <c r="N21" s="65" t="n">
        <f aca="false">CHOOSE(Cover!$C$12,'DCF Model - Base (1)'!N84,'DCF Model - Bull (2)'!N84,'DCF Model - Bear (3)'!N84)</f>
        <v>1.5</v>
      </c>
      <c r="O21" s="65" t="n">
        <f aca="false">CHOOSE(Cover!$C$12,'DCF Model - Base (1)'!O84,'DCF Model - Bull (2)'!O84,'DCF Model - Bear (3)'!O84)</f>
        <v>2.5</v>
      </c>
      <c r="P21" s="65" t="n">
        <f aca="false">CHOOSE(Cover!$C$12,'DCF Model - Base (1)'!P84,'DCF Model - Bull (2)'!P84,'DCF Model - Bear (3)'!P84)</f>
        <v>3.5</v>
      </c>
      <c r="Q21" s="64" t="n">
        <f aca="false">CHOOSE(Cover!$C$12,'DCF Model - Base (1)'!Q84,'DCF Model - Bull (2)'!Q84,'DCF Model - Bear (3)'!Q84)</f>
        <v>4.5</v>
      </c>
    </row>
    <row r="22" customFormat="false" ht="15" hidden="false" customHeight="false" outlineLevel="0" collapsed="false">
      <c r="B22" s="47" t="s">
        <v>57</v>
      </c>
      <c r="H22" s="66" t="n">
        <f aca="false">CHOOSE(Cover!$C$12,'DCF Model - Base (1)'!$F$12,'DCF Model - Bull (2)'!$F$12,'DCF Model - Bear (3)'!$F$12)</f>
        <v>0.141624941123182</v>
      </c>
      <c r="I22" s="64" t="n">
        <f aca="false">CHOOSE(Cover!$C$12,'DCF Model - Base (1)'!$F$12,'DCF Model - Bull (2)'!$F$12,'DCF Model - Bear (3)'!$F$12)</f>
        <v>0.141624941123182</v>
      </c>
      <c r="J22" s="67" t="n">
        <f aca="false">CHOOSE(Cover!$C$12,'DCF Model - Base (1)'!$F$12,'DCF Model - Bull (2)'!$F$12,'DCF Model - Bear (3)'!$F$12)</f>
        <v>0.141624941123182</v>
      </c>
      <c r="K22" s="67" t="n">
        <f aca="false">CHOOSE(Cover!$C$12,'DCF Model - Base (1)'!$F$12,'DCF Model - Bull (2)'!$F$12,'DCF Model - Bear (3)'!$F$12)</f>
        <v>0.141624941123182</v>
      </c>
      <c r="L22" s="67" t="n">
        <f aca="false">CHOOSE(Cover!$C$12,'DCF Model - Base (1)'!$F$12,'DCF Model - Bull (2)'!$F$12,'DCF Model - Bear (3)'!$F$12)</f>
        <v>0.141624941123182</v>
      </c>
      <c r="M22" s="67" t="n">
        <f aca="false">CHOOSE(Cover!$C$12,'DCF Model - Base (1)'!$F$12,'DCF Model - Bull (2)'!$F$12,'DCF Model - Bear (3)'!$F$12)</f>
        <v>0.141624941123182</v>
      </c>
      <c r="N22" s="67" t="n">
        <f aca="false">CHOOSE(Cover!$C$12,'DCF Model - Base (1)'!$F$12,'DCF Model - Bull (2)'!$F$12,'DCF Model - Bear (3)'!$F$12)</f>
        <v>0.141624941123182</v>
      </c>
      <c r="O22" s="67" t="n">
        <f aca="false">CHOOSE(Cover!$C$12,'DCF Model - Base (1)'!$F$12,'DCF Model - Bull (2)'!$F$12,'DCF Model - Bear (3)'!$F$12)</f>
        <v>0.141624941123182</v>
      </c>
      <c r="P22" s="67" t="n">
        <f aca="false">CHOOSE(Cover!$C$12,'DCF Model - Base (1)'!$F$12,'DCF Model - Bull (2)'!$F$12,'DCF Model - Bear (3)'!$F$12)</f>
        <v>0.141624941123182</v>
      </c>
      <c r="Q22" s="68" t="n">
        <f aca="false">CHOOSE(Cover!$C$12,'DCF Model - Base (1)'!$F$12,'DCF Model - Bull (2)'!$F$12,'DCF Model - Bear (3)'!$F$12)</f>
        <v>0.141624941123182</v>
      </c>
    </row>
    <row r="23" customFormat="false" ht="15" hidden="false" customHeight="false" outlineLevel="0" collapsed="false">
      <c r="B23" s="69" t="s">
        <v>58</v>
      </c>
      <c r="C23" s="70"/>
      <c r="D23" s="70"/>
      <c r="E23" s="70"/>
      <c r="F23" s="70"/>
      <c r="G23" s="70"/>
      <c r="H23" s="70"/>
      <c r="I23" s="71"/>
      <c r="J23" s="72"/>
      <c r="K23" s="72"/>
      <c r="L23" s="72"/>
      <c r="M23" s="72" t="n">
        <f aca="false">M16/(1+M22)^M21</f>
        <v>110595.072458143</v>
      </c>
      <c r="N23" s="72" t="n">
        <f aca="false">N16/(1+N22)^N21</f>
        <v>98334.17706725</v>
      </c>
      <c r="O23" s="72" t="n">
        <f aca="false">O16/(1+O22)^O21</f>
        <v>88477.0785612093</v>
      </c>
      <c r="P23" s="72" t="n">
        <f aca="false">P16/(1+P22)^P21</f>
        <v>79296.1732573652</v>
      </c>
      <c r="Q23" s="73" t="n">
        <f aca="false">Q16/(1+Q22)^Q21</f>
        <v>70838.4537847561</v>
      </c>
    </row>
    <row r="26" customFormat="false" ht="15" hidden="false" customHeight="false" outlineLevel="0" collapsed="false">
      <c r="B26" s="74" t="s">
        <v>59</v>
      </c>
      <c r="C26" s="74"/>
      <c r="D26" s="74"/>
      <c r="F26" s="74" t="s">
        <v>60</v>
      </c>
      <c r="G26" s="74"/>
      <c r="H26" s="74"/>
      <c r="J26" s="74" t="s">
        <v>61</v>
      </c>
      <c r="K26" s="74"/>
      <c r="L26" s="74"/>
      <c r="M26" s="75"/>
    </row>
    <row r="27" customFormat="false" ht="15" hidden="false" customHeight="false" outlineLevel="0" collapsed="false">
      <c r="B27" s="41" t="s">
        <v>12</v>
      </c>
      <c r="D27" s="68" t="n">
        <f aca="false">CHOOSE(Cover!$C$12,'DCF Model - Base (1)'!$F$12,'DCF Model - Bull (2)'!$F$12,'DCF Model - Bear (3)'!$F$12)</f>
        <v>0.141624941123182</v>
      </c>
      <c r="F27" s="41" t="s">
        <v>12</v>
      </c>
      <c r="H27" s="68" t="n">
        <f aca="false">D27</f>
        <v>0.141624941123182</v>
      </c>
      <c r="J27" s="41" t="s">
        <v>62</v>
      </c>
      <c r="L27" s="76" t="n">
        <f aca="false">D33/D35</f>
        <v>0.670104293069368</v>
      </c>
    </row>
    <row r="28" customFormat="false" ht="15" hidden="false" customHeight="false" outlineLevel="0" collapsed="false">
      <c r="B28" s="41" t="s">
        <v>63</v>
      </c>
      <c r="D28" s="77" t="n">
        <f aca="false">CHOOSE(Cover!$C$12,'DCF Model - Base (1)'!$C$16,'DCF Model - Bull (2)'!$C$16,'DCF Model - Bear (3)'!$C$16)</f>
        <v>10.6991470130652</v>
      </c>
      <c r="F28" s="41" t="s">
        <v>64</v>
      </c>
      <c r="H28" s="78" t="n">
        <f aca="false">CHOOSE(Cover!$C$12,'DCF Model - Base (1)'!$Q$103,'DCF Model - Bull (2)'!$Q$103,'DCF Model - Bear (3)'!$Q$103)</f>
        <v>0.025</v>
      </c>
      <c r="J28" s="41" t="s">
        <v>65</v>
      </c>
      <c r="L28" s="76" t="n">
        <f aca="false">D30/D35</f>
        <v>0.329895706930632</v>
      </c>
    </row>
    <row r="29" customFormat="false" ht="15" hidden="false" customHeight="false" outlineLevel="0" collapsed="false">
      <c r="B29" s="41"/>
      <c r="D29" s="42"/>
      <c r="F29" s="41"/>
      <c r="H29" s="42"/>
      <c r="J29" s="48" t="s">
        <v>66</v>
      </c>
      <c r="K29" s="49"/>
      <c r="L29" s="79" t="n">
        <f aca="false">D35/Q10</f>
        <v>8.23359524023017</v>
      </c>
    </row>
    <row r="30" customFormat="false" ht="15" hidden="false" customHeight="false" outlineLevel="0" collapsed="false">
      <c r="B30" s="41" t="s">
        <v>67</v>
      </c>
      <c r="D30" s="44" t="n">
        <f aca="false">SUM(M23:Q23)</f>
        <v>447540.955128724</v>
      </c>
      <c r="F30" s="55" t="s">
        <v>67</v>
      </c>
      <c r="H30" s="44" t="n">
        <f aca="false">D30</f>
        <v>447540.955128724</v>
      </c>
    </row>
    <row r="31" customFormat="false" ht="15" hidden="false" customHeight="false" outlineLevel="0" collapsed="false">
      <c r="B31" s="80" t="s">
        <v>68</v>
      </c>
      <c r="D31" s="44" t="n">
        <f aca="false">Q10</f>
        <v>164765.623826439</v>
      </c>
      <c r="F31" s="47" t="s">
        <v>69</v>
      </c>
      <c r="H31" s="44" t="n">
        <f aca="false">Q16*(1+H28)</f>
        <v>131779.682143112</v>
      </c>
    </row>
    <row r="32" customFormat="false" ht="15" hidden="false" customHeight="false" outlineLevel="0" collapsed="false">
      <c r="B32" s="80" t="s">
        <v>70</v>
      </c>
      <c r="D32" s="44" t="n">
        <f aca="false">D31*D28</f>
        <v>1762851.63201848</v>
      </c>
      <c r="F32" s="47" t="s">
        <v>70</v>
      </c>
      <c r="H32" s="44" t="n">
        <f aca="false">H31/(D27-H28)</f>
        <v>1129944.25441058</v>
      </c>
    </row>
    <row r="33" customFormat="false" ht="15" hidden="false" customHeight="false" outlineLevel="0" collapsed="false">
      <c r="B33" s="80" t="s">
        <v>71</v>
      </c>
      <c r="D33" s="44" t="n">
        <f aca="false">D32/(1+D27)^Q20</f>
        <v>909072.500962202</v>
      </c>
      <c r="F33" s="47" t="s">
        <v>71</v>
      </c>
      <c r="H33" s="44" t="n">
        <f aca="false">H32/(1+H27)^Q20</f>
        <v>582692.967830049</v>
      </c>
    </row>
    <row r="34" customFormat="false" ht="15" hidden="false" customHeight="false" outlineLevel="0" collapsed="false">
      <c r="B34" s="41"/>
      <c r="D34" s="42"/>
      <c r="F34" s="41"/>
      <c r="H34" s="44"/>
      <c r="J34" s="74" t="s">
        <v>72</v>
      </c>
      <c r="K34" s="74"/>
      <c r="L34" s="74"/>
    </row>
    <row r="35" customFormat="false" ht="15" hidden="false" customHeight="false" outlineLevel="0" collapsed="false">
      <c r="B35" s="55" t="s">
        <v>73</v>
      </c>
      <c r="D35" s="44" t="n">
        <f aca="false">D33+D30</f>
        <v>1356613.45609093</v>
      </c>
      <c r="F35" s="55" t="s">
        <v>73</v>
      </c>
      <c r="H35" s="44" t="n">
        <f aca="false">H33+H30</f>
        <v>1030233.92295877</v>
      </c>
      <c r="J35" s="41" t="s">
        <v>62</v>
      </c>
      <c r="L35" s="76" t="n">
        <f aca="false">H33/H35</f>
        <v>0.565592876379559</v>
      </c>
    </row>
    <row r="36" customFormat="false" ht="15" hidden="false" customHeight="false" outlineLevel="0" collapsed="false">
      <c r="B36" s="47" t="s">
        <v>74</v>
      </c>
      <c r="D36" s="46" t="n">
        <f aca="false">-CHOOSE(Cover!$C$12,'DCF Model - Base (1)'!$AA$18,'DCF Model - Bull (2)'!$AA$18,'DCF Model - Bear (3)'!$AA$18)</f>
        <v>-98657</v>
      </c>
      <c r="F36" s="47" t="s">
        <v>74</v>
      </c>
      <c r="H36" s="46" t="n">
        <f aca="false">D36</f>
        <v>-98657</v>
      </c>
      <c r="J36" s="41" t="s">
        <v>65</v>
      </c>
      <c r="L36" s="76" t="n">
        <f aca="false">H30/H35</f>
        <v>0.434407123620441</v>
      </c>
    </row>
    <row r="37" customFormat="false" ht="15" hidden="false" customHeight="false" outlineLevel="0" collapsed="false">
      <c r="B37" s="47" t="s">
        <v>75</v>
      </c>
      <c r="D37" s="44" t="n">
        <f aca="false">-CHOOSE(Cover!$C$12,'DCF Model - Base (1)'!$F$20,'DCF Model - Bull (2)'!$F$20,'DCF Model - Bear (3)'!$F$20)-CHOOSE(Cover!$C$12,'DCF Model - Base (1)'!$F$21,'DCF Model - Bull (2)'!$F$21,'DCF Model - Bear (3)'!$F$21)</f>
        <v>-0</v>
      </c>
      <c r="F37" s="47" t="s">
        <v>75</v>
      </c>
      <c r="H37" s="44" t="n">
        <f aca="false">D37</f>
        <v>-0</v>
      </c>
      <c r="J37" s="81"/>
      <c r="K37" s="53"/>
      <c r="L37" s="82"/>
    </row>
    <row r="38" customFormat="false" ht="15" hidden="false" customHeight="false" outlineLevel="0" collapsed="false">
      <c r="B38" s="47" t="s">
        <v>76</v>
      </c>
      <c r="D38" s="44" t="n">
        <f aca="false">CHOOSE(Cover!$C$12,'DCF Model - Base (1)'!$AA$17,'DCF Model - Bull (2)'!$AA$17,'DCF Model - Bear (3)'!$AA$17)+CHOOSE(Cover!$C$12,'DCF Model - Base (1)'!$AA$19,'DCF Model - Bull (2)'!$AA$19,'DCF Model - Bear (3)'!$AA$19)</f>
        <v>132420</v>
      </c>
      <c r="F38" s="47" t="s">
        <v>76</v>
      </c>
      <c r="H38" s="44" t="n">
        <f aca="false">D38</f>
        <v>132420</v>
      </c>
    </row>
    <row r="39" customFormat="false" ht="15" hidden="false" customHeight="false" outlineLevel="0" collapsed="false">
      <c r="B39" s="41"/>
      <c r="D39" s="42"/>
      <c r="F39" s="41"/>
      <c r="H39" s="42"/>
    </row>
    <row r="40" customFormat="false" ht="15" hidden="false" customHeight="false" outlineLevel="0" collapsed="false">
      <c r="B40" s="56" t="s">
        <v>77</v>
      </c>
      <c r="C40" s="53"/>
      <c r="D40" s="83" t="n">
        <f aca="false">SUM(D35:D38)</f>
        <v>1390376.45609093</v>
      </c>
      <c r="F40" s="56" t="s">
        <v>77</v>
      </c>
      <c r="G40" s="53"/>
      <c r="H40" s="58" t="n">
        <f aca="false">SUM(H35:H38)</f>
        <v>1063996.92295877</v>
      </c>
      <c r="J40" s="74" t="s">
        <v>78</v>
      </c>
      <c r="K40" s="74"/>
      <c r="L40" s="74"/>
    </row>
    <row r="41" customFormat="false" ht="15" hidden="false" customHeight="false" outlineLevel="0" collapsed="false">
      <c r="B41" s="41" t="s">
        <v>79</v>
      </c>
      <c r="D41" s="46" t="n">
        <f aca="false">CHOOSE(Cover!$C$12,'DCF Model - Base (1)'!$C$11,'DCF Model - Bull (2)'!$C$11,'DCF Model - Bear (3)'!$C$11)</f>
        <v>4869931.925504</v>
      </c>
      <c r="F41" s="41" t="s">
        <v>79</v>
      </c>
      <c r="H41" s="46" t="n">
        <f aca="false">D41</f>
        <v>4869931.925504</v>
      </c>
      <c r="J41" s="41" t="s">
        <v>62</v>
      </c>
      <c r="L41" s="76" t="n">
        <f aca="false">AVERAGE(L35,L27)</f>
        <v>0.617848584724464</v>
      </c>
    </row>
    <row r="42" customFormat="false" ht="15" hidden="false" customHeight="false" outlineLevel="0" collapsed="false">
      <c r="B42" s="84" t="s">
        <v>80</v>
      </c>
      <c r="C42" s="49"/>
      <c r="D42" s="85" t="n">
        <f aca="false">D40/D41 - 1</f>
        <v>-0.714497763549943</v>
      </c>
      <c r="F42" s="84" t="s">
        <v>80</v>
      </c>
      <c r="G42" s="49"/>
      <c r="H42" s="85" t="n">
        <f aca="false">H40/H41 - 1</f>
        <v>-0.781517084995257</v>
      </c>
      <c r="J42" s="41" t="s">
        <v>65</v>
      </c>
      <c r="L42" s="76" t="n">
        <f aca="false">AVERAGE(L36,L28)</f>
        <v>0.382151415275536</v>
      </c>
    </row>
    <row r="43" customFormat="false" ht="15" hidden="false" customHeight="false" outlineLevel="0" collapsed="false">
      <c r="B43" s="84" t="s">
        <v>81</v>
      </c>
      <c r="D43" s="86" t="n">
        <f aca="false">D40/'DCF Model - Base (1)'!$I$16</f>
        <v>92.6627479442554</v>
      </c>
      <c r="F43" s="84" t="s">
        <v>81</v>
      </c>
      <c r="H43" s="86" t="n">
        <f aca="false">H40/'DCF Model - Base (1)'!$I$16</f>
        <v>70.9109236233676</v>
      </c>
      <c r="J43" s="53"/>
      <c r="K43" s="53"/>
      <c r="L43" s="53"/>
    </row>
  </sheetData>
  <mergeCells count="5">
    <mergeCell ref="B26:D26"/>
    <mergeCell ref="F26:H26"/>
    <mergeCell ref="J26:L26"/>
    <mergeCell ref="J34:L34"/>
    <mergeCell ref="J40:L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8E8"/>
    <pageSetUpPr fitToPage="false"/>
  </sheetPr>
  <dimension ref="B2:AA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66796875" defaultRowHeight="15" customHeight="false" zeroHeight="false" outlineLevelRow="0" outlineLevelCol="0"/>
  <cols>
    <col collapsed="false" customWidth="true" hidden="false" outlineLevel="0" max="9" min="9" style="0" width="14"/>
  </cols>
  <sheetData>
    <row r="2" customFormat="false" ht="18.75" hidden="false" customHeight="true" outlineLevel="0" collapsed="false">
      <c r="B2" s="29" t="s">
        <v>82</v>
      </c>
      <c r="C2" s="30"/>
      <c r="D2" s="31"/>
      <c r="E2" s="31"/>
      <c r="F2" s="31"/>
      <c r="G2" s="31"/>
      <c r="H2" s="31"/>
      <c r="I2" s="31"/>
    </row>
    <row r="3" customFormat="false" ht="15.75" hidden="false" customHeight="true" outlineLevel="0" collapsed="false">
      <c r="B3" s="32" t="s">
        <v>32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</row>
    <row r="4" customFormat="false" ht="15.75" hidden="false" customHeight="true" outlineLevel="0" collapsed="false">
      <c r="B4" s="35" t="s">
        <v>33</v>
      </c>
      <c r="C4" s="31"/>
      <c r="D4" s="31"/>
      <c r="E4" s="31"/>
      <c r="F4" s="31"/>
      <c r="G4" s="31"/>
      <c r="H4" s="31"/>
      <c r="I4" s="31"/>
    </row>
    <row r="6" customFormat="false" ht="15" hidden="false" customHeight="false" outlineLevel="0" collapsed="false">
      <c r="B6" s="87" t="s">
        <v>83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8" customFormat="false" ht="15" hidden="false" customHeight="false" outlineLevel="0" collapsed="false">
      <c r="B8" s="28" t="s">
        <v>84</v>
      </c>
      <c r="E8" s="28" t="s">
        <v>85</v>
      </c>
      <c r="H8" s="28" t="s">
        <v>86</v>
      </c>
    </row>
    <row r="9" customFormat="false" ht="15" hidden="false" customHeight="false" outlineLevel="0" collapsed="false">
      <c r="B9" s="0" t="s">
        <v>87</v>
      </c>
      <c r="C9" s="89" t="n">
        <f aca="false">Q94</f>
        <v>1356613.45609093</v>
      </c>
      <c r="E9" s="0" t="s">
        <v>88</v>
      </c>
      <c r="F9" s="90" t="n">
        <v>0.0277681142459967</v>
      </c>
      <c r="H9" s="0" t="s">
        <v>89</v>
      </c>
      <c r="I9" s="91" t="n">
        <v>46298</v>
      </c>
    </row>
    <row r="10" customFormat="false" ht="15" hidden="false" customHeight="false" outlineLevel="0" collapsed="false">
      <c r="B10" s="0" t="s">
        <v>90</v>
      </c>
      <c r="C10" s="92" t="n">
        <f aca="false">IFERROR(C9/L54,0)</f>
        <v>9.3722431818811</v>
      </c>
      <c r="E10" s="0" t="s">
        <v>91</v>
      </c>
      <c r="F10" s="90" t="n">
        <v>0</v>
      </c>
      <c r="H10" s="0" t="s">
        <v>92</v>
      </c>
      <c r="I10" s="91"/>
    </row>
    <row r="11" customFormat="false" ht="15" hidden="false" customHeight="false" outlineLevel="0" collapsed="false">
      <c r="B11" s="0" t="s">
        <v>79</v>
      </c>
      <c r="C11" s="89" t="n">
        <v>4869931.925504</v>
      </c>
      <c r="E11" s="0" t="s">
        <v>93</v>
      </c>
      <c r="F11" s="90" t="n">
        <v>0.15610002335586</v>
      </c>
      <c r="H11" s="0" t="s">
        <v>94</v>
      </c>
      <c r="I11" s="91" t="n">
        <v>46291</v>
      </c>
    </row>
    <row r="12" customFormat="false" ht="15" hidden="false" customHeight="false" outlineLevel="0" collapsed="false">
      <c r="B12" s="0" t="s">
        <v>77</v>
      </c>
      <c r="C12" s="43" t="n">
        <f aca="false">C9-AA18+AA17+AA19-F20-F21</f>
        <v>1390376.45609093</v>
      </c>
      <c r="E12" s="0" t="s">
        <v>12</v>
      </c>
      <c r="F12" s="93" t="n">
        <f aca="false">WACC!D34</f>
        <v>0.141624941123182</v>
      </c>
      <c r="G12" s="94"/>
      <c r="I12" s="95"/>
    </row>
    <row r="13" customFormat="false" ht="15" hidden="false" customHeight="false" outlineLevel="0" collapsed="false">
      <c r="B13" s="0" t="s">
        <v>95</v>
      </c>
      <c r="C13" s="96" t="n">
        <f aca="false">Q111/$I$16</f>
        <v>70.9109236233676</v>
      </c>
      <c r="E13" s="0" t="s">
        <v>96</v>
      </c>
      <c r="F13" s="90" t="n">
        <v>0.0291437159399389</v>
      </c>
      <c r="H13" s="0" t="s">
        <v>97</v>
      </c>
      <c r="I13" s="97" t="n">
        <v>5</v>
      </c>
    </row>
    <row r="14" customFormat="false" ht="15" hidden="false" customHeight="false" outlineLevel="0" collapsed="false">
      <c r="B14" s="0" t="s">
        <v>98</v>
      </c>
      <c r="C14" s="96" t="n">
        <f aca="false">C12/$I$16</f>
        <v>92.6627479442554</v>
      </c>
      <c r="E14" s="0" t="s">
        <v>99</v>
      </c>
      <c r="F14" s="90" t="n">
        <v>0.0328</v>
      </c>
      <c r="H14" s="0" t="s">
        <v>100</v>
      </c>
      <c r="I14" s="97" t="n">
        <v>3</v>
      </c>
    </row>
    <row r="15" customFormat="false" ht="15" hidden="false" customHeight="false" outlineLevel="0" collapsed="false">
      <c r="B15" s="28" t="s">
        <v>101</v>
      </c>
      <c r="E15" s="28" t="s">
        <v>102</v>
      </c>
      <c r="F15" s="90" t="n">
        <v>0.319707997625919</v>
      </c>
      <c r="H15" s="0" t="s">
        <v>103</v>
      </c>
      <c r="I15" s="97" t="n">
        <v>4</v>
      </c>
    </row>
    <row r="16" customFormat="false" ht="15" hidden="false" customHeight="false" outlineLevel="0" collapsed="false">
      <c r="B16" s="0" t="s">
        <v>104</v>
      </c>
      <c r="C16" s="98" t="n">
        <v>10.6991470130652</v>
      </c>
      <c r="E16" s="0" t="s">
        <v>105</v>
      </c>
      <c r="F16" s="90" t="n">
        <v>0.457475478332007</v>
      </c>
      <c r="H16" s="0" t="s">
        <v>106</v>
      </c>
      <c r="I16" s="99" t="n">
        <v>15004.697</v>
      </c>
    </row>
    <row r="17" customFormat="false" ht="15" hidden="false" customHeight="false" outlineLevel="0" collapsed="false">
      <c r="B17" s="0" t="s">
        <v>107</v>
      </c>
      <c r="C17" s="0" t="n">
        <v>35934</v>
      </c>
      <c r="E17" s="0" t="s">
        <v>108</v>
      </c>
      <c r="F17" s="90" t="n">
        <v>0.311008116325641</v>
      </c>
      <c r="H17" s="0" t="s">
        <v>109</v>
      </c>
      <c r="I17" s="100" t="n">
        <v>333.69</v>
      </c>
      <c r="AA17" s="0" t="n">
        <f aca="false">C17</f>
        <v>35934</v>
      </c>
    </row>
    <row r="18" customFormat="false" ht="15" hidden="false" customHeight="false" outlineLevel="0" collapsed="false">
      <c r="B18" s="87" t="s">
        <v>110</v>
      </c>
      <c r="C18" s="88"/>
      <c r="D18" s="88"/>
      <c r="E18" s="88"/>
      <c r="F18" s="88"/>
      <c r="G18" s="88"/>
      <c r="H18" s="101" t="s">
        <v>35</v>
      </c>
      <c r="I18" s="102" t="s">
        <v>36</v>
      </c>
      <c r="J18" s="103" t="s">
        <v>37</v>
      </c>
      <c r="K18" s="103" t="s">
        <v>38</v>
      </c>
      <c r="L18" s="103" t="s">
        <v>39</v>
      </c>
      <c r="M18" s="103" t="s">
        <v>40</v>
      </c>
      <c r="N18" s="103" t="s">
        <v>41</v>
      </c>
      <c r="O18" s="103" t="s">
        <v>42</v>
      </c>
      <c r="P18" s="103" t="s">
        <v>43</v>
      </c>
      <c r="Q18" s="103" t="s">
        <v>44</v>
      </c>
      <c r="S18" s="104" t="s">
        <v>111</v>
      </c>
      <c r="T18" s="104" t="s">
        <v>112</v>
      </c>
      <c r="AA18" s="0" t="n">
        <v>98657</v>
      </c>
    </row>
    <row r="19" customFormat="false" ht="15" hidden="false" customHeight="true" outlineLevel="0" collapsed="false">
      <c r="B19" s="28"/>
      <c r="E19" s="0" t="s">
        <v>113</v>
      </c>
      <c r="F19" s="90" t="n">
        <v>0.01968</v>
      </c>
      <c r="I19" s="42"/>
      <c r="AA19" s="0" t="n">
        <v>96486</v>
      </c>
    </row>
    <row r="20" customFormat="false" ht="15" hidden="false" customHeight="false" outlineLevel="0" collapsed="false">
      <c r="B20" s="105" t="s">
        <v>114</v>
      </c>
      <c r="C20" s="106"/>
      <c r="D20" s="106"/>
      <c r="E20" s="106" t="s">
        <v>115</v>
      </c>
      <c r="F20" s="89" t="n">
        <v>0</v>
      </c>
      <c r="G20" s="107"/>
      <c r="H20" s="108" t="n">
        <f aca="false">'Data Given (Recalculated)'!G12</f>
        <v>365817</v>
      </c>
      <c r="I20" s="109" t="n">
        <f aca="false">'Data Given (Recalculated)'!H12</f>
        <v>394328</v>
      </c>
      <c r="J20" s="108" t="n">
        <f aca="false">'Data Given (Recalculated)'!I12</f>
        <v>383285</v>
      </c>
      <c r="K20" s="108" t="n">
        <f aca="false">'Data Given (Recalculated)'!J12</f>
        <v>391035</v>
      </c>
      <c r="L20" s="108" t="n">
        <f aca="false">'Data Given (Recalculated)'!K12</f>
        <v>416161</v>
      </c>
      <c r="M20" s="108" t="n">
        <f aca="false">L20*(1+M21)</f>
        <v>429811.0808</v>
      </c>
      <c r="N20" s="108" t="n">
        <f aca="false">M20*(1+N21)</f>
        <v>443908.88425024</v>
      </c>
      <c r="O20" s="108" t="n">
        <f aca="false">N20*(1+O21)</f>
        <v>458469.095653648</v>
      </c>
      <c r="P20" s="108" t="n">
        <f aca="false">O20*(1+P21)</f>
        <v>472003.103357344</v>
      </c>
      <c r="Q20" s="108" t="n">
        <f aca="false">P20*(1+Q21)</f>
        <v>484388.46478944</v>
      </c>
      <c r="S20" s="110" t="n">
        <f aca="false">IFERROR((I20/H20)^(1/(COLUMNS(H20:I20)-1))-1,"")</f>
        <v>0.0779378760418461</v>
      </c>
      <c r="T20" s="110" t="n">
        <f aca="false">IFERROR((Q20/J20)^(1/(COLUMNS(J20:Q20)-1))-1,"")</f>
        <v>0.0340095907799427</v>
      </c>
    </row>
    <row r="21" customFormat="false" ht="15" hidden="false" customHeight="false" outlineLevel="0" collapsed="false">
      <c r="B21" s="111" t="s">
        <v>116</v>
      </c>
      <c r="E21" s="0" t="s">
        <v>117</v>
      </c>
      <c r="F21" s="89" t="n">
        <v>0</v>
      </c>
      <c r="H21" s="0" t="str">
        <f aca="false">""</f>
        <v/>
      </c>
      <c r="I21" s="112" t="n">
        <f aca="false">IFERROR(I20/H20-1,0)</f>
        <v>0.0779378760418461</v>
      </c>
      <c r="J21" s="113" t="n">
        <f aca="false">IFERROR(J20/I20-1,0)</f>
        <v>-0.0280046053031994</v>
      </c>
      <c r="K21" s="113" t="n">
        <f aca="false">IFERROR(K20/J20-1,0)</f>
        <v>0.0202199407751411</v>
      </c>
      <c r="L21" s="113" t="n">
        <f aca="false">IFERROR(L20/K20-1,0)</f>
        <v>0.0642551178283275</v>
      </c>
      <c r="M21" s="113" t="n">
        <f aca="false">$F$14+($F$19-$F$14)*MAX(0,MIN(1,(M$83-$I$14)/$I$15))</f>
        <v>0.0328</v>
      </c>
      <c r="N21" s="113" t="n">
        <f aca="false">$F$14+($F$19-$F$14)*MAX(0,MIN(1,(N$83-$I$14)/$I$15))</f>
        <v>0.0328</v>
      </c>
      <c r="O21" s="113" t="n">
        <f aca="false">$F$14+($F$19-$F$14)*MAX(0,MIN(1,(O$83-$I$14)/$I$15))</f>
        <v>0.0328</v>
      </c>
      <c r="P21" s="113" t="n">
        <f aca="false">$F$14+($F$19-$F$14)*MAX(0,MIN(1,(P$83-$I$14)/$I$15))</f>
        <v>0.02952</v>
      </c>
      <c r="Q21" s="113" t="n">
        <f aca="false">$F$14+($F$19-$F$14)*MAX(0,MIN(1,(Q$83-$I$14)/$I$15))</f>
        <v>0.02624</v>
      </c>
    </row>
    <row r="22" customFormat="false" ht="15" hidden="false" customHeight="false" outlineLevel="0" collapsed="false">
      <c r="B22" s="114"/>
      <c r="I22" s="42"/>
    </row>
    <row r="23" customFormat="false" ht="15" hidden="false" customHeight="false" outlineLevel="0" collapsed="false">
      <c r="B23" s="28" t="s">
        <v>118</v>
      </c>
      <c r="I23" s="42"/>
    </row>
    <row r="24" customFormat="false" ht="15" hidden="false" customHeight="false" outlineLevel="0" collapsed="false">
      <c r="B24" s="0" t="s">
        <v>118</v>
      </c>
      <c r="C24" s="115"/>
      <c r="D24" s="115"/>
      <c r="E24" s="115"/>
      <c r="G24" s="115"/>
      <c r="H24" s="45" t="n">
        <f aca="false">'Data Given (Recalculated)'!G16</f>
        <v>212981</v>
      </c>
      <c r="I24" s="46" t="n">
        <f aca="false">'Data Given (Recalculated)'!H16</f>
        <v>223546</v>
      </c>
      <c r="J24" s="45" t="n">
        <f aca="false">'Data Given (Recalculated)'!I16</f>
        <v>214137</v>
      </c>
      <c r="K24" s="45" t="n">
        <f aca="false">'Data Given (Recalculated)'!J16</f>
        <v>210352</v>
      </c>
      <c r="L24" s="45" t="n">
        <f aca="false">'Data Given (Recalculated)'!K16</f>
        <v>201436</v>
      </c>
      <c r="M24" s="45" t="n">
        <f aca="false">M20*(1-$F$16)-M27</f>
        <v>213018.663818623</v>
      </c>
      <c r="N24" s="45" t="n">
        <f aca="false">N20*(1-$F$16)-N27</f>
        <v>220005.675991874</v>
      </c>
      <c r="O24" s="45" t="n">
        <f aca="false">O20*(1-$F$16)-O27</f>
        <v>227221.862164408</v>
      </c>
      <c r="P24" s="45" t="n">
        <f aca="false">P20*(1-$F$16)-P27</f>
        <v>233929.451535501</v>
      </c>
      <c r="Q24" s="45" t="n">
        <f aca="false">Q20*(1-$F$16)-Q27</f>
        <v>240067.760343792</v>
      </c>
      <c r="S24" s="110" t="n">
        <f aca="false">IFERROR((I24/H24)^(1/(COLUMNS(H24:I24)-1))-1,"")</f>
        <v>0.0496053638587479</v>
      </c>
      <c r="T24" s="110" t="n">
        <f aca="false">IFERROR((Q24/J24)^(1/(COLUMNS(J24:Q24)-1))-1,"")</f>
        <v>0.0164633692745362</v>
      </c>
    </row>
    <row r="25" customFormat="false" ht="15" hidden="false" customHeight="false" outlineLevel="0" collapsed="false">
      <c r="B25" s="111" t="s">
        <v>119</v>
      </c>
      <c r="H25" s="113" t="n">
        <f aca="false">IFERROR(H24/H20,0)</f>
        <v>0.582206403748322</v>
      </c>
      <c r="I25" s="112" t="n">
        <f aca="false">IFERROR(I24/I20,0)</f>
        <v>0.566903694386399</v>
      </c>
      <c r="J25" s="113" t="n">
        <f aca="false">IFERROR(J24/J20,0)</f>
        <v>0.558688704227924</v>
      </c>
      <c r="K25" s="113" t="n">
        <f aca="false">IFERROR(K24/K20,0)</f>
        <v>0.537936501847661</v>
      </c>
      <c r="L25" s="113" t="n">
        <f aca="false">IFERROR(L24/L20,0)</f>
        <v>0.484033823448137</v>
      </c>
      <c r="M25" s="113" t="n">
        <f aca="false">IFERROR(M24/M20,0)</f>
        <v>0.495609986187735</v>
      </c>
      <c r="N25" s="113" t="n">
        <f aca="false">IFERROR(N24/N20,0)</f>
        <v>0.495609986187735</v>
      </c>
      <c r="O25" s="113" t="n">
        <f aca="false">IFERROR(O24/O20,0)</f>
        <v>0.495609986187735</v>
      </c>
      <c r="P25" s="113" t="n">
        <f aca="false">IFERROR(P24/P20,0)</f>
        <v>0.495609986187735</v>
      </c>
      <c r="Q25" s="113" t="n">
        <f aca="false">IFERROR(Q24/Q20,0)</f>
        <v>0.495609986187735</v>
      </c>
    </row>
    <row r="26" customFormat="false" ht="15" hidden="false" customHeight="false" outlineLevel="0" collapsed="false">
      <c r="I26" s="42"/>
    </row>
    <row r="27" customFormat="false" ht="15" hidden="false" customHeight="false" outlineLevel="0" collapsed="false">
      <c r="B27" s="0" t="s">
        <v>120</v>
      </c>
      <c r="H27" s="45" t="n">
        <f aca="false">'Data Given (Recalculated)'!G17</f>
        <v>0</v>
      </c>
      <c r="I27" s="46" t="n">
        <f aca="false">'Data Given (Recalculated)'!H17</f>
        <v>0</v>
      </c>
      <c r="J27" s="45" t="n">
        <f aca="false">'Data Given (Recalculated)'!I17</f>
        <v>0</v>
      </c>
      <c r="K27" s="45" t="n">
        <f aca="false">'Data Given (Recalculated)'!J17</f>
        <v>0</v>
      </c>
      <c r="L27" s="45" t="n">
        <f aca="false">'Data Given (Recalculated)'!K17</f>
        <v>19524</v>
      </c>
      <c r="M27" s="45" t="n">
        <f aca="false">M20*L28</f>
        <v>20164.3872</v>
      </c>
      <c r="N27" s="45" t="n">
        <f aca="false">N20*M28</f>
        <v>20825.77910016</v>
      </c>
      <c r="O27" s="45" t="n">
        <f aca="false">O20*N28</f>
        <v>21508.8646546452</v>
      </c>
      <c r="P27" s="45" t="n">
        <f aca="false">P20*O28</f>
        <v>22143.8063392504</v>
      </c>
      <c r="Q27" s="45" t="n">
        <f aca="false">Q20*P28</f>
        <v>22724.8598175923</v>
      </c>
      <c r="S27" s="110" t="str">
        <f aca="false">IFERROR((I27/H27)^(1/(COLUMNS(H27:I27)-1))-1,"")</f>
        <v/>
      </c>
      <c r="T27" s="110" t="str">
        <f aca="false">IFERROR((Q27/J27)^(1/(COLUMNS(J27:Q27)-1))-1,"")</f>
        <v/>
      </c>
    </row>
    <row r="28" customFormat="false" ht="15" hidden="false" customHeight="false" outlineLevel="0" collapsed="false">
      <c r="B28" s="111" t="s">
        <v>119</v>
      </c>
      <c r="H28" s="113" t="n">
        <f aca="false">IFERROR(H27/H20,0)</f>
        <v>0</v>
      </c>
      <c r="I28" s="112" t="n">
        <f aca="false">IFERROR(I27/I20,0)</f>
        <v>0</v>
      </c>
      <c r="J28" s="113" t="n">
        <f aca="false">IFERROR(J27/J20,0)</f>
        <v>0</v>
      </c>
      <c r="K28" s="113" t="n">
        <f aca="false">IFERROR(K27/K20,0)</f>
        <v>0</v>
      </c>
      <c r="L28" s="113" t="n">
        <f aca="false">IFERROR(L27/L20,0)</f>
        <v>0.0469145354802588</v>
      </c>
      <c r="M28" s="113" t="n">
        <f aca="false">IFERROR(M27/M20,0)</f>
        <v>0.0469145354802588</v>
      </c>
      <c r="N28" s="113" t="n">
        <f aca="false">IFERROR(N27/N20,0)</f>
        <v>0.0469145354802588</v>
      </c>
      <c r="O28" s="113" t="n">
        <f aca="false">IFERROR(O27/O20,0)</f>
        <v>0.0469145354802588</v>
      </c>
      <c r="P28" s="113" t="n">
        <f aca="false">IFERROR(P27/P20,0)</f>
        <v>0.0469145354802588</v>
      </c>
      <c r="Q28" s="113" t="n">
        <f aca="false">IFERROR(Q27/Q20,0)</f>
        <v>0.0469145354802588</v>
      </c>
    </row>
    <row r="29" customFormat="false" ht="15" hidden="false" customHeight="false" outlineLevel="0" collapsed="false">
      <c r="B29" s="111"/>
      <c r="H29" s="116"/>
      <c r="I29" s="117"/>
      <c r="J29" s="116"/>
      <c r="K29" s="116"/>
      <c r="L29" s="116"/>
      <c r="M29" s="116"/>
      <c r="N29" s="116"/>
      <c r="O29" s="116"/>
      <c r="P29" s="116"/>
      <c r="Q29" s="116"/>
    </row>
    <row r="30" customFormat="false" ht="15" hidden="false" customHeight="false" outlineLevel="0" collapsed="false">
      <c r="B30" s="105" t="s">
        <v>121</v>
      </c>
      <c r="C30" s="106"/>
      <c r="D30" s="106"/>
      <c r="E30" s="106"/>
      <c r="F30" s="106"/>
      <c r="G30" s="107"/>
      <c r="H30" s="107" t="n">
        <f aca="false">H24+H27</f>
        <v>212981</v>
      </c>
      <c r="I30" s="118" t="n">
        <f aca="false">I24+I27</f>
        <v>223546</v>
      </c>
      <c r="J30" s="107" t="n">
        <f aca="false">J24+J27</f>
        <v>214137</v>
      </c>
      <c r="K30" s="107" t="n">
        <f aca="false">K24+K27</f>
        <v>210352</v>
      </c>
      <c r="L30" s="107" t="n">
        <f aca="false">L24+L27</f>
        <v>220960</v>
      </c>
      <c r="M30" s="107" t="n">
        <f aca="false">M24+M27</f>
        <v>233183.051018623</v>
      </c>
      <c r="N30" s="107" t="n">
        <f aca="false">N24+N27</f>
        <v>240831.455092034</v>
      </c>
      <c r="O30" s="107" t="n">
        <f aca="false">O24+O27</f>
        <v>248730.726819053</v>
      </c>
      <c r="P30" s="107" t="n">
        <f aca="false">P24+P27</f>
        <v>256073.257874751</v>
      </c>
      <c r="Q30" s="107" t="n">
        <f aca="false">Q24+Q27</f>
        <v>262792.620161385</v>
      </c>
    </row>
    <row r="31" customFormat="false" ht="15" hidden="false" customHeight="false" outlineLevel="0" collapsed="false">
      <c r="I31" s="42"/>
    </row>
    <row r="32" customFormat="false" ht="15" hidden="false" customHeight="false" outlineLevel="0" collapsed="false">
      <c r="B32" s="81" t="s">
        <v>122</v>
      </c>
      <c r="C32" s="53"/>
      <c r="D32" s="53"/>
      <c r="E32" s="53"/>
      <c r="F32" s="53"/>
      <c r="G32" s="53"/>
      <c r="H32" s="119" t="n">
        <f aca="false">H20-H30</f>
        <v>152836</v>
      </c>
      <c r="I32" s="83" t="n">
        <f aca="false">I20-I30</f>
        <v>170782</v>
      </c>
      <c r="J32" s="119" t="n">
        <f aca="false">J20-J30</f>
        <v>169148</v>
      </c>
      <c r="K32" s="119" t="n">
        <f aca="false">K20-K30</f>
        <v>180683</v>
      </c>
      <c r="L32" s="119" t="n">
        <f aca="false">L20-L30</f>
        <v>195201</v>
      </c>
      <c r="M32" s="119" t="n">
        <f aca="false">M20-M30</f>
        <v>196628.029781377</v>
      </c>
      <c r="N32" s="119" t="n">
        <f aca="false">N20-N30</f>
        <v>203077.429158206</v>
      </c>
      <c r="O32" s="119" t="n">
        <f aca="false">O20-O30</f>
        <v>209738.368834595</v>
      </c>
      <c r="P32" s="119" t="n">
        <f aca="false">P20-P30</f>
        <v>215929.845482592</v>
      </c>
      <c r="Q32" s="119" t="n">
        <f aca="false">Q20-Q30</f>
        <v>221595.844628055</v>
      </c>
      <c r="S32" s="110" t="n">
        <f aca="false">IFERROR((I32/H32)^(1/(COLUMNS(H32:I32)-1))-1,"")</f>
        <v>0.117419979585961</v>
      </c>
      <c r="T32" s="110" t="n">
        <f aca="false">IFERROR((Q32/J32)^(1/(COLUMNS(J32:Q32)-1))-1,"")</f>
        <v>0.0393370093006973</v>
      </c>
    </row>
    <row r="33" customFormat="false" ht="15" hidden="false" customHeight="false" outlineLevel="0" collapsed="false">
      <c r="B33" s="111" t="s">
        <v>123</v>
      </c>
      <c r="H33" s="113" t="n">
        <f aca="false">IFERROR(H32/H20,0)</f>
        <v>0.417793596251678</v>
      </c>
      <c r="I33" s="112" t="n">
        <f aca="false">IFERROR(I32/I20,0)</f>
        <v>0.433096305613601</v>
      </c>
      <c r="J33" s="113" t="n">
        <f aca="false">IFERROR(J32/J20,0)</f>
        <v>0.441311295772076</v>
      </c>
      <c r="K33" s="113" t="n">
        <f aca="false">IFERROR(K32/K20,0)</f>
        <v>0.462063498152339</v>
      </c>
      <c r="L33" s="113" t="n">
        <f aca="false">IFERROR(L32/L20,0)</f>
        <v>0.469051641071605</v>
      </c>
      <c r="M33" s="113" t="n">
        <f aca="false">IFERROR(M32/M20,0)</f>
        <v>0.457475478332007</v>
      </c>
      <c r="N33" s="113" t="n">
        <f aca="false">IFERROR(N32/N20,0)</f>
        <v>0.457475478332007</v>
      </c>
      <c r="O33" s="113" t="n">
        <f aca="false">IFERROR(O32/O20,0)</f>
        <v>0.457475478332007</v>
      </c>
      <c r="P33" s="113" t="n">
        <f aca="false">IFERROR(P32/P20,0)</f>
        <v>0.457475478332007</v>
      </c>
      <c r="Q33" s="113" t="n">
        <f aca="false">IFERROR(Q32/Q20,0)</f>
        <v>0.457475478332007</v>
      </c>
    </row>
    <row r="34" customFormat="false" ht="15" hidden="false" customHeight="false" outlineLevel="0" collapsed="false">
      <c r="I34" s="42"/>
    </row>
    <row r="35" customFormat="false" ht="15" hidden="false" customHeight="false" outlineLevel="0" collapsed="false">
      <c r="B35" s="28" t="s">
        <v>124</v>
      </c>
      <c r="I35" s="42"/>
    </row>
    <row r="36" customFormat="false" ht="15" hidden="false" customHeight="false" outlineLevel="0" collapsed="false">
      <c r="B36" s="0" t="s">
        <v>125</v>
      </c>
      <c r="H36" s="45" t="n">
        <f aca="false">'Data Given (Recalculated)'!G24</f>
        <v>21914</v>
      </c>
      <c r="I36" s="46" t="n">
        <f aca="false">'Data Given (Recalculated)'!H24</f>
        <v>26251</v>
      </c>
      <c r="J36" s="45" t="n">
        <f aca="false">'Data Given (Recalculated)'!I24</f>
        <v>29915</v>
      </c>
      <c r="K36" s="45" t="n">
        <f aca="false">'Data Given (Recalculated)'!J24</f>
        <v>31370</v>
      </c>
      <c r="L36" s="45" t="n">
        <f aca="false">'Data Given (Recalculated)'!K24</f>
        <v>34550</v>
      </c>
      <c r="M36" s="45" t="n">
        <f aca="false">M20*M37</f>
        <v>35683.24</v>
      </c>
      <c r="N36" s="45" t="n">
        <f aca="false">N20*N37</f>
        <v>36853.650272</v>
      </c>
      <c r="O36" s="45" t="n">
        <f aca="false">O20*O37</f>
        <v>38062.4500009216</v>
      </c>
      <c r="P36" s="45" t="n">
        <f aca="false">P20*P37</f>
        <v>39186.0535249488</v>
      </c>
      <c r="Q36" s="45" t="n">
        <f aca="false">Q20*Q37</f>
        <v>40214.2955694435</v>
      </c>
      <c r="S36" s="110" t="n">
        <f aca="false">IFERROR((I36/H36)^(1/(COLUMNS(H36:I36)-1))-1,"")</f>
        <v>0.197910011864561</v>
      </c>
      <c r="T36" s="110" t="n">
        <f aca="false">IFERROR((Q36/J36)^(1/(COLUMNS(J36:Q36)-1))-1,"")</f>
        <v>0.043172002589124</v>
      </c>
    </row>
    <row r="37" customFormat="false" ht="15" hidden="false" customHeight="false" outlineLevel="0" collapsed="false">
      <c r="B37" s="111" t="s">
        <v>119</v>
      </c>
      <c r="H37" s="120" t="n">
        <f aca="false">IFERROR(H36/H20,0)</f>
        <v>0.0599042690744279</v>
      </c>
      <c r="I37" s="121" t="n">
        <f aca="false">IFERROR(I36/I20,0)</f>
        <v>0.0665714836379867</v>
      </c>
      <c r="J37" s="120" t="n">
        <f aca="false">IFERROR(J36/J20,0)</f>
        <v>0.0780489713920451</v>
      </c>
      <c r="K37" s="120" t="n">
        <f aca="false">IFERROR(K36/K20,0)</f>
        <v>0.0802229979413607</v>
      </c>
      <c r="L37" s="120" t="n">
        <f aca="false">IFERROR(L36/L20,0)</f>
        <v>0.0830207539870387</v>
      </c>
      <c r="M37" s="120" t="n">
        <f aca="false">L37</f>
        <v>0.0830207539870387</v>
      </c>
      <c r="N37" s="120" t="n">
        <f aca="false">M37</f>
        <v>0.0830207539870387</v>
      </c>
      <c r="O37" s="120" t="n">
        <f aca="false">N37</f>
        <v>0.0830207539870387</v>
      </c>
      <c r="P37" s="120" t="n">
        <f aca="false">O37</f>
        <v>0.0830207539870387</v>
      </c>
      <c r="Q37" s="120" t="n">
        <f aca="false">P37</f>
        <v>0.0830207539870387</v>
      </c>
    </row>
    <row r="38" customFormat="false" ht="15" hidden="false" customHeight="false" outlineLevel="0" collapsed="false">
      <c r="I38" s="42"/>
    </row>
    <row r="39" customFormat="false" ht="15" hidden="false" customHeight="false" outlineLevel="0" collapsed="false">
      <c r="B39" s="0" t="s">
        <v>126</v>
      </c>
      <c r="H39" s="45" t="n">
        <f aca="false">'Data Given (Recalculated)'!G25</f>
        <v>21973</v>
      </c>
      <c r="I39" s="46" t="n">
        <f aca="false">'Data Given (Recalculated)'!H25</f>
        <v>25094</v>
      </c>
      <c r="J39" s="45" t="n">
        <f aca="false">'Data Given (Recalculated)'!I25</f>
        <v>24932</v>
      </c>
      <c r="K39" s="45" t="n">
        <f aca="false">'Data Given (Recalculated)'!J25</f>
        <v>26097</v>
      </c>
      <c r="L39" s="45" t="n">
        <f aca="false">'Data Given (Recalculated)'!K25</f>
        <v>27601</v>
      </c>
      <c r="M39" s="45" t="n">
        <f aca="false">M20*M40</f>
        <v>28506.3128</v>
      </c>
      <c r="N39" s="45" t="n">
        <f aca="false">N20*N40</f>
        <v>29441.31985984</v>
      </c>
      <c r="O39" s="45" t="n">
        <f aca="false">O20*O40</f>
        <v>30406.9951512428</v>
      </c>
      <c r="P39" s="45" t="n">
        <f aca="false">P20*P40</f>
        <v>31304.6096481074</v>
      </c>
      <c r="Q39" s="45" t="n">
        <f aca="false">Q20*Q40</f>
        <v>32126.0426052738</v>
      </c>
      <c r="S39" s="110" t="n">
        <f aca="false">IFERROR((I39/H39)^(1/(COLUMNS(H39:I39)-1))-1,"")</f>
        <v>0.142037955672871</v>
      </c>
      <c r="T39" s="110" t="n">
        <f aca="false">IFERROR((Q39/J39)^(1/(COLUMNS(J39:Q39)-1))-1,"")</f>
        <v>0.0368802147008587</v>
      </c>
    </row>
    <row r="40" customFormat="false" ht="15" hidden="false" customHeight="false" outlineLevel="0" collapsed="false">
      <c r="B40" s="111" t="s">
        <v>119</v>
      </c>
      <c r="H40" s="120" t="n">
        <f aca="false">IFERROR(H39/H20,0)</f>
        <v>0.0600655519016339</v>
      </c>
      <c r="I40" s="121" t="n">
        <f aca="false">IFERROR(I39/I20,0)</f>
        <v>0.0636373780203283</v>
      </c>
      <c r="J40" s="120" t="n">
        <f aca="false">IFERROR(J39/J20,0)</f>
        <v>0.0650482017297833</v>
      </c>
      <c r="K40" s="120" t="n">
        <f aca="false">IFERROR(K39/K20,0)</f>
        <v>0.0667382715102229</v>
      </c>
      <c r="L40" s="120" t="n">
        <f aca="false">IFERROR(L39/L20,0)</f>
        <v>0.066322889458647</v>
      </c>
      <c r="M40" s="120" t="n">
        <f aca="false">L40</f>
        <v>0.066322889458647</v>
      </c>
      <c r="N40" s="120" t="n">
        <f aca="false">M40</f>
        <v>0.066322889458647</v>
      </c>
      <c r="O40" s="120" t="n">
        <f aca="false">N40</f>
        <v>0.066322889458647</v>
      </c>
      <c r="P40" s="120" t="n">
        <f aca="false">O40</f>
        <v>0.066322889458647</v>
      </c>
      <c r="Q40" s="120" t="n">
        <f aca="false">P40</f>
        <v>0.066322889458647</v>
      </c>
    </row>
    <row r="41" customFormat="false" ht="15" hidden="false" customHeight="false" outlineLevel="0" collapsed="false">
      <c r="B41" s="122"/>
      <c r="I41" s="42"/>
    </row>
    <row r="42" customFormat="false" ht="15" hidden="false" customHeight="false" outlineLevel="0" collapsed="false">
      <c r="B42" s="0" t="s">
        <v>127</v>
      </c>
      <c r="H42" s="45" t="n">
        <f aca="false">'Data Given (Recalculated)'!G26</f>
        <v>11284</v>
      </c>
      <c r="I42" s="46" t="n">
        <f aca="false">'Data Given (Recalculated)'!H26</f>
        <v>11104</v>
      </c>
      <c r="J42" s="45" t="n">
        <f aca="false">'Data Given (Recalculated)'!I26</f>
        <v>11519</v>
      </c>
      <c r="K42" s="45" t="n">
        <f aca="false">'Data Given (Recalculated)'!J26</f>
        <v>11445</v>
      </c>
      <c r="L42" s="45" t="n">
        <f aca="false">'Data Given (Recalculated)'!K26</f>
        <v>11698</v>
      </c>
      <c r="M42" s="45" t="n">
        <f aca="false">M20*$F$13</f>
        <v>12526.2920466733</v>
      </c>
      <c r="N42" s="45" t="n">
        <f aca="false">N20*$F$13</f>
        <v>12937.1544258042</v>
      </c>
      <c r="O42" s="45" t="n">
        <f aca="false">O20*$F$13</f>
        <v>13361.4930909706</v>
      </c>
      <c r="P42" s="45" t="n">
        <f aca="false">P20*$F$13</f>
        <v>13755.9243670161</v>
      </c>
      <c r="Q42" s="45" t="n">
        <f aca="false">Q20*$F$13</f>
        <v>14116.8798224066</v>
      </c>
      <c r="S42" s="110" t="n">
        <f aca="false">IFERROR((I42/H42)^(1/(COLUMNS(H42:I42)-1))-1,"")</f>
        <v>-0.0159517901453385</v>
      </c>
      <c r="T42" s="110" t="n">
        <f aca="false">IFERROR((Q42/J42)^(1/(COLUMNS(J42:Q42)-1))-1,"")</f>
        <v>0.0294795063227769</v>
      </c>
    </row>
    <row r="43" customFormat="false" ht="15" hidden="false" customHeight="false" outlineLevel="0" collapsed="false">
      <c r="B43" s="111" t="s">
        <v>119</v>
      </c>
      <c r="H43" s="120" t="n">
        <f aca="false">IFERROR(H42/H20,0)</f>
        <v>0.0308460241049487</v>
      </c>
      <c r="I43" s="121" t="n">
        <f aca="false">IFERROR(I42/I20,0)</f>
        <v>0.0281592988578037</v>
      </c>
      <c r="J43" s="120" t="n">
        <f aca="false">IFERROR(J42/J20,0)</f>
        <v>0.0300533545534002</v>
      </c>
      <c r="K43" s="120" t="n">
        <f aca="false">IFERROR(K42/K20,0)</f>
        <v>0.0292684798035981</v>
      </c>
      <c r="L43" s="120" t="n">
        <f aca="false">IFERROR(L42/L20,0)</f>
        <v>0.0281093134628185</v>
      </c>
      <c r="M43" s="120" t="n">
        <f aca="false">L43</f>
        <v>0.0281093134628185</v>
      </c>
      <c r="N43" s="120" t="n">
        <f aca="false">M43</f>
        <v>0.0281093134628185</v>
      </c>
      <c r="O43" s="120" t="n">
        <f aca="false">N43</f>
        <v>0.0281093134628185</v>
      </c>
      <c r="P43" s="120" t="n">
        <f aca="false">O43</f>
        <v>0.0281093134628185</v>
      </c>
      <c r="Q43" s="120" t="n">
        <f aca="false">P43</f>
        <v>0.0281093134628185</v>
      </c>
    </row>
    <row r="44" customFormat="false" ht="15" hidden="false" customHeight="false" outlineLevel="0" collapsed="false">
      <c r="I44" s="42"/>
    </row>
    <row r="45" customFormat="false" ht="15" hidden="false" customHeight="false" outlineLevel="0" collapsed="false">
      <c r="B45" s="0" t="s">
        <v>128</v>
      </c>
      <c r="H45" s="45" t="n">
        <f aca="false">'Data Given (Recalculated)'!G27</f>
        <v>0</v>
      </c>
      <c r="I45" s="46" t="n">
        <f aca="false">'Data Given (Recalculated)'!H27</f>
        <v>0</v>
      </c>
      <c r="J45" s="45" t="n">
        <f aca="false">'Data Given (Recalculated)'!I27</f>
        <v>0</v>
      </c>
      <c r="K45" s="45" t="n">
        <f aca="false">'Data Given (Recalculated)'!J27</f>
        <v>0</v>
      </c>
      <c r="L45" s="45" t="n">
        <f aca="false">'Data Given (Recalculated)'!K27</f>
        <v>0</v>
      </c>
      <c r="M45" s="45" t="n">
        <f aca="false">M32-M36-M39-M20*M53</f>
        <v>-4227.70194172242</v>
      </c>
      <c r="N45" s="45" t="n">
        <f aca="false">N32-N36-N39-N20*N53</f>
        <v>-3593.97964518773</v>
      </c>
      <c r="O45" s="45" t="n">
        <f aca="false">O32-O36-O39-O20*O53</f>
        <v>-2914.13683514335</v>
      </c>
      <c r="P45" s="45" t="n">
        <f aca="false">P32-P36-P39-P20*P53</f>
        <v>-2178.88796000244</v>
      </c>
      <c r="Q45" s="45" t="n">
        <f aca="false">Q32-Q36-Q39-Q20*Q53</f>
        <v>-1393.23755069447</v>
      </c>
      <c r="S45" s="110" t="str">
        <f aca="false">IFERROR((I45/H45)^(1/(COLUMNS(H45:I45)-1))-1,"")</f>
        <v/>
      </c>
      <c r="T45" s="110" t="str">
        <f aca="false">IFERROR((Q45/J45)^(1/(COLUMNS(J45:Q45)-1))-1,"")</f>
        <v/>
      </c>
    </row>
    <row r="46" customFormat="false" ht="15" hidden="false" customHeight="false" outlineLevel="0" collapsed="false">
      <c r="B46" s="111" t="s">
        <v>119</v>
      </c>
      <c r="H46" s="120" t="n">
        <f aca="false">IFERROR(H45/H20,0)</f>
        <v>0</v>
      </c>
      <c r="I46" s="121" t="n">
        <f aca="false">IFERROR(I45/I20,0)</f>
        <v>0</v>
      </c>
      <c r="J46" s="120" t="n">
        <f aca="false">IFERROR(J45/J20,0)</f>
        <v>0</v>
      </c>
      <c r="K46" s="120" t="n">
        <f aca="false">IFERROR(K45/K20,0)</f>
        <v>0</v>
      </c>
      <c r="L46" s="120" t="n">
        <f aca="false">IFERROR(L45/L20,0)</f>
        <v>0</v>
      </c>
      <c r="M46" s="120" t="n">
        <f aca="false">IFERROR(M45/M20,0)</f>
        <v>-0.0098361864795423</v>
      </c>
      <c r="N46" s="120" t="n">
        <f aca="false">IFERROR(N45/N20,0)</f>
        <v>-0.0080962102194867</v>
      </c>
      <c r="O46" s="120" t="n">
        <f aca="false">IFERROR(O45/O20,0)</f>
        <v>-0.00635623395943103</v>
      </c>
      <c r="P46" s="120" t="n">
        <f aca="false">IFERROR(P45/P20,0)</f>
        <v>-0.00461625769937544</v>
      </c>
      <c r="Q46" s="120" t="n">
        <f aca="false">IFERROR(Q45/Q20,0)</f>
        <v>-0.00287628143931977</v>
      </c>
    </row>
    <row r="47" customFormat="false" ht="15" hidden="false" customHeight="false" outlineLevel="0" collapsed="false">
      <c r="B47" s="111"/>
      <c r="I47" s="42"/>
    </row>
    <row r="48" customFormat="false" ht="15" hidden="false" customHeight="false" outlineLevel="0" collapsed="false">
      <c r="B48" s="81" t="s">
        <v>129</v>
      </c>
      <c r="C48" s="53"/>
      <c r="D48" s="53"/>
      <c r="E48" s="53"/>
      <c r="F48" s="53"/>
      <c r="G48" s="53"/>
      <c r="H48" s="119" t="n">
        <f aca="false">-(H36+H39+H45)</f>
        <v>-43887</v>
      </c>
      <c r="I48" s="83" t="n">
        <f aca="false">-(I36+I39+I45)</f>
        <v>-51345</v>
      </c>
      <c r="J48" s="119" t="n">
        <f aca="false">-(J36+J39+J45)</f>
        <v>-54847</v>
      </c>
      <c r="K48" s="119" t="n">
        <f aca="false">-(K36+K39+K45)</f>
        <v>-57467</v>
      </c>
      <c r="L48" s="119" t="n">
        <f aca="false">-(L36+L39+L45)</f>
        <v>-62151</v>
      </c>
      <c r="M48" s="119" t="n">
        <f aca="false">-(M36+M39+M45)</f>
        <v>-59961.8508582776</v>
      </c>
      <c r="N48" s="119" t="n">
        <f aca="false">-(N36+N39+N45)</f>
        <v>-62700.9904866523</v>
      </c>
      <c r="O48" s="119" t="n">
        <f aca="false">-(O36+O39+O45)</f>
        <v>-65555.308317021</v>
      </c>
      <c r="P48" s="119" t="n">
        <f aca="false">-(P36+P39+P45)</f>
        <v>-68311.7752130538</v>
      </c>
      <c r="Q48" s="119" t="n">
        <f aca="false">-(Q36+Q39+Q45)</f>
        <v>-70947.1006240228</v>
      </c>
      <c r="S48" s="110" t="n">
        <f aca="false">IFERROR((I48/H48)^(1/(COLUMNS(H48:I48)-1))-1,"")</f>
        <v>0.169936427643721</v>
      </c>
      <c r="T48" s="110" t="n">
        <f aca="false">IFERROR((Q48/J48)^(1/(COLUMNS(J48:Q48)-1))-1,"")</f>
        <v>0.0374539412467596</v>
      </c>
    </row>
    <row r="49" customFormat="false" ht="15" hidden="false" customHeight="false" outlineLevel="0" collapsed="false">
      <c r="B49" s="111" t="s">
        <v>119</v>
      </c>
      <c r="H49" s="123" t="n">
        <f aca="false">IFERROR(-H48/H20,0)</f>
        <v>0.119969820976062</v>
      </c>
      <c r="I49" s="124" t="n">
        <f aca="false">IFERROR(-I48/I20,0)</f>
        <v>0.130208861658315</v>
      </c>
      <c r="J49" s="123" t="n">
        <f aca="false">IFERROR(-J48/J20,0)</f>
        <v>0.143097173121828</v>
      </c>
      <c r="K49" s="123" t="n">
        <f aca="false">IFERROR(-K48/K20,0)</f>
        <v>0.146961269451584</v>
      </c>
      <c r="L49" s="123" t="n">
        <f aca="false">IFERROR(-L48/L20,0)</f>
        <v>0.149343643445686</v>
      </c>
      <c r="M49" s="123" t="n">
        <f aca="false">IFERROR(-M48/M20,0)</f>
        <v>0.139507456966143</v>
      </c>
      <c r="N49" s="123" t="n">
        <f aca="false">IFERROR(-N48/N20,0)</f>
        <v>0.141247433226199</v>
      </c>
      <c r="O49" s="123" t="n">
        <f aca="false">IFERROR(-O48/O20,0)</f>
        <v>0.142987409486255</v>
      </c>
      <c r="P49" s="123" t="n">
        <f aca="false">IFERROR(-P48/P20,0)</f>
        <v>0.14472738574631</v>
      </c>
      <c r="Q49" s="123" t="n">
        <f aca="false">IFERROR(-Q48/Q20,0)</f>
        <v>0.146467362006366</v>
      </c>
    </row>
    <row r="50" customFormat="false" ht="15" hidden="false" customHeight="false" outlineLevel="0" collapsed="false">
      <c r="I50" s="42"/>
    </row>
    <row r="51" customFormat="false" ht="15" hidden="false" customHeight="false" outlineLevel="0" collapsed="false">
      <c r="B51" s="0" t="s">
        <v>45</v>
      </c>
      <c r="H51" s="43" t="n">
        <f aca="false">H32+H48</f>
        <v>108949</v>
      </c>
      <c r="I51" s="44" t="n">
        <f aca="false">I32+I48</f>
        <v>119437</v>
      </c>
      <c r="J51" s="43" t="n">
        <f aca="false">J32+J48</f>
        <v>114301</v>
      </c>
      <c r="K51" s="43" t="n">
        <f aca="false">K32+K48</f>
        <v>123216</v>
      </c>
      <c r="L51" s="43" t="n">
        <f aca="false">L32+L48</f>
        <v>133050</v>
      </c>
      <c r="M51" s="43" t="n">
        <f aca="false">M32+M48</f>
        <v>136666.178923099</v>
      </c>
      <c r="N51" s="43" t="n">
        <f aca="false">N32+N48</f>
        <v>140376.438671554</v>
      </c>
      <c r="O51" s="43" t="n">
        <f aca="false">O32+O48</f>
        <v>144183.060517574</v>
      </c>
      <c r="P51" s="43" t="n">
        <f aca="false">P32+P48</f>
        <v>147618.070269538</v>
      </c>
      <c r="Q51" s="43" t="n">
        <f aca="false">Q32+Q48</f>
        <v>150648.744004033</v>
      </c>
      <c r="S51" s="110" t="n">
        <f aca="false">IFERROR((I51/H51)^(1/(COLUMNS(H51:I51)-1))-1,"")</f>
        <v>0.0962652250135385</v>
      </c>
      <c r="T51" s="110" t="n">
        <f aca="false">IFERROR((Q51/J51)^(1/(COLUMNS(J51:Q51)-1))-1,"")</f>
        <v>0.0402333749357566</v>
      </c>
    </row>
    <row r="52" customFormat="false" ht="15" hidden="false" customHeight="false" outlineLevel="0" collapsed="false">
      <c r="B52" s="111" t="s">
        <v>123</v>
      </c>
      <c r="H52" s="113" t="n">
        <f aca="false">IFERROR(H51/H20,0)</f>
        <v>0.297823775275616</v>
      </c>
      <c r="I52" s="112" t="n">
        <f aca="false">IFERROR(I51/I20,0)</f>
        <v>0.302887443955286</v>
      </c>
      <c r="J52" s="113" t="n">
        <f aca="false">IFERROR(J51/J20,0)</f>
        <v>0.298214122650247</v>
      </c>
      <c r="K52" s="113" t="n">
        <f aca="false">IFERROR(K51/K20,0)</f>
        <v>0.315102228700756</v>
      </c>
      <c r="L52" s="113" t="n">
        <f aca="false">IFERROR(L51/L20,0)</f>
        <v>0.319707997625919</v>
      </c>
      <c r="M52" s="113" t="n">
        <f aca="false">IFERROR(M51/M20,0)</f>
        <v>0.317968021365863</v>
      </c>
      <c r="N52" s="113" t="n">
        <f aca="false">IFERROR(N51/N20,0)</f>
        <v>0.316228045105808</v>
      </c>
      <c r="O52" s="113" t="n">
        <f aca="false">IFERROR(O51/O20,0)</f>
        <v>0.314488068845752</v>
      </c>
      <c r="P52" s="113" t="n">
        <f aca="false">IFERROR(P51/P20,0)</f>
        <v>0.312748092585696</v>
      </c>
      <c r="Q52" s="113" t="n">
        <f aca="false">IFERROR(Q51/Q20,0)</f>
        <v>0.311008116325641</v>
      </c>
    </row>
    <row r="53" customFormat="false" ht="15" hidden="false" customHeight="false" outlineLevel="0" collapsed="false">
      <c r="B53" s="28" t="s">
        <v>130</v>
      </c>
      <c r="I53" s="42"/>
      <c r="M53" s="113" t="n">
        <f aca="false">IF(M$83&lt;$I$13,$F$15+($F$17-$F$15)*M$83/$I$13,$F$17)</f>
        <v>0.317968021365863</v>
      </c>
      <c r="N53" s="113" t="n">
        <f aca="false">IF(N$83&lt;$I$13,$F$15+($F$17-$F$15)*N$83/$I$13,$F$17)</f>
        <v>0.316228045105808</v>
      </c>
      <c r="O53" s="113" t="n">
        <f aca="false">IF(O$83&lt;$I$13,$F$15+($F$17-$F$15)*O$83/$I$13,$F$17)</f>
        <v>0.314488068845752</v>
      </c>
      <c r="P53" s="113" t="n">
        <f aca="false">IF(P$83&lt;$I$13,$F$15+($F$17-$F$15)*P$83/$I$13,$F$17)</f>
        <v>0.312748092585696</v>
      </c>
      <c r="Q53" s="113" t="n">
        <f aca="false">IF(Q$83&lt;$I$13,$F$15+($F$17-$F$15)*Q$83/$I$13,$F$17)</f>
        <v>0.311008116325641</v>
      </c>
    </row>
    <row r="54" customFormat="false" ht="15" hidden="false" customHeight="false" outlineLevel="0" collapsed="false">
      <c r="B54" s="105" t="s">
        <v>47</v>
      </c>
      <c r="C54" s="106"/>
      <c r="D54" s="106"/>
      <c r="E54" s="106"/>
      <c r="F54" s="106"/>
      <c r="G54" s="107"/>
      <c r="H54" s="107" t="n">
        <f aca="false">H51+H68</f>
        <v>120233</v>
      </c>
      <c r="I54" s="118" t="n">
        <f aca="false">I51+I68</f>
        <v>130541</v>
      </c>
      <c r="J54" s="107" t="n">
        <f aca="false">J51+J68</f>
        <v>125820</v>
      </c>
      <c r="K54" s="107" t="n">
        <f aca="false">K51+K68</f>
        <v>134661</v>
      </c>
      <c r="L54" s="107" t="n">
        <f aca="false">L51+L68</f>
        <v>144748</v>
      </c>
      <c r="M54" s="107" t="n">
        <f aca="false">M51+M68</f>
        <v>149192.470969772</v>
      </c>
      <c r="N54" s="107" t="n">
        <f aca="false">N51+N68</f>
        <v>153313.593097358</v>
      </c>
      <c r="O54" s="107" t="n">
        <f aca="false">O51+O68</f>
        <v>157544.553608545</v>
      </c>
      <c r="P54" s="107" t="n">
        <f aca="false">P51+P68</f>
        <v>161373.994636555</v>
      </c>
      <c r="Q54" s="107" t="n">
        <f aca="false">Q51+Q68</f>
        <v>164765.623826439</v>
      </c>
      <c r="S54" s="110" t="n">
        <f aca="false">IFERROR((I54/H54)^(1/(COLUMNS(H54:I54)-1))-1,"")</f>
        <v>0.0857335340547105</v>
      </c>
      <c r="T54" s="110" t="n">
        <f aca="false">IFERROR((Q54/J54)^(1/(COLUMNS(J54:Q54)-1))-1,"")</f>
        <v>0.0392762182675905</v>
      </c>
    </row>
    <row r="55" customFormat="false" ht="15" hidden="false" customHeight="false" outlineLevel="0" collapsed="false">
      <c r="B55" s="111" t="s">
        <v>123</v>
      </c>
      <c r="G55" s="125"/>
      <c r="H55" s="113" t="n">
        <f aca="false">IFERROR(H54/H20,0)</f>
        <v>0.328669799380565</v>
      </c>
      <c r="I55" s="112" t="n">
        <f aca="false">IFERROR(I54/I20,0)</f>
        <v>0.33104674281309</v>
      </c>
      <c r="J55" s="113" t="n">
        <f aca="false">IFERROR(J54/J20,0)</f>
        <v>0.328267477203647</v>
      </c>
      <c r="K55" s="113" t="n">
        <f aca="false">IFERROR(K54/K20,0)</f>
        <v>0.344370708504354</v>
      </c>
      <c r="L55" s="113" t="n">
        <f aca="false">IFERROR(L54/L20,0)</f>
        <v>0.347817311088737</v>
      </c>
      <c r="M55" s="113" t="n">
        <f aca="false">IFERROR(M54/M20,0)</f>
        <v>0.347111737305802</v>
      </c>
      <c r="N55" s="113" t="n">
        <f aca="false">IFERROR(N54/N20,0)</f>
        <v>0.345371761045747</v>
      </c>
      <c r="O55" s="113" t="n">
        <f aca="false">IFERROR(O54/O20,0)</f>
        <v>0.343631784785691</v>
      </c>
      <c r="P55" s="113" t="n">
        <f aca="false">IFERROR(P54/P20,0)</f>
        <v>0.341891808525635</v>
      </c>
      <c r="Q55" s="113" t="n">
        <f aca="false">IFERROR(Q54/Q20,0)</f>
        <v>0.34015183226558</v>
      </c>
    </row>
    <row r="56" customFormat="false" ht="15" hidden="false" customHeight="false" outlineLevel="0" collapsed="false">
      <c r="B56" s="122"/>
      <c r="H56" s="126"/>
      <c r="I56" s="127"/>
      <c r="J56" s="126"/>
      <c r="K56" s="126"/>
      <c r="L56" s="126"/>
      <c r="M56" s="126"/>
      <c r="N56" s="126"/>
      <c r="O56" s="126"/>
      <c r="P56" s="126"/>
      <c r="Q56" s="126"/>
    </row>
    <row r="57" customFormat="false" ht="15" hidden="false" customHeight="false" outlineLevel="0" collapsed="false">
      <c r="B57" s="0" t="s">
        <v>131</v>
      </c>
      <c r="H57" s="43" t="n">
        <f aca="false">-H51*H58</f>
        <v>-17006.9414445976</v>
      </c>
      <c r="I57" s="44" t="n">
        <f aca="false">-I51*I58</f>
        <v>-18644.1184895539</v>
      </c>
      <c r="J57" s="43" t="n">
        <f aca="false">-J51*J58</f>
        <v>-17842.3887695982</v>
      </c>
      <c r="K57" s="43" t="n">
        <f aca="false">-K51*K58</f>
        <v>-19234.0204778157</v>
      </c>
      <c r="L57" s="43" t="n">
        <f aca="false">-L51*L58</f>
        <v>-20769.1081074972</v>
      </c>
      <c r="M57" s="43" t="n">
        <f aca="false">-M51*M58</f>
        <v>-21333.593721852</v>
      </c>
      <c r="N57" s="43" t="n">
        <f aca="false">-N51*N58</f>
        <v>-21912.765355242</v>
      </c>
      <c r="O57" s="43" t="n">
        <f aca="false">-O51*O58</f>
        <v>-22506.9791143127</v>
      </c>
      <c r="P57" s="43" t="n">
        <f aca="false">-P51*P58</f>
        <v>-23043.184216822</v>
      </c>
      <c r="Q57" s="43" t="n">
        <f aca="false">-Q51*Q58</f>
        <v>-23516.2724575605</v>
      </c>
      <c r="S57" s="120"/>
    </row>
    <row r="58" customFormat="false" ht="15" hidden="false" customHeight="false" outlineLevel="0" collapsed="false">
      <c r="B58" s="111" t="s">
        <v>132</v>
      </c>
      <c r="H58" s="123" t="n">
        <f aca="false">$F$11</f>
        <v>0.15610002335586</v>
      </c>
      <c r="I58" s="124" t="n">
        <f aca="false">$F$11</f>
        <v>0.15610002335586</v>
      </c>
      <c r="J58" s="123" t="n">
        <f aca="false">$F$11</f>
        <v>0.15610002335586</v>
      </c>
      <c r="K58" s="123" t="n">
        <f aca="false">$F$11</f>
        <v>0.15610002335586</v>
      </c>
      <c r="L58" s="123" t="n">
        <f aca="false">$F$11</f>
        <v>0.15610002335586</v>
      </c>
      <c r="M58" s="123" t="n">
        <f aca="false">$F$11</f>
        <v>0.15610002335586</v>
      </c>
      <c r="N58" s="123" t="n">
        <f aca="false">$F$11</f>
        <v>0.15610002335586</v>
      </c>
      <c r="O58" s="123" t="n">
        <f aca="false">$F$11</f>
        <v>0.15610002335586</v>
      </c>
      <c r="P58" s="123" t="n">
        <f aca="false">$F$11</f>
        <v>0.15610002335586</v>
      </c>
      <c r="Q58" s="123" t="n">
        <f aca="false">$F$11</f>
        <v>0.15610002335586</v>
      </c>
    </row>
    <row r="59" customFormat="false" ht="15" hidden="false" customHeight="false" outlineLevel="0" collapsed="false">
      <c r="I59" s="42"/>
    </row>
    <row r="60" customFormat="false" ht="15" hidden="false" customHeight="false" outlineLevel="0" collapsed="false">
      <c r="B60" s="105" t="s">
        <v>48</v>
      </c>
      <c r="C60" s="106"/>
      <c r="D60" s="106"/>
      <c r="E60" s="106"/>
      <c r="F60" s="106"/>
      <c r="G60" s="107"/>
      <c r="H60" s="107" t="n">
        <f aca="false">H51+H57</f>
        <v>91942.0585554024</v>
      </c>
      <c r="I60" s="118" t="n">
        <f aca="false">I51+I57</f>
        <v>100792.881510446</v>
      </c>
      <c r="J60" s="107" t="n">
        <f aca="false">J51+J57</f>
        <v>96458.6112304018</v>
      </c>
      <c r="K60" s="107" t="n">
        <f aca="false">K51+K57</f>
        <v>103981.979522184</v>
      </c>
      <c r="L60" s="107" t="n">
        <f aca="false">L51+L57</f>
        <v>112280.891892503</v>
      </c>
      <c r="M60" s="107" t="n">
        <f aca="false">M51+M57</f>
        <v>115332.585201247</v>
      </c>
      <c r="N60" s="107" t="n">
        <f aca="false">N51+N57</f>
        <v>118463.673316312</v>
      </c>
      <c r="O60" s="107" t="n">
        <f aca="false">O51+O57</f>
        <v>121676.081403261</v>
      </c>
      <c r="P60" s="107" t="n">
        <f aca="false">P51+P57</f>
        <v>124574.886052716</v>
      </c>
      <c r="Q60" s="107" t="n">
        <f aca="false">Q51+Q57</f>
        <v>127132.471546472</v>
      </c>
      <c r="S60" s="110" t="n">
        <f aca="false">IFERROR((I60/H60)^(1/(COLUMNS(H60:I60)-1))-1,"")</f>
        <v>0.0962652250135387</v>
      </c>
      <c r="T60" s="110" t="n">
        <f aca="false">IFERROR((Q60/J60)^(1/(COLUMNS(J60:Q60)-1))-1,"")</f>
        <v>0.0402333749357566</v>
      </c>
    </row>
    <row r="61" customFormat="false" ht="15" hidden="false" customHeight="false" outlineLevel="0" collapsed="false">
      <c r="B61" s="111" t="s">
        <v>133</v>
      </c>
      <c r="H61" s="113" t="n">
        <f aca="false">IFERROR(H60/H20,0)</f>
        <v>0.251333476999162</v>
      </c>
      <c r="I61" s="112" t="n">
        <f aca="false">IFERROR(I60/I20,0)</f>
        <v>0.255606706879669</v>
      </c>
      <c r="J61" s="113" t="n">
        <f aca="false">IFERROR(J60/J20,0)</f>
        <v>0.251662891139496</v>
      </c>
      <c r="K61" s="113" t="n">
        <f aca="false">IFERROR(K60/K20,0)</f>
        <v>0.265914763441084</v>
      </c>
      <c r="L61" s="113" t="n">
        <f aca="false">IFERROR(L60/L20,0)</f>
        <v>0.269801571729458</v>
      </c>
      <c r="M61" s="113" t="n">
        <f aca="false">IFERROR(M60/M20,0)</f>
        <v>0.268333205804235</v>
      </c>
      <c r="N61" s="113" t="n">
        <f aca="false">IFERROR(N60/N20,0)</f>
        <v>0.266864839879013</v>
      </c>
      <c r="O61" s="113" t="n">
        <f aca="false">IFERROR(O60/O20,0)</f>
        <v>0.265396473953791</v>
      </c>
      <c r="P61" s="113" t="n">
        <f aca="false">IFERROR(P60/P20,0)</f>
        <v>0.263928108028568</v>
      </c>
      <c r="Q61" s="113" t="n">
        <f aca="false">IFERROR(Q60/Q20,0)</f>
        <v>0.262459742103346</v>
      </c>
    </row>
    <row r="62" customFormat="false" ht="15" hidden="false" customHeight="false" outlineLevel="0" collapsed="false">
      <c r="I62" s="42"/>
    </row>
    <row r="63" customFormat="false" ht="15" hidden="false" customHeight="false" outlineLevel="0" collapsed="false">
      <c r="B63" s="87" t="s">
        <v>134</v>
      </c>
      <c r="C63" s="88"/>
      <c r="D63" s="88"/>
      <c r="E63" s="88"/>
      <c r="F63" s="88"/>
      <c r="G63" s="88"/>
      <c r="H63" s="101" t="s">
        <v>35</v>
      </c>
      <c r="I63" s="102" t="s">
        <v>36</v>
      </c>
      <c r="J63" s="103" t="s">
        <v>37</v>
      </c>
      <c r="K63" s="103" t="s">
        <v>38</v>
      </c>
      <c r="L63" s="103" t="s">
        <v>39</v>
      </c>
      <c r="M63" s="103" t="s">
        <v>40</v>
      </c>
      <c r="N63" s="103" t="s">
        <v>41</v>
      </c>
      <c r="O63" s="103" t="s">
        <v>42</v>
      </c>
      <c r="P63" s="103" t="s">
        <v>43</v>
      </c>
      <c r="Q63" s="103" t="s">
        <v>44</v>
      </c>
    </row>
    <row r="64" customFormat="false" ht="15" hidden="false" customHeight="false" outlineLevel="0" collapsed="false">
      <c r="B64" s="75"/>
      <c r="I64" s="42"/>
    </row>
    <row r="65" customFormat="false" ht="15" hidden="false" customHeight="false" outlineLevel="0" collapsed="false">
      <c r="B65" s="0" t="s">
        <v>135</v>
      </c>
      <c r="H65" s="43" t="n">
        <f aca="false">IF('Data Given (Recalculated)'!G35="","",-'Data Given (Recalculated)'!G35)</f>
        <v>-11085</v>
      </c>
      <c r="I65" s="44" t="n">
        <f aca="false">IF('Data Given (Recalculated)'!H35="","",-'Data Given (Recalculated)'!H35)</f>
        <v>-10708</v>
      </c>
      <c r="J65" s="43" t="n">
        <f aca="false">IF('Data Given (Recalculated)'!I35="","",-'Data Given (Recalculated)'!I35)</f>
        <v>-10959</v>
      </c>
      <c r="K65" s="43" t="n">
        <f aca="false">IF('Data Given (Recalculated)'!J35="","",-'Data Given (Recalculated)'!J35)</f>
        <v>-9447</v>
      </c>
      <c r="L65" s="43" t="n">
        <f aca="false">IF('Data Given (Recalculated)'!K35="","",-'Data Given (Recalculated)'!K35)</f>
        <v>-12715</v>
      </c>
      <c r="M65" s="43" t="n">
        <f aca="false">-M20*$F$9</f>
        <v>-11935.0431958497</v>
      </c>
      <c r="N65" s="43" t="n">
        <f aca="false">-N20*$F$9</f>
        <v>-12326.5126126736</v>
      </c>
      <c r="O65" s="43" t="n">
        <f aca="false">-O20*$F$9</f>
        <v>-12730.8222263693</v>
      </c>
      <c r="P65" s="43" t="n">
        <f aca="false">-P20*$F$9</f>
        <v>-13106.6360984917</v>
      </c>
      <c r="Q65" s="43" t="n">
        <f aca="false">-Q20*$F$9</f>
        <v>-13450.5542297161</v>
      </c>
    </row>
    <row r="66" customFormat="false" ht="15" hidden="false" customHeight="false" outlineLevel="0" collapsed="false">
      <c r="B66" s="111" t="s">
        <v>136</v>
      </c>
      <c r="H66" s="113" t="n">
        <f aca="false">IFERROR(-H65/H20,0)</f>
        <v>0.0303020362640337</v>
      </c>
      <c r="I66" s="112" t="n">
        <f aca="false">IFERROR(-I65/I20,0)</f>
        <v>0.0271550587328316</v>
      </c>
      <c r="J66" s="113" t="n">
        <f aca="false">IFERROR(-J65/J20,0)</f>
        <v>0.0285923007683578</v>
      </c>
      <c r="K66" s="113" t="n">
        <f aca="false">IFERROR(-K65/K20,0)</f>
        <v>0.0241589627526948</v>
      </c>
      <c r="L66" s="113" t="n">
        <f aca="false">IFERROR(-L65/L20,0)</f>
        <v>0.0305530792169377</v>
      </c>
      <c r="M66" s="113" t="n">
        <f aca="false">IFERROR(-M65/M20,0)</f>
        <v>0.0277681142459967</v>
      </c>
      <c r="N66" s="113" t="n">
        <f aca="false">IFERROR(-N65/N20,0)</f>
        <v>0.0277681142459967</v>
      </c>
      <c r="O66" s="113" t="n">
        <f aca="false">IFERROR(-O65/O20,0)</f>
        <v>0.0277681142459967</v>
      </c>
      <c r="P66" s="113" t="n">
        <f aca="false">IFERROR(-P65/P20,0)</f>
        <v>0.0277681142459967</v>
      </c>
      <c r="Q66" s="113" t="n">
        <f aca="false">IFERROR(-Q65/Q20,0)</f>
        <v>0.0277681142459967</v>
      </c>
    </row>
    <row r="67" customFormat="false" ht="15" hidden="false" customHeight="false" outlineLevel="0" collapsed="false">
      <c r="H67" s="113"/>
      <c r="I67" s="112"/>
      <c r="J67" s="113"/>
      <c r="K67" s="113"/>
      <c r="L67" s="113"/>
      <c r="M67" s="113"/>
      <c r="N67" s="113"/>
      <c r="O67" s="113"/>
      <c r="P67" s="113"/>
      <c r="Q67" s="113"/>
    </row>
    <row r="68" customFormat="false" ht="15" hidden="false" customHeight="false" outlineLevel="0" collapsed="false">
      <c r="B68" s="0" t="s">
        <v>137</v>
      </c>
      <c r="H68" s="43" t="n">
        <f aca="false">IF('Data Given (Recalculated)'!G36="","",'Data Given (Recalculated)'!G36)</f>
        <v>11284</v>
      </c>
      <c r="I68" s="44" t="n">
        <f aca="false">IF('Data Given (Recalculated)'!H36="","",'Data Given (Recalculated)'!H36)</f>
        <v>11104</v>
      </c>
      <c r="J68" s="43" t="n">
        <f aca="false">IF('Data Given (Recalculated)'!I36="","",'Data Given (Recalculated)'!I36)</f>
        <v>11519</v>
      </c>
      <c r="K68" s="43" t="n">
        <f aca="false">IF('Data Given (Recalculated)'!J36="","",'Data Given (Recalculated)'!J36)</f>
        <v>11445</v>
      </c>
      <c r="L68" s="43" t="n">
        <f aca="false">IF('Data Given (Recalculated)'!K36="","",'Data Given (Recalculated)'!K36)</f>
        <v>11698</v>
      </c>
      <c r="M68" s="43" t="n">
        <f aca="false">M20*$F$13</f>
        <v>12526.2920466733</v>
      </c>
      <c r="N68" s="43" t="n">
        <f aca="false">N20*$F$13</f>
        <v>12937.1544258042</v>
      </c>
      <c r="O68" s="43" t="n">
        <f aca="false">O20*$F$13</f>
        <v>13361.4930909706</v>
      </c>
      <c r="P68" s="43" t="n">
        <f aca="false">P20*$F$13</f>
        <v>13755.9243670161</v>
      </c>
      <c r="Q68" s="43" t="n">
        <f aca="false">Q20*$F$13</f>
        <v>14116.8798224066</v>
      </c>
    </row>
    <row r="69" customFormat="false" ht="15" hidden="false" customHeight="false" outlineLevel="0" collapsed="false">
      <c r="B69" s="111" t="s">
        <v>138</v>
      </c>
      <c r="D69" s="128"/>
      <c r="H69" s="113" t="n">
        <f aca="false">IFERROR(H68/H20,0)</f>
        <v>0.0308460241049487</v>
      </c>
      <c r="I69" s="112" t="n">
        <f aca="false">IFERROR(I68/I20,0)</f>
        <v>0.0281592988578037</v>
      </c>
      <c r="J69" s="113" t="n">
        <f aca="false">IFERROR(J68/J20,0)</f>
        <v>0.0300533545534002</v>
      </c>
      <c r="K69" s="113" t="n">
        <f aca="false">IFERROR(K68/K20,0)</f>
        <v>0.0292684798035981</v>
      </c>
      <c r="L69" s="113" t="n">
        <f aca="false">IFERROR(L68/L20,0)</f>
        <v>0.0281093134628185</v>
      </c>
      <c r="M69" s="113" t="n">
        <f aca="false">$F$13</f>
        <v>0.0291437159399389</v>
      </c>
      <c r="N69" s="113" t="n">
        <f aca="false">$F$13</f>
        <v>0.0291437159399389</v>
      </c>
      <c r="O69" s="113" t="n">
        <f aca="false">$F$13</f>
        <v>0.0291437159399389</v>
      </c>
      <c r="P69" s="113" t="n">
        <f aca="false">$F$13</f>
        <v>0.0291437159399389</v>
      </c>
      <c r="Q69" s="113" t="n">
        <f aca="false">$F$13</f>
        <v>0.0291437159399389</v>
      </c>
    </row>
    <row r="70" customFormat="false" ht="15" hidden="false" customHeight="false" outlineLevel="0" collapsed="false">
      <c r="B70" s="111" t="s">
        <v>139</v>
      </c>
      <c r="H70" s="113" t="n">
        <f aca="false">IFERROR(-H68/H65,0)</f>
        <v>1.01795218764096</v>
      </c>
      <c r="I70" s="112" t="n">
        <f aca="false">IFERROR(-I68/I65,0)</f>
        <v>1.03698169592828</v>
      </c>
      <c r="J70" s="113" t="n">
        <f aca="false">IFERROR(-J68/J65,0)</f>
        <v>1.05109955287891</v>
      </c>
      <c r="K70" s="113" t="n">
        <f aca="false">IFERROR(-K68/K65,0)</f>
        <v>1.21149571292474</v>
      </c>
      <c r="L70" s="113" t="n">
        <f aca="false">IFERROR(-L68/L65,0)</f>
        <v>0.920015729453402</v>
      </c>
      <c r="M70" s="113" t="n">
        <f aca="false">IFERROR(-M68/M65,0)</f>
        <v>1.0495388949266</v>
      </c>
      <c r="N70" s="113" t="n">
        <f aca="false">IFERROR(-N68/N65,0)</f>
        <v>1.0495388949266</v>
      </c>
      <c r="O70" s="113" t="n">
        <f aca="false">IFERROR(-O68/O65,0)</f>
        <v>1.0495388949266</v>
      </c>
      <c r="P70" s="113" t="n">
        <f aca="false">IFERROR(-P68/P65,0)</f>
        <v>1.0495388949266</v>
      </c>
      <c r="Q70" s="113" t="n">
        <f aca="false">IFERROR(-Q68/Q65,0)</f>
        <v>1.0495388949266</v>
      </c>
    </row>
    <row r="71" customFormat="false" ht="15" hidden="false" customHeight="false" outlineLevel="0" collapsed="false">
      <c r="B71" s="75" t="s">
        <v>140</v>
      </c>
      <c r="I71" s="42"/>
    </row>
    <row r="72" customFormat="false" ht="15" hidden="false" customHeight="false" outlineLevel="0" collapsed="false">
      <c r="B72" s="87" t="s">
        <v>140</v>
      </c>
      <c r="C72" s="88"/>
      <c r="D72" s="88"/>
      <c r="E72" s="88"/>
      <c r="F72" s="88"/>
      <c r="G72" s="88"/>
      <c r="H72" s="101" t="s">
        <v>35</v>
      </c>
      <c r="I72" s="102" t="s">
        <v>36</v>
      </c>
      <c r="J72" s="103" t="s">
        <v>37</v>
      </c>
      <c r="K72" s="103" t="s">
        <v>38</v>
      </c>
      <c r="L72" s="103" t="s">
        <v>39</v>
      </c>
      <c r="M72" s="103" t="s">
        <v>40</v>
      </c>
      <c r="N72" s="103" t="s">
        <v>41</v>
      </c>
      <c r="O72" s="103" t="s">
        <v>42</v>
      </c>
      <c r="P72" s="103" t="s">
        <v>43</v>
      </c>
      <c r="Q72" s="103" t="s">
        <v>44</v>
      </c>
    </row>
    <row r="73" customFormat="false" ht="15" hidden="false" customHeight="false" outlineLevel="0" collapsed="false">
      <c r="B73" s="75"/>
      <c r="I73" s="42"/>
    </row>
    <row r="74" customFormat="false" ht="15" hidden="false" customHeight="false" outlineLevel="0" collapsed="false">
      <c r="B74" s="28" t="s">
        <v>48</v>
      </c>
      <c r="H74" s="129" t="n">
        <f aca="false">H60</f>
        <v>91942.0585554024</v>
      </c>
      <c r="I74" s="130" t="n">
        <f aca="false">I60</f>
        <v>100792.881510446</v>
      </c>
      <c r="J74" s="129" t="n">
        <f aca="false">J60</f>
        <v>96458.6112304018</v>
      </c>
      <c r="K74" s="129" t="n">
        <f aca="false">K60</f>
        <v>103981.979522184</v>
      </c>
      <c r="L74" s="129" t="n">
        <f aca="false">L60</f>
        <v>112280.891892503</v>
      </c>
      <c r="M74" s="129" t="n">
        <f aca="false">M60</f>
        <v>115332.585201247</v>
      </c>
      <c r="N74" s="129" t="n">
        <f aca="false">N60</f>
        <v>118463.673316312</v>
      </c>
      <c r="O74" s="129" t="n">
        <f aca="false">O60</f>
        <v>121676.081403261</v>
      </c>
      <c r="P74" s="129" t="n">
        <f aca="false">P60</f>
        <v>124574.886052716</v>
      </c>
      <c r="Q74" s="129" t="n">
        <f aca="false">Q60</f>
        <v>127132.471546472</v>
      </c>
    </row>
    <row r="75" customFormat="false" ht="15" hidden="false" customHeight="false" outlineLevel="0" collapsed="false">
      <c r="B75" s="122" t="s">
        <v>49</v>
      </c>
      <c r="H75" s="129" t="n">
        <f aca="false">H68</f>
        <v>11284</v>
      </c>
      <c r="I75" s="130" t="n">
        <f aca="false">I68</f>
        <v>11104</v>
      </c>
      <c r="J75" s="129" t="n">
        <f aca="false">J68</f>
        <v>11519</v>
      </c>
      <c r="K75" s="129" t="n">
        <f aca="false">K68</f>
        <v>11445</v>
      </c>
      <c r="L75" s="129" t="n">
        <f aca="false">L68</f>
        <v>11698</v>
      </c>
      <c r="M75" s="129" t="n">
        <f aca="false">M68</f>
        <v>12526.2920466733</v>
      </c>
      <c r="N75" s="129" t="n">
        <f aca="false">N68</f>
        <v>12937.1544258042</v>
      </c>
      <c r="O75" s="129" t="n">
        <f aca="false">O68</f>
        <v>13361.4930909706</v>
      </c>
      <c r="P75" s="129" t="n">
        <f aca="false">P68</f>
        <v>13755.9243670161</v>
      </c>
      <c r="Q75" s="129" t="n">
        <f aca="false">Q68</f>
        <v>14116.8798224066</v>
      </c>
    </row>
    <row r="76" customFormat="false" ht="15" hidden="false" customHeight="false" outlineLevel="0" collapsed="false">
      <c r="B76" s="122" t="s">
        <v>50</v>
      </c>
      <c r="H76" s="43" t="n">
        <f aca="false">H65</f>
        <v>-11085</v>
      </c>
      <c r="I76" s="44" t="n">
        <f aca="false">I65</f>
        <v>-10708</v>
      </c>
      <c r="J76" s="43" t="n">
        <f aca="false">J65</f>
        <v>-10959</v>
      </c>
      <c r="K76" s="43" t="n">
        <f aca="false">K65</f>
        <v>-9447</v>
      </c>
      <c r="L76" s="43" t="n">
        <f aca="false">L65</f>
        <v>-12715</v>
      </c>
      <c r="M76" s="43" t="n">
        <f aca="false">M65</f>
        <v>-11935.0431958497</v>
      </c>
      <c r="N76" s="43" t="n">
        <f aca="false">N65</f>
        <v>-12326.5126126736</v>
      </c>
      <c r="O76" s="43" t="n">
        <f aca="false">O65</f>
        <v>-12730.8222263693</v>
      </c>
      <c r="P76" s="43" t="n">
        <f aca="false">P65</f>
        <v>-13106.6360984917</v>
      </c>
      <c r="Q76" s="43" t="n">
        <f aca="false">Q65</f>
        <v>-13450.5542297161</v>
      </c>
    </row>
    <row r="77" customFormat="false" ht="15" hidden="false" customHeight="false" outlineLevel="0" collapsed="false">
      <c r="B77" s="122" t="s">
        <v>51</v>
      </c>
      <c r="H77" s="131" t="str">
        <f aca="false">""</f>
        <v/>
      </c>
      <c r="I77" s="132" t="n">
        <f aca="false">IF('Data Given (Recalculated)'!H41="","",-'Data Given (Recalculated)'!H41)</f>
        <v>9080</v>
      </c>
      <c r="J77" s="43" t="n">
        <f aca="false">IF('Data Given (Recalculated)'!I41="","",-'Data Given (Recalculated)'!I41)</f>
        <v>-4213</v>
      </c>
      <c r="K77" s="43" t="n">
        <f aca="false">IF('Data Given (Recalculated)'!J41="","",-'Data Given (Recalculated)'!J41)</f>
        <v>1492</v>
      </c>
      <c r="L77" s="43" t="n">
        <f aca="false">IF('Data Given (Recalculated)'!K41="","",-'Data Given (Recalculated)'!K41)</f>
        <v>-3899</v>
      </c>
      <c r="M77" s="43" t="n">
        <f aca="false">IFERROR(-((M20*'Data Given (Recalculated)'!$C$50/365+M30*'Data Given (Recalculated)'!$C$51/365-M30*'Data Given (Recalculated)'!$C$52/365+M20*$F$10)-'Data Given (Recalculated)'!K40),"")</f>
        <v>2243.51741609585</v>
      </c>
      <c r="N77" s="43" t="n">
        <f aca="false">IFERROR(-((N20*'Data Given (Recalculated)'!$C$50/365+N30*'Data Given (Recalculated)'!$C$51/365-N30*'Data Given (Recalculated)'!$C$52/365+N20*$F$10)-(M20*'Data Given (Recalculated)'!$C$50/365+M30*'Data Given (Recalculated)'!$C$51/365-M30*'Data Given (Recalculated)'!$C$52/365+M20*$F$10)),"")</f>
        <v>872.759371247936</v>
      </c>
      <c r="O77" s="43" t="n">
        <f aca="false">IFERROR(-((O20*'Data Given (Recalculated)'!$C$50/365+O30*'Data Given (Recalculated)'!$C$51/365-O30*'Data Given (Recalculated)'!$C$52/365+O20*$F$10)-(N20*'Data Given (Recalculated)'!$C$50/365+N30*'Data Given (Recalculated)'!$C$51/365-N30*'Data Given (Recalculated)'!$C$52/365+N20*$F$10)),"")</f>
        <v>901.385878624889</v>
      </c>
      <c r="P77" s="43" t="n">
        <f aca="false">IFERROR(-((P20*'Data Given (Recalculated)'!$C$50/365+P30*'Data Given (Recalculated)'!$C$51/365-P30*'Data Given (Recalculated)'!$C$52/365+P20*$F$10)-(O20*'Data Given (Recalculated)'!$C$50/365+O30*'Data Given (Recalculated)'!$C$51/365-O30*'Data Given (Recalculated)'!$C$52/365+O20*$F$10)),"")</f>
        <v>837.856201899405</v>
      </c>
      <c r="Q77" s="43" t="n">
        <f aca="false">IFERROR(-((Q20*'Data Given (Recalculated)'!$C$50/365+Q30*'Data Given (Recalculated)'!$C$51/365-Q30*'Data Given (Recalculated)'!$C$52/365+Q20*$F$10)-(P20*'Data Given (Recalculated)'!$C$50/365+P30*'Data Given (Recalculated)'!$C$51/365-P30*'Data Given (Recalculated)'!$C$52/365+P20*$F$10)),"")</f>
        <v>766.746415092835</v>
      </c>
    </row>
    <row r="78" customFormat="false" ht="15" hidden="false" customHeight="false" outlineLevel="0" collapsed="false">
      <c r="B78" s="133" t="s">
        <v>52</v>
      </c>
      <c r="C78" s="134"/>
      <c r="D78" s="134"/>
      <c r="E78" s="134"/>
      <c r="F78" s="134"/>
      <c r="G78" s="134"/>
      <c r="H78" s="135" t="n">
        <f aca="false">SUM(H74:H77)</f>
        <v>92141.0585554024</v>
      </c>
      <c r="I78" s="136" t="n">
        <f aca="false">SUM(I74:I77)</f>
        <v>110268.881510446</v>
      </c>
      <c r="J78" s="137" t="n">
        <f aca="false">SUM(J74:J77)</f>
        <v>92805.6112304018</v>
      </c>
      <c r="K78" s="137" t="n">
        <f aca="false">SUM(K74:K77)</f>
        <v>107471.979522184</v>
      </c>
      <c r="L78" s="137" t="n">
        <f aca="false">SUM(L74:L77)</f>
        <v>107364.891892503</v>
      </c>
      <c r="M78" s="137" t="n">
        <f aca="false">SUM(M74:M77)</f>
        <v>118167.351468167</v>
      </c>
      <c r="N78" s="137" t="n">
        <f aca="false">SUM(N74:N77)</f>
        <v>119947.07450069</v>
      </c>
      <c r="O78" s="137" t="n">
        <f aca="false">SUM(O74:O77)</f>
        <v>123208.138146487</v>
      </c>
      <c r="P78" s="137" t="n">
        <f aca="false">SUM(P74:P77)</f>
        <v>126062.03052314</v>
      </c>
      <c r="Q78" s="137" t="n">
        <f aca="false">SUM(Q74:Q77)</f>
        <v>128565.543554255</v>
      </c>
      <c r="T78" s="110" t="n">
        <f aca="false">IFERROR((Q78/J78)^(1/(COLUMNS(J78:Q78)-1))-1,"")</f>
        <v>0.0476626934769959</v>
      </c>
    </row>
    <row r="79" customFormat="false" ht="15" hidden="false" customHeight="false" outlineLevel="0" collapsed="false">
      <c r="B79" s="111" t="s">
        <v>119</v>
      </c>
      <c r="H79" s="120" t="n">
        <f aca="false">IFERROR(H78/H20,0)</f>
        <v>0.251877464840077</v>
      </c>
      <c r="I79" s="121" t="n">
        <f aca="false">IFERROR(I78/I20,0)</f>
        <v>0.279637463001476</v>
      </c>
      <c r="J79" s="113" t="n">
        <f aca="false">IFERROR(J78/J20,0)</f>
        <v>0.24213212421671</v>
      </c>
      <c r="K79" s="113" t="n">
        <f aca="false">IFERROR(K78/K20,0)</f>
        <v>0.274839795727197</v>
      </c>
      <c r="L79" s="113" t="n">
        <f aca="false">IFERROR(L78/L20,0)</f>
        <v>0.257988835793125</v>
      </c>
      <c r="M79" s="113" t="n">
        <f aca="false">IFERROR(M78/M20,0)</f>
        <v>0.274928583153845</v>
      </c>
      <c r="N79" s="113" t="n">
        <f aca="false">IFERROR(N78/N20,0)</f>
        <v>0.270206519302447</v>
      </c>
      <c r="O79" s="113" t="n">
        <f aca="false">IFERROR(O78/O20,0)</f>
        <v>0.268738153377225</v>
      </c>
      <c r="P79" s="113" t="n">
        <f aca="false">IFERROR(P78/P20,0)</f>
        <v>0.267078817123161</v>
      </c>
      <c r="Q79" s="113" t="n">
        <f aca="false">IFERROR(Q78/Q20,0)</f>
        <v>0.265418260135781</v>
      </c>
    </row>
    <row r="80" customFormat="false" ht="15" hidden="false" customHeight="false" outlineLevel="0" collapsed="false">
      <c r="B80" s="28"/>
      <c r="I80" s="42"/>
      <c r="J80" s="59"/>
      <c r="K80" s="59"/>
      <c r="L80" s="59"/>
      <c r="M80" s="59"/>
      <c r="N80" s="59"/>
      <c r="O80" s="59"/>
      <c r="P80" s="59"/>
      <c r="Q80" s="59"/>
    </row>
    <row r="81" customFormat="false" ht="15" hidden="false" customHeight="false" outlineLevel="0" collapsed="false">
      <c r="B81" s="122" t="s">
        <v>141</v>
      </c>
      <c r="E81" s="138" t="n">
        <f aca="false">I9</f>
        <v>46298</v>
      </c>
      <c r="I81" s="42"/>
      <c r="J81" s="59"/>
      <c r="K81" s="59"/>
      <c r="L81" s="59"/>
      <c r="M81" s="59"/>
      <c r="N81" s="59"/>
      <c r="O81" s="59"/>
      <c r="P81" s="59"/>
      <c r="Q81" s="59"/>
    </row>
    <row r="82" customFormat="false" ht="15" hidden="false" customHeight="false" outlineLevel="0" collapsed="false">
      <c r="B82" s="122" t="s">
        <v>54</v>
      </c>
      <c r="H82" s="62"/>
      <c r="I82" s="63"/>
      <c r="J82" s="62"/>
      <c r="K82" s="62"/>
      <c r="L82" s="62"/>
      <c r="M82" s="62" t="n">
        <f aca="false">EOMONTH(I11,12)</f>
        <v>46660</v>
      </c>
      <c r="N82" s="62" t="n">
        <f aca="false">EOMONTH(M82,12)</f>
        <v>47026</v>
      </c>
      <c r="O82" s="62" t="n">
        <f aca="false">EOMONTH(N82,12)</f>
        <v>47391</v>
      </c>
      <c r="P82" s="62" t="n">
        <f aca="false">EOMONTH(O82,12)</f>
        <v>47756</v>
      </c>
      <c r="Q82" s="62" t="n">
        <f aca="false">EOMONTH(P82,12)</f>
        <v>48121</v>
      </c>
    </row>
    <row r="83" customFormat="false" ht="15" hidden="false" customHeight="false" outlineLevel="0" collapsed="false">
      <c r="B83" s="122" t="s">
        <v>55</v>
      </c>
      <c r="I83" s="42"/>
      <c r="J83" s="65"/>
      <c r="K83" s="65"/>
      <c r="L83" s="65"/>
      <c r="M83" s="65" t="n">
        <f aca="false">1</f>
        <v>1</v>
      </c>
      <c r="N83" s="65" t="n">
        <f aca="false">M83+1</f>
        <v>2</v>
      </c>
      <c r="O83" s="65" t="n">
        <f aca="false">N83+1</f>
        <v>3</v>
      </c>
      <c r="P83" s="65" t="n">
        <f aca="false">O83+1</f>
        <v>4</v>
      </c>
      <c r="Q83" s="65" t="n">
        <f aca="false">P83+1</f>
        <v>5</v>
      </c>
    </row>
    <row r="84" customFormat="false" ht="15" hidden="false" customHeight="false" outlineLevel="0" collapsed="false">
      <c r="B84" s="122" t="s">
        <v>56</v>
      </c>
      <c r="I84" s="42"/>
      <c r="J84" s="65"/>
      <c r="K84" s="65"/>
      <c r="L84" s="65"/>
      <c r="M84" s="65" t="n">
        <f aca="false">M83/2</f>
        <v>0.5</v>
      </c>
      <c r="N84" s="65" t="n">
        <f aca="false">N83-0.5</f>
        <v>1.5</v>
      </c>
      <c r="O84" s="65" t="n">
        <f aca="false">O83-0.5</f>
        <v>2.5</v>
      </c>
      <c r="P84" s="65" t="n">
        <f aca="false">P83-0.5</f>
        <v>3.5</v>
      </c>
      <c r="Q84" s="65" t="n">
        <f aca="false">Q83-0.5</f>
        <v>4.5</v>
      </c>
    </row>
    <row r="85" customFormat="false" ht="15" hidden="false" customHeight="false" outlineLevel="0" collapsed="false">
      <c r="B85" s="122" t="s">
        <v>57</v>
      </c>
      <c r="I85" s="42"/>
      <c r="J85" s="139"/>
      <c r="K85" s="139"/>
      <c r="L85" s="139"/>
      <c r="M85" s="139" t="n">
        <f aca="false">$F$12</f>
        <v>0.141624941123182</v>
      </c>
      <c r="N85" s="139" t="n">
        <f aca="false">$F$12</f>
        <v>0.141624941123182</v>
      </c>
      <c r="O85" s="139" t="n">
        <f aca="false">$F$12</f>
        <v>0.141624941123182</v>
      </c>
      <c r="P85" s="139" t="n">
        <f aca="false">$F$12</f>
        <v>0.141624941123182</v>
      </c>
      <c r="Q85" s="139" t="n">
        <f aca="false">$F$12</f>
        <v>0.141624941123182</v>
      </c>
    </row>
    <row r="86" customFormat="false" ht="15" hidden="false" customHeight="false" outlineLevel="0" collapsed="false">
      <c r="B86" s="122" t="s">
        <v>142</v>
      </c>
      <c r="I86" s="42"/>
      <c r="J86" s="126"/>
      <c r="K86" s="126"/>
      <c r="L86" s="126"/>
      <c r="M86" s="126"/>
      <c r="N86" s="126"/>
      <c r="O86" s="126"/>
      <c r="P86" s="126"/>
      <c r="Q86" s="126"/>
    </row>
    <row r="87" customFormat="false" ht="15" hidden="false" customHeight="false" outlineLevel="0" collapsed="false">
      <c r="B87" s="133" t="s">
        <v>58</v>
      </c>
      <c r="C87" s="134"/>
      <c r="D87" s="134"/>
      <c r="E87" s="134"/>
      <c r="F87" s="134"/>
      <c r="G87" s="134"/>
      <c r="H87" s="134"/>
      <c r="I87" s="140"/>
      <c r="J87" s="137"/>
      <c r="K87" s="137"/>
      <c r="L87" s="137"/>
      <c r="M87" s="137" t="n">
        <f aca="false">M78/(1+M85)^M84</f>
        <v>110595.072458143</v>
      </c>
      <c r="N87" s="137" t="n">
        <f aca="false">N78/(1+N85)^N84</f>
        <v>98334.17706725</v>
      </c>
      <c r="O87" s="137" t="n">
        <f aca="false">O78/(1+O85)^O84</f>
        <v>88477.0785612093</v>
      </c>
      <c r="P87" s="137" t="n">
        <f aca="false">P78/(1+P85)^P84</f>
        <v>79296.1732573652</v>
      </c>
      <c r="Q87" s="137" t="n">
        <f aca="false">Q78/(1+Q85)^Q84</f>
        <v>70838.4537847561</v>
      </c>
    </row>
    <row r="88" customFormat="false" ht="15" hidden="false" customHeight="false" outlineLevel="0" collapsed="false">
      <c r="I88" s="42"/>
      <c r="J88" s="59"/>
      <c r="K88" s="59"/>
      <c r="L88" s="59"/>
      <c r="M88" s="59"/>
      <c r="N88" s="59"/>
      <c r="O88" s="59"/>
      <c r="P88" s="59"/>
      <c r="Q88" s="59"/>
    </row>
    <row r="89" customFormat="false" ht="15" hidden="false" customHeight="false" outlineLevel="0" collapsed="false">
      <c r="B89" s="87" t="s">
        <v>143</v>
      </c>
      <c r="C89" s="88"/>
      <c r="D89" s="88"/>
      <c r="E89" s="88"/>
      <c r="F89" s="88"/>
      <c r="G89" s="88"/>
      <c r="H89" s="141" t="s">
        <v>35</v>
      </c>
      <c r="I89" s="142" t="s">
        <v>36</v>
      </c>
      <c r="J89" s="141" t="s">
        <v>37</v>
      </c>
      <c r="K89" s="141" t="s">
        <v>38</v>
      </c>
      <c r="L89" s="141" t="s">
        <v>39</v>
      </c>
      <c r="M89" s="141" t="s">
        <v>40</v>
      </c>
      <c r="N89" s="141" t="s">
        <v>41</v>
      </c>
      <c r="O89" s="141" t="s">
        <v>42</v>
      </c>
      <c r="P89" s="141" t="s">
        <v>43</v>
      </c>
      <c r="Q89" s="141" t="s">
        <v>44</v>
      </c>
    </row>
    <row r="90" customFormat="false" ht="15" hidden="false" customHeight="false" outlineLevel="0" collapsed="false">
      <c r="I90" s="42"/>
      <c r="J90" s="59"/>
      <c r="K90" s="59"/>
      <c r="L90" s="59"/>
      <c r="M90" s="59"/>
      <c r="N90" s="59"/>
      <c r="O90" s="59"/>
      <c r="P90" s="59"/>
      <c r="Q90" s="59"/>
    </row>
    <row r="91" customFormat="false" ht="15" hidden="false" customHeight="false" outlineLevel="0" collapsed="false">
      <c r="B91" s="28" t="s">
        <v>61</v>
      </c>
      <c r="I91" s="42"/>
      <c r="J91" s="59"/>
      <c r="K91" s="59"/>
      <c r="L91" s="59"/>
      <c r="M91" s="59"/>
      <c r="N91" s="59"/>
      <c r="O91" s="59"/>
      <c r="P91" s="59"/>
      <c r="Q91" s="59"/>
    </row>
    <row r="92" customFormat="false" ht="15" hidden="false" customHeight="false" outlineLevel="0" collapsed="false">
      <c r="B92" s="143" t="s">
        <v>70</v>
      </c>
      <c r="I92" s="42"/>
      <c r="J92" s="59"/>
      <c r="K92" s="59"/>
      <c r="L92" s="59"/>
      <c r="M92" s="59"/>
      <c r="N92" s="59"/>
      <c r="O92" s="59"/>
      <c r="P92" s="59"/>
      <c r="Q92" s="129" t="n">
        <f aca="false">Q54*$C$16</f>
        <v>1762851.63201848</v>
      </c>
    </row>
    <row r="93" customFormat="false" ht="15" hidden="false" customHeight="false" outlineLevel="0" collapsed="false">
      <c r="B93" s="143" t="s">
        <v>71</v>
      </c>
      <c r="I93" s="42"/>
      <c r="J93" s="59"/>
      <c r="K93" s="59"/>
      <c r="L93" s="59"/>
      <c r="M93" s="59"/>
      <c r="N93" s="59"/>
      <c r="O93" s="59"/>
      <c r="P93" s="59"/>
      <c r="Q93" s="129" t="n">
        <f aca="false">Q92/(1+Q85)^Q83</f>
        <v>909072.500962202</v>
      </c>
    </row>
    <row r="94" customFormat="false" ht="15" hidden="false" customHeight="false" outlineLevel="0" collapsed="false">
      <c r="B94" s="143" t="s">
        <v>73</v>
      </c>
      <c r="I94" s="42"/>
      <c r="J94" s="59"/>
      <c r="K94" s="59"/>
      <c r="L94" s="59"/>
      <c r="M94" s="59"/>
      <c r="N94" s="59"/>
      <c r="O94" s="59"/>
      <c r="P94" s="59"/>
      <c r="Q94" s="129" t="n">
        <f aca="false">Q93+SUM(M87:Q87)</f>
        <v>1356613.45609093</v>
      </c>
    </row>
    <row r="95" customFormat="false" ht="15" hidden="false" customHeight="false" outlineLevel="0" collapsed="false">
      <c r="B95" s="122" t="s">
        <v>74</v>
      </c>
      <c r="I95" s="42"/>
      <c r="J95" s="59"/>
      <c r="K95" s="59"/>
      <c r="L95" s="59"/>
      <c r="M95" s="59"/>
      <c r="N95" s="59"/>
      <c r="O95" s="59"/>
      <c r="P95" s="59"/>
      <c r="Q95" s="45" t="n">
        <f aca="false">-$AA$18</f>
        <v>-98657</v>
      </c>
    </row>
    <row r="96" customFormat="false" ht="15" hidden="false" customHeight="false" outlineLevel="0" collapsed="false">
      <c r="B96" s="122" t="s">
        <v>75</v>
      </c>
      <c r="I96" s="42"/>
      <c r="J96" s="59"/>
      <c r="K96" s="59"/>
      <c r="L96" s="59"/>
      <c r="M96" s="59"/>
      <c r="N96" s="59"/>
      <c r="O96" s="59"/>
      <c r="P96" s="59"/>
      <c r="Q96" s="144" t="n">
        <f aca="false">-$F$20-$F$21</f>
        <v>-0</v>
      </c>
    </row>
    <row r="97" customFormat="false" ht="15" hidden="false" customHeight="false" outlineLevel="0" collapsed="false">
      <c r="B97" s="122" t="s">
        <v>76</v>
      </c>
      <c r="I97" s="42"/>
      <c r="J97" s="59"/>
      <c r="K97" s="59"/>
      <c r="L97" s="59"/>
      <c r="M97" s="59"/>
      <c r="N97" s="59"/>
      <c r="O97" s="59"/>
      <c r="P97" s="59"/>
      <c r="Q97" s="144" t="n">
        <f aca="false">$AA$17+$AA$19</f>
        <v>132420</v>
      </c>
    </row>
    <row r="98" customFormat="false" ht="15" hidden="false" customHeight="false" outlineLevel="0" collapsed="false">
      <c r="B98" s="145" t="s">
        <v>77</v>
      </c>
      <c r="C98" s="53"/>
      <c r="D98" s="53"/>
      <c r="E98" s="53"/>
      <c r="F98" s="53"/>
      <c r="G98" s="53"/>
      <c r="H98" s="53"/>
      <c r="I98" s="54"/>
      <c r="J98" s="57"/>
      <c r="K98" s="57"/>
      <c r="L98" s="57"/>
      <c r="M98" s="57"/>
      <c r="N98" s="57"/>
      <c r="O98" s="57"/>
      <c r="P98" s="57"/>
      <c r="Q98" s="57" t="n">
        <f aca="false">SUM(Q94:Q97)</f>
        <v>1390376.45609093</v>
      </c>
    </row>
    <row r="99" customFormat="false" ht="15" hidden="false" customHeight="false" outlineLevel="0" collapsed="false">
      <c r="B99" s="143" t="s">
        <v>79</v>
      </c>
      <c r="I99" s="42"/>
      <c r="J99" s="59"/>
      <c r="K99" s="59"/>
      <c r="L99" s="59"/>
      <c r="M99" s="59"/>
      <c r="N99" s="59"/>
      <c r="O99" s="59"/>
      <c r="P99" s="59"/>
      <c r="Q99" s="45" t="n">
        <f aca="false">C11</f>
        <v>4869931.925504</v>
      </c>
    </row>
    <row r="100" customFormat="false" ht="15" hidden="false" customHeight="false" outlineLevel="0" collapsed="false">
      <c r="B100" s="111" t="s">
        <v>80</v>
      </c>
      <c r="I100" s="42"/>
      <c r="J100" s="59"/>
      <c r="K100" s="59"/>
      <c r="L100" s="59"/>
      <c r="M100" s="59"/>
      <c r="N100" s="59"/>
      <c r="O100" s="59"/>
      <c r="P100" s="59"/>
      <c r="Q100" s="126" t="n">
        <f aca="false">IFERROR(Q98/Q99 - 1,0)</f>
        <v>-0.714497763549943</v>
      </c>
    </row>
    <row r="101" customFormat="false" ht="15" hidden="false" customHeight="false" outlineLevel="0" collapsed="false">
      <c r="I101" s="42"/>
      <c r="J101" s="59"/>
      <c r="K101" s="59"/>
      <c r="L101" s="59"/>
      <c r="M101" s="59"/>
      <c r="N101" s="59"/>
      <c r="O101" s="59"/>
      <c r="P101" s="59"/>
      <c r="Q101" s="59"/>
    </row>
    <row r="102" customFormat="false" ht="15" hidden="false" customHeight="false" outlineLevel="0" collapsed="false">
      <c r="B102" s="28" t="s">
        <v>72</v>
      </c>
      <c r="I102" s="42"/>
      <c r="J102" s="59"/>
      <c r="K102" s="59"/>
      <c r="L102" s="59"/>
      <c r="M102" s="59"/>
      <c r="N102" s="59"/>
      <c r="O102" s="59"/>
      <c r="P102" s="59"/>
      <c r="Q102" s="59"/>
    </row>
    <row r="103" customFormat="false" ht="15" hidden="false" customHeight="false" outlineLevel="0" collapsed="false">
      <c r="B103" s="0" t="s">
        <v>64</v>
      </c>
      <c r="I103" s="42"/>
      <c r="J103" s="59"/>
      <c r="K103" s="59"/>
      <c r="L103" s="59"/>
      <c r="M103" s="59"/>
      <c r="N103" s="59"/>
      <c r="O103" s="59"/>
      <c r="P103" s="59"/>
      <c r="Q103" s="146" t="n">
        <v>0.025</v>
      </c>
    </row>
    <row r="104" customFormat="false" ht="15" hidden="false" customHeight="false" outlineLevel="0" collapsed="false">
      <c r="B104" s="0" t="s">
        <v>69</v>
      </c>
      <c r="I104" s="42"/>
      <c r="J104" s="59"/>
      <c r="K104" s="59"/>
      <c r="L104" s="59"/>
      <c r="M104" s="59"/>
      <c r="N104" s="59"/>
      <c r="O104" s="59"/>
      <c r="P104" s="59"/>
      <c r="Q104" s="65" t="n">
        <f aca="false">Q78*(1+Q103)</f>
        <v>131779.682143112</v>
      </c>
    </row>
    <row r="105" customFormat="false" ht="15" hidden="false" customHeight="false" outlineLevel="0" collapsed="false">
      <c r="B105" s="143" t="s">
        <v>70</v>
      </c>
      <c r="I105" s="42"/>
      <c r="J105" s="59"/>
      <c r="K105" s="59"/>
      <c r="L105" s="59"/>
      <c r="M105" s="59"/>
      <c r="N105" s="59"/>
      <c r="O105" s="59"/>
      <c r="P105" s="59"/>
      <c r="Q105" s="129" t="n">
        <f aca="false">IFERROR(IF(Q85&gt;Q103,Q104/(Q85-Q103),0),0)</f>
        <v>1129944.25441058</v>
      </c>
    </row>
    <row r="106" customFormat="false" ht="15" hidden="false" customHeight="false" outlineLevel="0" collapsed="false">
      <c r="B106" s="143" t="s">
        <v>71</v>
      </c>
      <c r="I106" s="42"/>
      <c r="J106" s="59"/>
      <c r="K106" s="59"/>
      <c r="L106" s="59"/>
      <c r="M106" s="59"/>
      <c r="N106" s="59"/>
      <c r="O106" s="59"/>
      <c r="P106" s="59"/>
      <c r="Q106" s="129" t="n">
        <f aca="false">Q105/(1+Q85)^Q83</f>
        <v>582692.967830049</v>
      </c>
    </row>
    <row r="107" customFormat="false" ht="15" hidden="false" customHeight="false" outlineLevel="0" collapsed="false">
      <c r="B107" s="143" t="s">
        <v>73</v>
      </c>
      <c r="I107" s="42"/>
      <c r="J107" s="59"/>
      <c r="K107" s="59"/>
      <c r="L107" s="59"/>
      <c r="M107" s="59"/>
      <c r="N107" s="59"/>
      <c r="O107" s="59"/>
      <c r="P107" s="59"/>
      <c r="Q107" s="129" t="n">
        <f aca="false">Q106+SUM(M87:Q87)</f>
        <v>1030233.92295877</v>
      </c>
    </row>
    <row r="108" customFormat="false" ht="15" hidden="false" customHeight="false" outlineLevel="0" collapsed="false">
      <c r="B108" s="122" t="s">
        <v>74</v>
      </c>
      <c r="I108" s="42"/>
      <c r="J108" s="59"/>
      <c r="K108" s="59"/>
      <c r="L108" s="59"/>
      <c r="M108" s="59"/>
      <c r="N108" s="59"/>
      <c r="O108" s="59"/>
      <c r="P108" s="59"/>
      <c r="Q108" s="45" t="n">
        <f aca="false">-$AA$18</f>
        <v>-98657</v>
      </c>
    </row>
    <row r="109" customFormat="false" ht="15" hidden="false" customHeight="false" outlineLevel="0" collapsed="false">
      <c r="B109" s="122" t="s">
        <v>75</v>
      </c>
      <c r="I109" s="42"/>
      <c r="J109" s="59"/>
      <c r="K109" s="59"/>
      <c r="L109" s="59"/>
      <c r="M109" s="59"/>
      <c r="N109" s="59"/>
      <c r="O109" s="59"/>
      <c r="P109" s="59"/>
      <c r="Q109" s="144" t="n">
        <f aca="false">-$F$20-$F$21</f>
        <v>-0</v>
      </c>
    </row>
    <row r="110" customFormat="false" ht="15" hidden="false" customHeight="false" outlineLevel="0" collapsed="false">
      <c r="B110" s="122" t="s">
        <v>76</v>
      </c>
      <c r="I110" s="42"/>
      <c r="J110" s="59"/>
      <c r="K110" s="59"/>
      <c r="L110" s="59"/>
      <c r="M110" s="59"/>
      <c r="N110" s="59"/>
      <c r="O110" s="59"/>
      <c r="P110" s="59"/>
      <c r="Q110" s="144" t="n">
        <f aca="false">$AA$17+$AA$19</f>
        <v>132420</v>
      </c>
    </row>
    <row r="111" customFormat="false" ht="15" hidden="false" customHeight="false" outlineLevel="0" collapsed="false">
      <c r="B111" s="145" t="s">
        <v>77</v>
      </c>
      <c r="C111" s="53"/>
      <c r="D111" s="53"/>
      <c r="E111" s="53"/>
      <c r="F111" s="53"/>
      <c r="G111" s="53"/>
      <c r="H111" s="53"/>
      <c r="I111" s="54"/>
      <c r="J111" s="57"/>
      <c r="K111" s="57"/>
      <c r="L111" s="57"/>
      <c r="M111" s="57"/>
      <c r="N111" s="57"/>
      <c r="O111" s="57"/>
      <c r="P111" s="57"/>
      <c r="Q111" s="57" t="n">
        <f aca="false">SUM(Q107:Q110)</f>
        <v>1063996.92295877</v>
      </c>
    </row>
    <row r="112" customFormat="false" ht="15" hidden="false" customHeight="false" outlineLevel="0" collapsed="false">
      <c r="B112" s="143" t="s">
        <v>79</v>
      </c>
      <c r="I112" s="42"/>
      <c r="J112" s="59"/>
      <c r="K112" s="59"/>
      <c r="L112" s="59"/>
      <c r="M112" s="59"/>
      <c r="N112" s="59"/>
      <c r="O112" s="59"/>
      <c r="P112" s="59"/>
      <c r="Q112" s="45" t="n">
        <f aca="false">C11</f>
        <v>4869931.925504</v>
      </c>
    </row>
    <row r="113" customFormat="false" ht="15.75" hidden="false" customHeight="true" outlineLevel="0" collapsed="false">
      <c r="B113" s="147" t="s">
        <v>80</v>
      </c>
      <c r="C113" s="148"/>
      <c r="D113" s="148"/>
      <c r="E113" s="148"/>
      <c r="F113" s="148"/>
      <c r="G113" s="148"/>
      <c r="H113" s="148"/>
      <c r="I113" s="149"/>
      <c r="J113" s="150"/>
      <c r="K113" s="150"/>
      <c r="L113" s="150"/>
      <c r="M113" s="150"/>
      <c r="N113" s="150"/>
      <c r="O113" s="150"/>
      <c r="P113" s="150"/>
      <c r="Q113" s="151" t="n">
        <f aca="false">IFERROR(Q111/Q112 - 1,0)</f>
        <v>-0.781517084995257</v>
      </c>
    </row>
    <row r="114" customFormat="false" ht="15" hidden="false" customHeight="false" outlineLevel="0" collapsed="false">
      <c r="B114" s="111"/>
      <c r="I114" s="42"/>
      <c r="J114" s="59"/>
      <c r="K114" s="59"/>
      <c r="L114" s="59"/>
      <c r="M114" s="59"/>
      <c r="N114" s="59"/>
      <c r="O114" s="59"/>
      <c r="P114" s="59"/>
      <c r="Q114" s="126"/>
    </row>
    <row r="115" customFormat="false" ht="15" hidden="false" customHeight="false" outlineLevel="0" collapsed="false">
      <c r="B115" s="87" t="s">
        <v>144</v>
      </c>
      <c r="C115" s="88"/>
      <c r="D115" s="88"/>
      <c r="E115" s="88"/>
      <c r="F115" s="88"/>
      <c r="G115" s="88"/>
      <c r="H115" s="88"/>
      <c r="I115" s="152"/>
      <c r="J115" s="88"/>
      <c r="K115" s="88"/>
      <c r="L115" s="88"/>
      <c r="M115" s="88"/>
      <c r="N115" s="88"/>
      <c r="O115" s="88"/>
      <c r="P115" s="88"/>
      <c r="Q115" s="88"/>
    </row>
    <row r="116" customFormat="false" ht="15" hidden="false" customHeight="false" outlineLevel="0" collapsed="false">
      <c r="B116" s="153"/>
      <c r="C116" s="153"/>
      <c r="D116" s="153"/>
      <c r="E116" s="153"/>
      <c r="F116" s="153"/>
      <c r="G116" s="153"/>
      <c r="H116" s="153"/>
      <c r="I116" s="153"/>
      <c r="J116" s="153"/>
      <c r="K116" s="153"/>
      <c r="L116" s="153"/>
      <c r="M116" s="153"/>
      <c r="N116" s="153"/>
    </row>
    <row r="117" customFormat="false" ht="15" hidden="false" customHeight="false" outlineLevel="0" collapsed="false">
      <c r="B117" s="88"/>
      <c r="C117" s="154" t="s">
        <v>145</v>
      </c>
      <c r="D117" s="154"/>
      <c r="E117" s="154"/>
      <c r="F117" s="154"/>
      <c r="G117" s="154"/>
      <c r="H117" s="154"/>
      <c r="I117" s="0" t="s">
        <v>146</v>
      </c>
    </row>
    <row r="118" customFormat="false" ht="15" hidden="false" customHeight="false" outlineLevel="0" collapsed="false">
      <c r="B118" s="88"/>
      <c r="C118" s="155"/>
      <c r="D118" s="156" t="s">
        <v>12</v>
      </c>
      <c r="E118" s="156"/>
      <c r="F118" s="156"/>
      <c r="G118" s="156"/>
      <c r="H118" s="156"/>
      <c r="J118" s="0" t="s">
        <v>147</v>
      </c>
    </row>
    <row r="119" customFormat="false" ht="15" hidden="false" customHeight="false" outlineLevel="0" collapsed="false">
      <c r="B119" s="88"/>
      <c r="C119" s="157" t="n">
        <f aca="false">'Outputs - Base'!$D$35</f>
        <v>1356613.45609093</v>
      </c>
      <c r="D119" s="158" t="n">
        <f aca="false">E119-0.01</f>
        <v>0.121624941123182</v>
      </c>
      <c r="E119" s="158" t="n">
        <f aca="false">F119-0.01</f>
        <v>0.131624941123182</v>
      </c>
      <c r="F119" s="159" t="n">
        <f aca="false">$F$12</f>
        <v>0.141624941123182</v>
      </c>
      <c r="G119" s="158" t="n">
        <f aca="false">F119+0.01</f>
        <v>0.151624941123182</v>
      </c>
      <c r="H119" s="158" t="n">
        <f aca="false">G119+0.01</f>
        <v>0.161624941123182</v>
      </c>
      <c r="J119" s="120" t="n">
        <f aca="false">K119-0.01</f>
        <v>0.0128</v>
      </c>
      <c r="K119" s="120" t="n">
        <f aca="false">L119-0.01</f>
        <v>0.0228</v>
      </c>
      <c r="L119" s="120" t="n">
        <f aca="false">$F$14</f>
        <v>0.0328</v>
      </c>
      <c r="M119" s="120" t="n">
        <f aca="false">L119+0.01</f>
        <v>0.0428</v>
      </c>
      <c r="N119" s="120" t="n">
        <f aca="false">M119+0.01</f>
        <v>0.0528</v>
      </c>
    </row>
    <row r="120" customFormat="false" ht="15" hidden="false" customHeight="false" outlineLevel="0" collapsed="false">
      <c r="B120" s="88"/>
      <c r="C120" s="160" t="n">
        <f aca="false">C121-0.005</f>
        <v>0.015</v>
      </c>
      <c r="D120" s="161" t="n">
        <f aca="false">IFERROR(IF($D$119&gt;$C$120,M78/(1+$D$119)^M84+N78/(1+$D$119)^N84+O78/(1+$D$119)^O84+P78/(1+$D$119)^P84+Q78/(1+$D$119)^Q84+Q78*(1+$C$120)/($D$119-$C$120)/(1+$D$119)^Q83,""),"")</f>
        <v>1155521.1104108</v>
      </c>
      <c r="E120" s="162" t="n">
        <f aca="false">IFERROR(IF($E$119&gt;$C$120,M78/(1+$E$119)^M84+N78/(1+$E$119)^N84+O78/(1+$E$119)^O84+P78/(1+$E$119)^P84+Q78/(1+$E$119)^Q84+Q78*(1+$C$120)/($E$119-$C$120)/(1+$E$119)^Q83,""),"")</f>
        <v>1059600.48919512</v>
      </c>
      <c r="F120" s="162" t="n">
        <f aca="false">IFERROR(IF($F$119&gt;$C$120,M78/(1+$F$119)^M84+N78/(1+$F$119)^N84+O78/(1+$F$119)^O84+P78/(1+$F$119)^P84+Q78/(1+$F$119)^Q84+Q78*(1+$C$120)/($F$119-$C$120)/(1+$F$119)^Q83,""),"")</f>
        <v>978980.827105522</v>
      </c>
      <c r="G120" s="162" t="n">
        <f aca="false">IFERROR(IF($G$119&gt;$C$120,M78/(1+$G$119)^M84+N78/(1+$G$119)^N84+O78/(1+$G$119)^O84+P78/(1+$G$119)^P84+Q78/(1+$G$119)^Q84+Q78*(1+$C$120)/($G$119-$C$120)/(1+$G$119)^Q83,""),"")</f>
        <v>910288.98562017</v>
      </c>
      <c r="H120" s="162" t="n">
        <f aca="false">IFERROR(IF($H$119&gt;$C$120,M78/(1+$H$119)^M84+N78/(1+$H$119)^N84+O78/(1+$H$119)^O84+P78/(1+$H$119)^P84+Q78/(1+$H$119)^Q84+Q78*(1+$C$120)/($H$119-$C$120)/(1+$H$119)^Q83,""),"")</f>
        <v>851073.105580867</v>
      </c>
      <c r="I120" s="120" t="n">
        <f aca="false">I121-0.01</f>
        <v>0.297968021365863</v>
      </c>
      <c r="J120" s="163" t="n">
        <f aca="false">IFERROR((L20*(1+J$119)^1*$I$120*(1-$F$11)+L20*(1+J$119)^1*$F$13-$F$9-$F$10)/(1+$F$12)^M84+(L20*(1+J$119)^2*$I$120*(1-$F$11)+L20*(1+J$119)^2*$F$13-$F$9-$F$10)/(1+$F$12)^N84+(L20*(1+J$119)^3*$I$120*(1-$F$11)+L20*(1+J$119)^3*$F$13-$F$9-$F$10)/(1+$F$12)^O84+(L20*(1+J$119)^4*$I$120*(1-$F$11)+L20*(1+J$119)^4*$F$13-$F$9-$F$10)/(1+$F$12)^P84+(L20*(1+J$119)^5*$I$120*(1-$F$11)+L20*(1+J$119)^5*$F$13-$F$9-$F$10)/(1+$F$12)^Q84+(L20*(1+J$119)^5*$I$120+L20*(1+J$119)^5*$F$13)*$C$16/(1+$F$12)^Q83,"")</f>
        <v>1242263.46657825</v>
      </c>
      <c r="K120" s="163" t="n">
        <f aca="false">IFERROR((L20*(1+K$119)^1*$I$120*(1-$F$11)+L20*(1+K$119)^1*$F$13-$F$9-$F$10)/(1+$F$12)^M84+(L20*(1+K$119)^2*$I$120*(1-$F$11)+L20*(1+K$119)^2*$F$13-$F$9-$F$10)/(1+$F$12)^N84+(L20*(1+K$119)^3*$I$120*(1-$F$11)+L20*(1+K$119)^3*$F$13-$F$9-$F$10)/(1+$F$12)^O84+(L20*(1+K$119)^4*$I$120*(1-$F$11)+L20*(1+K$119)^4*$F$13-$F$9-$F$10)/(1+$F$12)^P84+(L20*(1+K$119)^5*$I$120*(1-$F$11)+L20*(1+K$119)^5*$F$13-$F$9-$F$10)/(1+$F$12)^Q84+(L20*(1+K$119)^5*$I$120+L20*(1+K$119)^5*$F$13)*$C$16/(1+$F$12)^Q83,"")</f>
        <v>1294763.97086873</v>
      </c>
      <c r="L120" s="163" t="n">
        <f aca="false">IFERROR((L20*(1+L$119)^1*$I$120*(1-$F$11)+L20*(1+L$119)^1*$F$13-$F$9-$F$10)/(1+$F$12)^M84+(L20*(1+L$119)^2*$I$120*(1-$F$11)+L20*(1+L$119)^2*$F$13-$F$9-$F$10)/(1+$F$12)^N84+(L20*(1+L$119)^3*$I$120*(1-$F$11)+L20*(1+L$119)^3*$F$13-$F$9-$F$10)/(1+$F$12)^O84+(L20*(1+L$119)^4*$I$120*(1-$F$11)+L20*(1+L$119)^4*$F$13-$F$9-$F$10)/(1+$F$12)^P84+(L20*(1+L$119)^5*$I$120*(1-$F$11)+L20*(1+L$119)^5*$F$13-$F$9-$F$10)/(1+$F$12)^Q84+(L20*(1+L$119)^5*$I$120+L20*(1+L$119)^5*$F$13)*$C$16/(1+$F$12)^Q83,"")</f>
        <v>1349172.3454072</v>
      </c>
      <c r="M120" s="163" t="n">
        <f aca="false">IFERROR((L20*(1+M$119)^1*$I$120*(1-$F$11)+L20*(1+M$119)^1*$F$13-$F$9-$F$10)/(1+$F$12)^M84+(L20*(1+M$119)^2*$I$120*(1-$F$11)+L20*(1+M$119)^2*$F$13-$F$9-$F$10)/(1+$F$12)^N84+(L20*(1+M$119)^3*$I$120*(1-$F$11)+L20*(1+M$119)^3*$F$13-$F$9-$F$10)/(1+$F$12)^O84+(L20*(1+M$119)^4*$I$120*(1-$F$11)+L20*(1+M$119)^4*$F$13-$F$9-$F$10)/(1+$F$12)^P84+(L20*(1+M$119)^5*$I$120*(1-$F$11)+L20*(1+M$119)^5*$F$13-$F$9-$F$10)/(1+$F$12)^Q84+(L20*(1+M$119)^5*$I$120+L20*(1+M$119)^5*$F$13)*$C$16/(1+$F$12)^Q83,"")</f>
        <v>1405542.59016919</v>
      </c>
      <c r="N120" s="163" t="n">
        <f aca="false">IFERROR((L20*(1+N$119)^1*$I$120*(1-$F$11)+L20*(1+N$119)^1*$F$13-$F$9-$F$10)/(1+$F$12)^M84+(L20*(1+N$119)^2*$I$120*(1-$F$11)+L20*(1+N$119)^2*$F$13-$F$9-$F$10)/(1+$F$12)^N84+(L20*(1+N$119)^3*$I$120*(1-$F$11)+L20*(1+N$119)^3*$F$13-$F$9-$F$10)/(1+$F$12)^O84+(L20*(1+N$119)^4*$I$120*(1-$F$11)+L20*(1+N$119)^4*$F$13-$F$9-$F$10)/(1+$F$12)^P84+(L20*(1+N$119)^5*$I$120*(1-$F$11)+L20*(1+N$119)^5*$F$13-$F$9-$F$10)/(1+$F$12)^Q84+(L20*(1+N$119)^5*$I$120+L20*(1+N$119)^5*$F$13)*$C$16/(1+$F$12)^Q83,"")</f>
        <v>1463929.73336698</v>
      </c>
    </row>
    <row r="121" customFormat="false" ht="15" hidden="false" customHeight="false" outlineLevel="0" collapsed="false">
      <c r="B121" s="164" t="s">
        <v>148</v>
      </c>
      <c r="C121" s="160" t="n">
        <f aca="false">C122-0.005</f>
        <v>0.02</v>
      </c>
      <c r="D121" s="161" t="n">
        <f aca="false">IFERROR(IF($D$119&gt;$C$121,M78/(1+$D$119)^M84+N78/(1+$D$119)^N84+O78/(1+$D$119)^O84+P78/(1+$D$119)^P84+Q78/(1+$D$119)^Q84+Q78*(1+$C$121)/($D$119-$C$121)/(1+$D$119)^Q83,""),"")</f>
        <v>1193005.01738709</v>
      </c>
      <c r="E121" s="165" t="n">
        <f aca="false">IFERROR(IF($E$119&gt;$C$121,M78/(1+$E$119)^M84+N78/(1+$E$119)^N84+O78/(1+$E$119)^O84+P78/(1+$E$119)^P84+Q78/(1+$E$119)^Q84+Q78*(1+$C$121)/($E$119-$C$121)/(1+$E$119)^Q83,""),"")</f>
        <v>1089711.95319623</v>
      </c>
      <c r="F121" s="165" t="n">
        <f aca="false">IFERROR(IF($F$119&gt;$C$121,M78/(1+$F$119)^M84+N78/(1+$F$119)^N84+O78/(1+$F$119)^O84+P78/(1+$F$119)^P84+Q78/(1+$F$119)^Q84+Q78*(1+$C$121)/($F$119-$C$121)/(1+$F$119)^Q83,""),"")</f>
        <v>1003553.86792703</v>
      </c>
      <c r="G121" s="165" t="n">
        <f aca="false">IFERROR(IF($G$119&gt;$C$121,M78/(1+$G$119)^M84+N78/(1+$G$119)^N84+O78/(1+$G$119)^O84+P78/(1+$G$119)^P84+Q78/(1+$G$119)^Q84+Q78*(1+$C$121)/($G$119-$C$121)/(1+$G$119)^Q83,""),"")</f>
        <v>930611.721314766</v>
      </c>
      <c r="H121" s="162" t="n">
        <f aca="false">IFERROR(IF($H$119&gt;$C$121,M78/(1+$H$119)^M84+N78/(1+$H$119)^N84+O78/(1+$H$119)^O84+P78/(1+$H$119)^P84+Q78/(1+$H$119)^Q84+Q78*(1+$C$121)/($H$119-$C$121)/(1+$H$119)^Q83,""),"")</f>
        <v>868074.450917747</v>
      </c>
      <c r="I121" s="120" t="n">
        <f aca="false">I122-0.01</f>
        <v>0.307968021365863</v>
      </c>
      <c r="J121" s="163" t="n">
        <f aca="false">IFERROR((L20*(1+J$119)^1*$I$121*(1-$F$11)+L20*(1+J$119)^1*$F$13-$F$9-$F$10)/(1+$F$12)^M84+(L20*(1+J$119)^2*$I$121*(1-$F$11)+L20*(1+J$119)^2*$F$13-$F$9-$F$10)/(1+$F$12)^N84+(L20*(1+J$119)^3*$I$121*(1-$F$11)+L20*(1+J$119)^3*$F$13-$F$9-$F$10)/(1+$F$12)^O84+(L20*(1+J$119)^4*$I$121*(1-$F$11)+L20*(1+J$119)^4*$F$13-$F$9-$F$10)/(1+$F$12)^P84+(L20*(1+J$119)^5*$I$121*(1-$F$11)+L20*(1+J$119)^5*$F$13-$F$9-$F$10)/(1+$F$12)^Q84+(L20*(1+J$119)^5*$I$121+L20*(1+J$119)^5*$F$13)*$C$16/(1+$F$12)^Q83,"")</f>
        <v>1280021.19709344</v>
      </c>
      <c r="K121" s="163" t="n">
        <f aca="false">IFERROR((L20*(1+K$119)^1*$I$121*(1-$F$11)+L20*(1+K$119)^1*$F$13-$F$9-$F$10)/(1+$F$12)^M84+(L20*(1+K$119)^2*$I$121*(1-$F$11)+L20*(1+K$119)^2*$F$13-$F$9-$F$10)/(1+$F$12)^N84+(L20*(1+K$119)^3*$I$121*(1-$F$11)+L20*(1+K$119)^3*$F$13-$F$9-$F$10)/(1+$F$12)^O84+(L20*(1+K$119)^4*$I$121*(1-$F$11)+L20*(1+K$119)^4*$F$13-$F$9-$F$10)/(1+$F$12)^P84+(L20*(1+K$119)^5*$I$121*(1-$F$11)+L20*(1+K$119)^5*$F$13-$F$9-$F$10)/(1+$F$12)^Q84+(L20*(1+K$119)^5*$I$121+L20*(1+K$119)^5*$F$13)*$C$16/(1+$F$12)^Q83,"")</f>
        <v>1334120.62707287</v>
      </c>
      <c r="L121" s="163" t="n">
        <f aca="false">IFERROR((L20*(1+L$119)^1*$I$121*(1-$F$11)+L20*(1+L$119)^1*$F$13-$F$9-$F$10)/(1+$F$12)^M84+(L20*(1+L$119)^2*$I$121*(1-$F$11)+L20*(1+L$119)^2*$F$13-$F$9-$F$10)/(1+$F$12)^N84+(L20*(1+L$119)^3*$I$121*(1-$F$11)+L20*(1+L$119)^3*$F$13-$F$9-$F$10)/(1+$F$12)^O84+(L20*(1+L$119)^4*$I$121*(1-$F$11)+L20*(1+L$119)^4*$F$13-$F$9-$F$10)/(1+$F$12)^P84+(L20*(1+L$119)^5*$I$121*(1-$F$11)+L20*(1+L$119)^5*$F$13-$F$9-$F$10)/(1+$F$12)^Q84+(L20*(1+L$119)^5*$I$121+L20*(1+L$119)^5*$F$13)*$C$16/(1+$F$12)^Q83,"")</f>
        <v>1390186.10308017</v>
      </c>
      <c r="M121" s="163" t="n">
        <f aca="false">IFERROR((L20*(1+M$119)^1*$I$121*(1-$F$11)+L20*(1+M$119)^1*$F$13-$F$9-$F$10)/(1+$F$12)^M84+(L20*(1+M$119)^2*$I$121*(1-$F$11)+L20*(1+M$119)^2*$F$13-$F$9-$F$10)/(1+$F$12)^N84+(L20*(1+M$119)^3*$I$121*(1-$F$11)+L20*(1+M$119)^3*$F$13-$F$9-$F$10)/(1+$F$12)^O84+(L20*(1+M$119)^4*$I$121*(1-$F$11)+L20*(1+M$119)^4*$F$13-$F$9-$F$10)/(1+$F$12)^P84+(L20*(1+M$119)^5*$I$121*(1-$F$11)+L20*(1+M$119)^5*$F$13-$F$9-$F$10)/(1+$F$12)^Q84+(L20*(1+M$119)^5*$I$121+L20*(1+M$119)^5*$F$13)*$C$16/(1+$F$12)^Q83,"")</f>
        <v>1448273.27273343</v>
      </c>
      <c r="N121" s="163" t="n">
        <f aca="false">IFERROR((L20*(1+N$119)^1*$I$121*(1-$F$11)+L20*(1+N$119)^1*$F$13-$F$9-$F$10)/(1+$F$12)^M84+(L20*(1+N$119)^2*$I$121*(1-$F$11)+L20*(1+N$119)^2*$F$13-$F$9-$F$10)/(1+$F$12)^N84+(L20*(1+N$119)^3*$I$121*(1-$F$11)+L20*(1+N$119)^3*$F$13-$F$9-$F$10)/(1+$F$12)^O84+(L20*(1+N$119)^4*$I$121*(1-$F$11)+L20*(1+N$119)^4*$F$13-$F$9-$F$10)/(1+$F$12)^P84+(L20*(1+N$119)^5*$I$121*(1-$F$11)+L20*(1+N$119)^5*$F$13-$F$9-$F$10)/(1+$F$12)^Q84+(L20*(1+N$119)^5*$I$121+L20*(1+N$119)^5*$F$13)*$C$16/(1+$F$12)^Q83,"")</f>
        <v>1508438.84327302</v>
      </c>
    </row>
    <row r="122" customFormat="false" ht="15" hidden="false" customHeight="false" outlineLevel="0" collapsed="false">
      <c r="B122" s="166" t="s">
        <v>149</v>
      </c>
      <c r="C122" s="167" t="n">
        <f aca="false">$Q$103</f>
        <v>0.025</v>
      </c>
      <c r="D122" s="161" t="n">
        <f aca="false">IFERROR(IF($D$119&gt;$C$122,M78/(1+$D$119)^M84+N78/(1+$D$119)^N84+O78/(1+$D$119)^O84+P78/(1+$D$119)^P84+Q78/(1+$D$119)^Q84+Q78*(1+$C$122)/($D$119-$C$122)/(1+$D$119)^Q83,""),"")</f>
        <v>1234368.24439613</v>
      </c>
      <c r="E122" s="165" t="n">
        <f aca="false">IFERROR(IF($E$119&gt;$C$122,M78/(1+$E$119)^M84+N78/(1+$E$119)^N84+O78/(1+$E$119)^O84+P78/(1+$E$119)^P84+Q78/(1+$E$119)^Q84+Q78*(1+$C$122)/($E$119-$C$122)/(1+$E$119)^Q83,""),"")</f>
        <v>1122647.47165251</v>
      </c>
      <c r="F122" s="168" t="n">
        <f aca="false">IFERROR(IF($F$119&gt;$C$122,M78/(1+$F$119)^M84+N78/(1+$F$119)^N84+O78/(1+$F$119)^O84+P78/(1+$F$119)^P84+Q78/(1+$F$119)^Q84+Q78*(1+$C$122)/($F$119-$C$122)/(1+$F$119)^Q83,""),"")</f>
        <v>1030233.92295877</v>
      </c>
      <c r="G122" s="165" t="n">
        <f aca="false">IFERROR(IF($G$119&gt;$C$122,M78/(1+$G$119)^M84+N78/(1+$G$119)^N84+O78/(1+$G$119)^O84+P78/(1+$G$119)^P84+Q78/(1+$G$119)^Q84+Q78*(1+$C$122)/($G$119-$C$122)/(1+$G$119)^Q83,""),"")</f>
        <v>952539.412203365</v>
      </c>
      <c r="H122" s="162" t="n">
        <f aca="false">IFERROR(IF($H$119&gt;$C$122,M78/(1+$H$119)^M84+N78/(1+$H$119)^N84+O78/(1+$H$119)^O84+P78/(1+$H$119)^P84+Q78/(1+$H$119)^Q84+Q78*(1+$C$122)/($H$119-$C$122)/(1+$H$119)^Q83,""),"")</f>
        <v>886320.177053411</v>
      </c>
      <c r="I122" s="120" t="n">
        <f aca="false">M52</f>
        <v>0.317968021365863</v>
      </c>
      <c r="J122" s="163" t="n">
        <f aca="false">IFERROR((L20*(1+J$119)^1*$I$122*(1-$F$11)+L20*(1+J$119)^1*$F$13-$F$9-$F$10)/(1+$F$12)^M84+(L20*(1+J$119)^2*$I$122*(1-$F$11)+L20*(1+J$119)^2*$F$13-$F$9-$F$10)/(1+$F$12)^N84+(L20*(1+J$119)^3*$I$122*(1-$F$11)+L20*(1+J$119)^3*$F$13-$F$9-$F$10)/(1+$F$12)^O84+(L20*(1+J$119)^4*$I$122*(1-$F$11)+L20*(1+J$119)^4*$F$13-$F$9-$F$10)/(1+$F$12)^P84+(L20*(1+J$119)^5*$I$122*(1-$F$11)+L20*(1+J$119)^5*$F$13-$F$9-$F$10)/(1+$F$12)^Q84+(L20*(1+J$119)^5*$I$122+L20*(1+J$119)^5*$F$13)*$C$16/(1+$F$12)^Q83,"")</f>
        <v>1317778.92760862</v>
      </c>
      <c r="K122" s="163" t="n">
        <f aca="false">IFERROR((L20*(1+K$119)^1*$I$122*(1-$F$11)+L20*(1+K$119)^1*$F$13-$F$9-$F$10)/(1+$F$12)^M84+(L20*(1+K$119)^2*$I$122*(1-$F$11)+L20*(1+K$119)^2*$F$13-$F$9-$F$10)/(1+$F$12)^N84+(L20*(1+K$119)^3*$I$122*(1-$F$11)+L20*(1+K$119)^3*$F$13-$F$9-$F$10)/(1+$F$12)^O84+(L20*(1+K$119)^4*$I$122*(1-$F$11)+L20*(1+K$119)^4*$F$13-$F$9-$F$10)/(1+$F$12)^P84+(L20*(1+K$119)^5*$I$122*(1-$F$11)+L20*(1+K$119)^5*$F$13-$F$9-$F$10)/(1+$F$12)^Q84+(L20*(1+K$119)^5*$I$122+L20*(1+K$119)^5*$F$13)*$C$16/(1+$F$12)^Q83,"")</f>
        <v>1373477.28327701</v>
      </c>
      <c r="L122" s="163" t="n">
        <f aca="false">IFERROR((L20*(1+L$119)^1*$I$122*(1-$F$11)+L20*(1+L$119)^1*$F$13-$F$9-$F$10)/(1+$F$12)^M84+(L20*(1+L$119)^2*$I$122*(1-$F$11)+L20*(1+L$119)^2*$F$13-$F$9-$F$10)/(1+$F$12)^N84+(L20*(1+L$119)^3*$I$122*(1-$F$11)+L20*(1+L$119)^3*$F$13-$F$9-$F$10)/(1+$F$12)^O84+(L20*(1+L$119)^4*$I$122*(1-$F$11)+L20*(1+L$119)^4*$F$13-$F$9-$F$10)/(1+$F$12)^P84+(L20*(1+L$119)^5*$I$122*(1-$F$11)+L20*(1+L$119)^5*$F$13-$F$9-$F$10)/(1+$F$12)^Q84+(L20*(1+L$119)^5*$I$122+L20*(1+L$119)^5*$F$13)*$C$16/(1+$F$12)^Q83,"")</f>
        <v>1431199.86075315</v>
      </c>
      <c r="M122" s="163" t="n">
        <f aca="false">IFERROR((L20*(1+M$119)^1*$I$122*(1-$F$11)+L20*(1+M$119)^1*$F$13-$F$9-$F$10)/(1+$F$12)^M84+(L20*(1+M$119)^2*$I$122*(1-$F$11)+L20*(1+M$119)^2*$F$13-$F$9-$F$10)/(1+$F$12)^N84+(L20*(1+M$119)^3*$I$122*(1-$F$11)+L20*(1+M$119)^3*$F$13-$F$9-$F$10)/(1+$F$12)^O84+(L20*(1+M$119)^4*$I$122*(1-$F$11)+L20*(1+M$119)^4*$F$13-$F$9-$F$10)/(1+$F$12)^P84+(L20*(1+M$119)^5*$I$122*(1-$F$11)+L20*(1+M$119)^5*$F$13-$F$9-$F$10)/(1+$F$12)^Q84+(L20*(1+M$119)^5*$I$122+L20*(1+M$119)^5*$F$13)*$C$16/(1+$F$12)^Q83,"")</f>
        <v>1491003.95529767</v>
      </c>
      <c r="N122" s="163" t="n">
        <f aca="false">IFERROR((L20*(1+N$119)^1*$I$122*(1-$F$11)+L20*(1+N$119)^1*$F$13-$F$9-$F$10)/(1+$F$12)^M84+(L20*(1+N$119)^2*$I$122*(1-$F$11)+L20*(1+N$119)^2*$F$13-$F$9-$F$10)/(1+$F$12)^N84+(L20*(1+N$119)^3*$I$122*(1-$F$11)+L20*(1+N$119)^3*$F$13-$F$9-$F$10)/(1+$F$12)^O84+(L20*(1+N$119)^4*$I$122*(1-$F$11)+L20*(1+N$119)^4*$F$13-$F$9-$F$10)/(1+$F$12)^P84+(L20*(1+N$119)^5*$I$122*(1-$F$11)+L20*(1+N$119)^5*$F$13-$F$9-$F$10)/(1+$F$12)^Q84+(L20*(1+N$119)^5*$I$122+L20*(1+N$119)^5*$F$13)*$C$16/(1+$F$12)^Q83,"")</f>
        <v>1552947.95317906</v>
      </c>
    </row>
    <row r="123" customFormat="false" ht="15" hidden="false" customHeight="false" outlineLevel="0" collapsed="false">
      <c r="B123" s="88"/>
      <c r="C123" s="160" t="n">
        <f aca="false">C122+0.005</f>
        <v>0.03</v>
      </c>
      <c r="D123" s="161" t="n">
        <f aca="false">IFERROR(IF($D$119&gt;$C$123,M78/(1+$D$119)^M84+N78/(1+$D$119)^N84+O78/(1+$D$119)^O84+P78/(1+$D$119)^P84+Q78/(1+$D$119)^Q84+Q78*(1+$C$123)/($D$119-$C$123)/(1+$D$119)^Q83,""),"")</f>
        <v>1280245.87834525</v>
      </c>
      <c r="E123" s="165" t="n">
        <f aca="false">IFERROR(IF($E$119&gt;$C$123,M78/(1+$E$119)^M84+N78/(1+$E$119)^N84+O78/(1+$E$119)^O84+P78/(1+$E$119)^P84+Q78/(1+$E$119)^Q84+Q78*(1+$C$123)/($E$119-$C$123)/(1+$E$119)^Q83,""),"")</f>
        <v>1158823.87941139</v>
      </c>
      <c r="F123" s="165" t="n">
        <f aca="false">IFERROR(IF($F$119&gt;$C$123,M78/(1+$F$119)^M84+N78/(1+$F$119)^N84+O78/(1+$F$119)^O84+P78/(1+$F$119)^P84+Q78/(1+$F$119)^Q84+Q78*(1+$C$123)/($F$119-$C$123)/(1+$F$119)^Q83,""),"")</f>
        <v>1059304.12975797</v>
      </c>
      <c r="G123" s="165" t="n">
        <f aca="false">IFERROR(IF($G$119&gt;$C$123,M78/(1+$G$119)^M84+N78/(1+$G$119)^N84+O78/(1+$G$119)^O84+P78/(1+$G$119)^P84+Q78/(1+$G$119)^Q84+Q78*(1+$C$123)/($G$119-$C$123)/(1+$G$119)^Q83,""),"")</f>
        <v>976269.997357409</v>
      </c>
      <c r="H123" s="162" t="n">
        <f aca="false">IFERROR(IF($H$119&gt;$C$123,M78/(1+$H$119)^M84+N78/(1+$H$119)^N84+O78/(1+$H$119)^O84+P78/(1+$H$119)^P84+Q78/(1+$H$119)^Q84+Q78*(1+$C$123)/($H$119-$C$123)/(1+$H$119)^Q83,""),"")</f>
        <v>905952.093828932</v>
      </c>
      <c r="I123" s="120" t="n">
        <f aca="false">I122+0.01</f>
        <v>0.327968021365863</v>
      </c>
      <c r="J123" s="163" t="n">
        <f aca="false">IFERROR((L20*(1+J$119)^1*$I$123*(1-$F$11)+L20*(1+J$119)^1*$F$13-$F$9-$F$10)/(1+$F$12)^M84+(L20*(1+J$119)^2*$I$123*(1-$F$11)+L20*(1+J$119)^2*$F$13-$F$9-$F$10)/(1+$F$12)^N84+(L20*(1+J$119)^3*$I$123*(1-$F$11)+L20*(1+J$119)^3*$F$13-$F$9-$F$10)/(1+$F$12)^O84+(L20*(1+J$119)^4*$I$123*(1-$F$11)+L20*(1+J$119)^4*$F$13-$F$9-$F$10)/(1+$F$12)^P84+(L20*(1+J$119)^5*$I$123*(1-$F$11)+L20*(1+J$119)^5*$F$13-$F$9-$F$10)/(1+$F$12)^Q84+(L20*(1+J$119)^5*$I$123+L20*(1+J$119)^5*$F$13)*$C$16/(1+$F$12)^Q83,"")</f>
        <v>1355536.65812381</v>
      </c>
      <c r="K123" s="163" t="n">
        <f aca="false">IFERROR((L20*(1+K$119)^1*$I$123*(1-$F$11)+L20*(1+K$119)^1*$F$13-$F$9-$F$10)/(1+$F$12)^M84+(L20*(1+K$119)^2*$I$123*(1-$F$11)+L20*(1+K$119)^2*$F$13-$F$9-$F$10)/(1+$F$12)^N84+(L20*(1+K$119)^3*$I$123*(1-$F$11)+L20*(1+K$119)^3*$F$13-$F$9-$F$10)/(1+$F$12)^O84+(L20*(1+K$119)^4*$I$123*(1-$F$11)+L20*(1+K$119)^4*$F$13-$F$9-$F$10)/(1+$F$12)^P84+(L20*(1+K$119)^5*$I$123*(1-$F$11)+L20*(1+K$119)^5*$F$13-$F$9-$F$10)/(1+$F$12)^Q84+(L20*(1+K$119)^5*$I$123+L20*(1+K$119)^5*$F$13)*$C$16/(1+$F$12)^Q83,"")</f>
        <v>1412833.93948115</v>
      </c>
      <c r="L123" s="163" t="n">
        <f aca="false">IFERROR((L20*(1+L$119)^1*$I$123*(1-$F$11)+L20*(1+L$119)^1*$F$13-$F$9-$F$10)/(1+$F$12)^M84+(L20*(1+L$119)^2*$I$123*(1-$F$11)+L20*(1+L$119)^2*$F$13-$F$9-$F$10)/(1+$F$12)^N84+(L20*(1+L$119)^3*$I$123*(1-$F$11)+L20*(1+L$119)^3*$F$13-$F$9-$F$10)/(1+$F$12)^O84+(L20*(1+L$119)^4*$I$123*(1-$F$11)+L20*(1+L$119)^4*$F$13-$F$9-$F$10)/(1+$F$12)^P84+(L20*(1+L$119)^5*$I$123*(1-$F$11)+L20*(1+L$119)^5*$F$13-$F$9-$F$10)/(1+$F$12)^Q84+(L20*(1+L$119)^5*$I$123+L20*(1+L$119)^5*$F$13)*$C$16/(1+$F$12)^Q83,"")</f>
        <v>1472213.61842613</v>
      </c>
      <c r="M123" s="163" t="n">
        <f aca="false">IFERROR((L20*(1+M$119)^1*$I$123*(1-$F$11)+L20*(1+M$119)^1*$F$13-$F$9-$F$10)/(1+$F$12)^M84+(L20*(1+M$119)^2*$I$123*(1-$F$11)+L20*(1+M$119)^2*$F$13-$F$9-$F$10)/(1+$F$12)^N84+(L20*(1+M$119)^3*$I$123*(1-$F$11)+L20*(1+M$119)^3*$F$13-$F$9-$F$10)/(1+$F$12)^O84+(L20*(1+M$119)^4*$I$123*(1-$F$11)+L20*(1+M$119)^4*$F$13-$F$9-$F$10)/(1+$F$12)^P84+(L20*(1+M$119)^5*$I$123*(1-$F$11)+L20*(1+M$119)^5*$F$13-$F$9-$F$10)/(1+$F$12)^Q84+(L20*(1+M$119)^5*$I$123+L20*(1+M$119)^5*$F$13)*$C$16/(1+$F$12)^Q83,"")</f>
        <v>1533734.63786191</v>
      </c>
      <c r="N123" s="163" t="n">
        <f aca="false">IFERROR((L20*(1+N$119)^1*$I$123*(1-$F$11)+L20*(1+N$119)^1*$F$13-$F$9-$F$10)/(1+$F$12)^M84+(L20*(1+N$119)^2*$I$123*(1-$F$11)+L20*(1+N$119)^2*$F$13-$F$9-$F$10)/(1+$F$12)^N84+(L20*(1+N$119)^3*$I$123*(1-$F$11)+L20*(1+N$119)^3*$F$13-$F$9-$F$10)/(1+$F$12)^O84+(L20*(1+N$119)^4*$I$123*(1-$F$11)+L20*(1+N$119)^4*$F$13-$F$9-$F$10)/(1+$F$12)^P84+(L20*(1+N$119)^5*$I$123*(1-$F$11)+L20*(1+N$119)^5*$F$13-$F$9-$F$10)/(1+$F$12)^Q84+(L20*(1+N$119)^5*$I$123+L20*(1+N$119)^5*$F$13)*$C$16/(1+$F$12)^Q83,"")</f>
        <v>1597457.0630851</v>
      </c>
    </row>
    <row r="124" customFormat="false" ht="15" hidden="false" customHeight="false" outlineLevel="0" collapsed="false">
      <c r="B124" s="88"/>
      <c r="C124" s="160" t="n">
        <f aca="false">C123+0.005</f>
        <v>0.035</v>
      </c>
      <c r="D124" s="161" t="n">
        <f aca="false">IFERROR(IF($D$119&gt;$C$124,M78/(1+$D$119)^M84+N78/(1+$D$119)^N84+O78/(1+$D$119)^O84+P78/(1+$D$119)^P84+Q78/(1+$D$119)^Q84+Q78*(1+$C$124)/($D$119-$C$124)/(1+$D$119)^Q83,""),"")</f>
        <v>1331419.63525321</v>
      </c>
      <c r="E124" s="162" t="n">
        <f aca="false">IFERROR(IF($E$119&gt;$C$124,M78/(1+$E$119)^M84+N78/(1+$E$119)^N84+O78/(1+$E$119)^O84+P78/(1+$E$119)^P84+Q78/(1+$E$119)^Q84+Q78*(1+$C$124)/($E$119-$C$124)/(1+$E$119)^Q83,""),"")</f>
        <v>1198744.2902546</v>
      </c>
      <c r="F124" s="162" t="n">
        <f aca="false">IFERROR(IF($F$119&gt;$C$124,M78/(1+$F$119)^M84+N78/(1+$F$119)^N84+O78/(1+$F$119)^O84+P78/(1+$F$119)^P84+Q78/(1+$F$119)^Q84+Q78*(1+$C$124)/($F$119-$C$124)/(1+$F$119)^Q83,""),"")</f>
        <v>1091100.73494886</v>
      </c>
      <c r="G124" s="162" t="n">
        <f aca="false">IFERROR(IF($G$119&gt;$C$124,M78/(1+$G$119)^M84+N78/(1+$G$119)^N84+O78/(1+$G$119)^O84+P78/(1+$G$119)^P84+Q78/(1+$G$119)^Q84+Q78*(1+$C$124)/($G$119-$C$124)/(1+$G$119)^Q83,""),"")</f>
        <v>1002035.36040077</v>
      </c>
      <c r="H124" s="162" t="n">
        <f aca="false">IFERROR(IF($H$119&gt;$C$124,M78/(1+$H$119)^M84+N78/(1+$H$119)^N84+O78/(1+$H$119)^O84+P78/(1+$H$119)^P84+Q78/(1+$H$119)^Q84+Q78*(1+$C$124)/($H$119-$C$124)/(1+$H$119)^Q83,""),"")</f>
        <v>927134.409491227</v>
      </c>
      <c r="I124" s="120" t="n">
        <f aca="false">I123+0.01</f>
        <v>0.337968021365863</v>
      </c>
      <c r="J124" s="163" t="n">
        <f aca="false">IFERROR((L20*(1+J$119)^1*$I$124*(1-$F$11)+L20*(1+J$119)^1*$F$13-$F$9-$F$10)/(1+$F$12)^M84+(L20*(1+J$119)^2*$I$124*(1-$F$11)+L20*(1+J$119)^2*$F$13-$F$9-$F$10)/(1+$F$12)^N84+(L20*(1+J$119)^3*$I$124*(1-$F$11)+L20*(1+J$119)^3*$F$13-$F$9-$F$10)/(1+$F$12)^O84+(L20*(1+J$119)^4*$I$124*(1-$F$11)+L20*(1+J$119)^4*$F$13-$F$9-$F$10)/(1+$F$12)^P84+(L20*(1+J$119)^5*$I$124*(1-$F$11)+L20*(1+J$119)^5*$F$13-$F$9-$F$10)/(1+$F$12)^Q84+(L20*(1+J$119)^5*$I$124+L20*(1+J$119)^5*$F$13)*$C$16/(1+$F$12)^Q83,"")</f>
        <v>1393294.388639</v>
      </c>
      <c r="K124" s="163" t="n">
        <f aca="false">IFERROR((L20*(1+K$119)^1*$I$124*(1-$F$11)+L20*(1+K$119)^1*$F$13-$F$9-$F$10)/(1+$F$12)^M84+(L20*(1+K$119)^2*$I$124*(1-$F$11)+L20*(1+K$119)^2*$F$13-$F$9-$F$10)/(1+$F$12)^N84+(L20*(1+K$119)^3*$I$124*(1-$F$11)+L20*(1+K$119)^3*$F$13-$F$9-$F$10)/(1+$F$12)^O84+(L20*(1+K$119)^4*$I$124*(1-$F$11)+L20*(1+K$119)^4*$F$13-$F$9-$F$10)/(1+$F$12)^P84+(L20*(1+K$119)^5*$I$124*(1-$F$11)+L20*(1+K$119)^5*$F$13-$F$9-$F$10)/(1+$F$12)^Q84+(L20*(1+K$119)^5*$I$124+L20*(1+K$119)^5*$F$13)*$C$16/(1+$F$12)^Q83,"")</f>
        <v>1452190.5956853</v>
      </c>
      <c r="L124" s="163" t="n">
        <f aca="false">IFERROR((L20*(1+L$119)^1*$I$124*(1-$F$11)+L20*(1+L$119)^1*$F$13-$F$9-$F$10)/(1+$F$12)^M84+(L20*(1+L$119)^2*$I$124*(1-$F$11)+L20*(1+L$119)^2*$F$13-$F$9-$F$10)/(1+$F$12)^N84+(L20*(1+L$119)^3*$I$124*(1-$F$11)+L20*(1+L$119)^3*$F$13-$F$9-$F$10)/(1+$F$12)^O84+(L20*(1+L$119)^4*$I$124*(1-$F$11)+L20*(1+L$119)^4*$F$13-$F$9-$F$10)/(1+$F$12)^P84+(L20*(1+L$119)^5*$I$124*(1-$F$11)+L20*(1+L$119)^5*$F$13-$F$9-$F$10)/(1+$F$12)^Q84+(L20*(1+L$119)^5*$I$124+L20*(1+L$119)^5*$F$13)*$C$16/(1+$F$12)^Q83,"")</f>
        <v>1513227.3760991</v>
      </c>
      <c r="M124" s="163" t="n">
        <f aca="false">IFERROR((L20*(1+M$119)^1*$I$124*(1-$F$11)+L20*(1+M$119)^1*$F$13-$F$9-$F$10)/(1+$F$12)^M84+(L20*(1+M$119)^2*$I$124*(1-$F$11)+L20*(1+M$119)^2*$F$13-$F$9-$F$10)/(1+$F$12)^N84+(L20*(1+M$119)^3*$I$124*(1-$F$11)+L20*(1+M$119)^3*$F$13-$F$9-$F$10)/(1+$F$12)^O84+(L20*(1+M$119)^4*$I$124*(1-$F$11)+L20*(1+M$119)^4*$F$13-$F$9-$F$10)/(1+$F$12)^P84+(L20*(1+M$119)^5*$I$124*(1-$F$11)+L20*(1+M$119)^5*$F$13-$F$9-$F$10)/(1+$F$12)^Q84+(L20*(1+M$119)^5*$I$124+L20*(1+M$119)^5*$F$13)*$C$16/(1+$F$12)^Q83,"")</f>
        <v>1576465.32042615</v>
      </c>
      <c r="N124" s="163" t="n">
        <f aca="false">IFERROR((L20*(1+N$119)^1*$I$124*(1-$F$11)+L20*(1+N$119)^1*$F$13-$F$9-$F$10)/(1+$F$12)^M84+(L20*(1+N$119)^2*$I$124*(1-$F$11)+L20*(1+N$119)^2*$F$13-$F$9-$F$10)/(1+$F$12)^N84+(L20*(1+N$119)^3*$I$124*(1-$F$11)+L20*(1+N$119)^3*$F$13-$F$9-$F$10)/(1+$F$12)^O84+(L20*(1+N$119)^4*$I$124*(1-$F$11)+L20*(1+N$119)^4*$F$13-$F$9-$F$10)/(1+$F$12)^P84+(L20*(1+N$119)^5*$I$124*(1-$F$11)+L20*(1+N$119)^5*$F$13-$F$9-$F$10)/(1+$F$12)^Q84+(L20*(1+N$119)^5*$I$124+L20*(1+N$119)^5*$F$13)*$C$16/(1+$F$12)^Q83,"")</f>
        <v>1641966.17299114</v>
      </c>
    </row>
    <row r="125" customFormat="false" ht="15.75" hidden="false" customHeight="true" outlineLevel="0" collapsed="false"/>
    <row r="126" customFormat="false" ht="15" hidden="false" customHeight="false" outlineLevel="0" collapsed="false">
      <c r="B126" s="169" t="s">
        <v>150</v>
      </c>
      <c r="C126" s="170" t="n">
        <f aca="false">MIN(D120:H124)</f>
        <v>851073.105580867</v>
      </c>
      <c r="I126" s="0" t="s">
        <v>150</v>
      </c>
      <c r="J126" s="163" t="n">
        <f aca="false">MIN(J120:N124)</f>
        <v>1242263.46657825</v>
      </c>
    </row>
    <row r="127" customFormat="false" ht="15" hidden="false" customHeight="false" outlineLevel="0" collapsed="false">
      <c r="B127" s="171" t="s">
        <v>151</v>
      </c>
      <c r="C127" s="172" t="n">
        <f aca="false">PERCENTILE(D120:H124,0.25)</f>
        <v>930611.721314766</v>
      </c>
      <c r="I127" s="0" t="s">
        <v>151</v>
      </c>
      <c r="J127" s="163" t="n">
        <f aca="false">PERCENTILE(J120:N124,0.25)</f>
        <v>1355536.65812381</v>
      </c>
    </row>
    <row r="128" customFormat="false" ht="15" hidden="false" customHeight="false" outlineLevel="0" collapsed="false">
      <c r="B128" s="171" t="s">
        <v>152</v>
      </c>
      <c r="C128" s="172" t="n">
        <f aca="false">MEDIAN(D120:H124)</f>
        <v>1030233.92295877</v>
      </c>
      <c r="I128" s="0" t="s">
        <v>152</v>
      </c>
      <c r="J128" s="163" t="n">
        <f aca="false">MEDIAN(J120:N124)</f>
        <v>1431199.86075315</v>
      </c>
    </row>
    <row r="129" customFormat="false" ht="15" hidden="false" customHeight="false" outlineLevel="0" collapsed="false">
      <c r="B129" s="171" t="s">
        <v>153</v>
      </c>
      <c r="C129" s="172" t="n">
        <f aca="false">PERCENTILE(D120:H124,0.75)</f>
        <v>1155521.1104108</v>
      </c>
      <c r="I129" s="0" t="s">
        <v>153</v>
      </c>
      <c r="J129" s="163" t="n">
        <f aca="false">PERCENTILE(J120:N124,0.75)</f>
        <v>1508438.84327302</v>
      </c>
    </row>
    <row r="130" customFormat="false" ht="15.75" hidden="false" customHeight="true" outlineLevel="0" collapsed="false">
      <c r="B130" s="173" t="s">
        <v>154</v>
      </c>
      <c r="C130" s="174" t="n">
        <f aca="false">MAX(D120:H124)</f>
        <v>1331419.63525321</v>
      </c>
      <c r="I130" s="0" t="s">
        <v>154</v>
      </c>
      <c r="J130" s="163" t="n">
        <f aca="false">MAX(J120:N124)</f>
        <v>1641966.17299114</v>
      </c>
    </row>
  </sheetData>
  <mergeCells count="2">
    <mergeCell ref="C117:H117"/>
    <mergeCell ref="D118:H118"/>
  </mergeCells>
  <conditionalFormatting sqref="D120:H1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0:N1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8E8"/>
    <pageSetUpPr fitToPage="false"/>
  </sheetPr>
  <dimension ref="B2:AA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66796875" defaultRowHeight="15" customHeight="false" zeroHeight="false" outlineLevelRow="0" outlineLevelCol="0"/>
  <cols>
    <col collapsed="false" customWidth="true" hidden="false" outlineLevel="0" max="9" min="9" style="0" width="14"/>
  </cols>
  <sheetData>
    <row r="2" customFormat="false" ht="18.75" hidden="false" customHeight="true" outlineLevel="0" collapsed="false">
      <c r="B2" s="29" t="s">
        <v>82</v>
      </c>
      <c r="C2" s="30"/>
      <c r="D2" s="31"/>
      <c r="E2" s="31"/>
      <c r="F2" s="31"/>
      <c r="G2" s="31"/>
      <c r="H2" s="31"/>
      <c r="I2" s="31"/>
    </row>
    <row r="3" customFormat="false" ht="15.75" hidden="false" customHeight="true" outlineLevel="0" collapsed="false">
      <c r="B3" s="32" t="s">
        <v>32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</row>
    <row r="4" customFormat="false" ht="15.75" hidden="false" customHeight="true" outlineLevel="0" collapsed="false">
      <c r="B4" s="35" t="s">
        <v>33</v>
      </c>
      <c r="C4" s="31"/>
      <c r="D4" s="31"/>
      <c r="E4" s="31"/>
      <c r="F4" s="31"/>
      <c r="G4" s="31"/>
      <c r="H4" s="31"/>
      <c r="I4" s="31"/>
    </row>
    <row r="6" customFormat="false" ht="15" hidden="false" customHeight="false" outlineLevel="0" collapsed="false">
      <c r="B6" s="87" t="s">
        <v>83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8" customFormat="false" ht="15" hidden="false" customHeight="false" outlineLevel="0" collapsed="false">
      <c r="B8" s="28" t="s">
        <v>84</v>
      </c>
      <c r="E8" s="28" t="s">
        <v>85</v>
      </c>
      <c r="H8" s="28" t="s">
        <v>86</v>
      </c>
    </row>
    <row r="9" customFormat="false" ht="15" hidden="false" customHeight="false" outlineLevel="0" collapsed="false">
      <c r="B9" s="0" t="s">
        <v>87</v>
      </c>
      <c r="C9" s="89" t="n">
        <f aca="false">Q94</f>
        <v>1601928.2610505</v>
      </c>
      <c r="E9" s="0" t="s">
        <v>135</v>
      </c>
      <c r="F9" s="90" t="n">
        <v>0.0252681142459967</v>
      </c>
      <c r="H9" s="0" t="s">
        <v>89</v>
      </c>
      <c r="I9" s="91" t="n">
        <v>46298</v>
      </c>
    </row>
    <row r="10" customFormat="false" ht="15" hidden="false" customHeight="false" outlineLevel="0" collapsed="false">
      <c r="B10" s="0" t="s">
        <v>90</v>
      </c>
      <c r="C10" s="92" t="n">
        <f aca="false">IFERROR(C9/L54,0)</f>
        <v>11.0670148192065</v>
      </c>
      <c r="E10" s="0" t="s">
        <v>155</v>
      </c>
      <c r="F10" s="90" t="n">
        <v>-0.0025</v>
      </c>
      <c r="H10" s="0" t="s">
        <v>92</v>
      </c>
      <c r="I10" s="91"/>
    </row>
    <row r="11" customFormat="false" ht="15" hidden="false" customHeight="false" outlineLevel="0" collapsed="false">
      <c r="B11" s="0" t="s">
        <v>79</v>
      </c>
      <c r="C11" s="89" t="n">
        <v>4869931.925504</v>
      </c>
      <c r="E11" s="0" t="s">
        <v>93</v>
      </c>
      <c r="F11" s="90" t="n">
        <v>0.15610002335586</v>
      </c>
      <c r="H11" s="0" t="s">
        <v>94</v>
      </c>
      <c r="I11" s="91" t="n">
        <v>46291</v>
      </c>
    </row>
    <row r="12" customFormat="false" ht="15" hidden="false" customHeight="false" outlineLevel="0" collapsed="false">
      <c r="B12" s="0" t="s">
        <v>77</v>
      </c>
      <c r="C12" s="43" t="n">
        <f aca="false">C9-AA18+AA17+AA19-F20-F21</f>
        <v>1635691.2610505</v>
      </c>
      <c r="E12" s="0" t="s">
        <v>12</v>
      </c>
      <c r="F12" s="93" t="n">
        <f aca="false">WACC!D35</f>
        <v>0.133407698579437</v>
      </c>
      <c r="G12" s="94"/>
      <c r="I12" s="95"/>
    </row>
    <row r="13" customFormat="false" ht="15" hidden="false" customHeight="false" outlineLevel="0" collapsed="false">
      <c r="B13" s="0" t="s">
        <v>95</v>
      </c>
      <c r="C13" s="96" t="n">
        <f aca="false">Q111/$I$16</f>
        <v>84.7919703866975</v>
      </c>
      <c r="E13" s="0" t="s">
        <v>96</v>
      </c>
      <c r="F13" s="90" t="n">
        <v>0.0291437159399389</v>
      </c>
      <c r="H13" s="0" t="s">
        <v>97</v>
      </c>
      <c r="I13" s="97" t="n">
        <v>5</v>
      </c>
    </row>
    <row r="14" customFormat="false" ht="15" hidden="false" customHeight="false" outlineLevel="0" collapsed="false">
      <c r="B14" s="0" t="s">
        <v>98</v>
      </c>
      <c r="C14" s="96" t="n">
        <f aca="false">C12/$I$16</f>
        <v>109.011948795134</v>
      </c>
      <c r="E14" s="0" t="s">
        <v>99</v>
      </c>
      <c r="F14" s="90" t="n">
        <v>0.0428</v>
      </c>
      <c r="H14" s="0" t="s">
        <v>100</v>
      </c>
      <c r="I14" s="97" t="n">
        <v>3</v>
      </c>
    </row>
    <row r="15" customFormat="false" ht="15" hidden="false" customHeight="false" outlineLevel="0" collapsed="false">
      <c r="B15" s="28" t="s">
        <v>101</v>
      </c>
      <c r="E15" s="28" t="s">
        <v>102</v>
      </c>
      <c r="F15" s="90" t="n">
        <v>0.329707997625919</v>
      </c>
      <c r="H15" s="0" t="s">
        <v>103</v>
      </c>
      <c r="I15" s="97" t="n">
        <v>4</v>
      </c>
    </row>
    <row r="16" customFormat="false" ht="15" hidden="false" customHeight="false" outlineLevel="0" collapsed="false">
      <c r="B16" s="0" t="s">
        <v>104</v>
      </c>
      <c r="C16" s="98" t="n">
        <v>11.6991470130652</v>
      </c>
      <c r="E16" s="0" t="s">
        <v>105</v>
      </c>
      <c r="F16" s="90" t="n">
        <v>0.457475478332007</v>
      </c>
      <c r="H16" s="0" t="s">
        <v>106</v>
      </c>
      <c r="I16" s="99" t="n">
        <v>15004.697</v>
      </c>
    </row>
    <row r="17" customFormat="false" ht="15" hidden="false" customHeight="false" outlineLevel="0" collapsed="false">
      <c r="B17" s="0" t="s">
        <v>107</v>
      </c>
      <c r="C17" s="0" t="n">
        <v>35934</v>
      </c>
      <c r="E17" s="0" t="s">
        <v>108</v>
      </c>
      <c r="F17" s="90" t="n">
        <v>0.321008116325641</v>
      </c>
      <c r="H17" s="0" t="s">
        <v>109</v>
      </c>
      <c r="I17" s="100" t="n">
        <v>333.69</v>
      </c>
      <c r="AA17" s="0" t="n">
        <f aca="false">C17</f>
        <v>35934</v>
      </c>
    </row>
    <row r="18" customFormat="false" ht="15" hidden="false" customHeight="false" outlineLevel="0" collapsed="false">
      <c r="B18" s="87" t="s">
        <v>110</v>
      </c>
      <c r="C18" s="88"/>
      <c r="D18" s="88"/>
      <c r="E18" s="88"/>
      <c r="F18" s="88"/>
      <c r="G18" s="88"/>
      <c r="H18" s="101" t="s">
        <v>35</v>
      </c>
      <c r="I18" s="102" t="s">
        <v>36</v>
      </c>
      <c r="J18" s="103" t="s">
        <v>37</v>
      </c>
      <c r="K18" s="103" t="s">
        <v>38</v>
      </c>
      <c r="L18" s="103" t="s">
        <v>39</v>
      </c>
      <c r="M18" s="103" t="s">
        <v>40</v>
      </c>
      <c r="N18" s="103" t="s">
        <v>41</v>
      </c>
      <c r="O18" s="103" t="s">
        <v>42</v>
      </c>
      <c r="P18" s="103" t="s">
        <v>43</v>
      </c>
      <c r="Q18" s="103" t="s">
        <v>44</v>
      </c>
      <c r="S18" s="104" t="s">
        <v>111</v>
      </c>
      <c r="T18" s="104" t="s">
        <v>112</v>
      </c>
      <c r="AA18" s="0" t="n">
        <v>98657</v>
      </c>
    </row>
    <row r="19" customFormat="false" ht="15" hidden="false" customHeight="true" outlineLevel="0" collapsed="false">
      <c r="B19" s="28"/>
      <c r="E19" s="0" t="s">
        <v>113</v>
      </c>
      <c r="F19" s="90" t="n">
        <v>0.02968</v>
      </c>
      <c r="I19" s="42"/>
      <c r="AA19" s="0" t="n">
        <v>96486</v>
      </c>
    </row>
    <row r="20" customFormat="false" ht="15" hidden="false" customHeight="false" outlineLevel="0" collapsed="false">
      <c r="B20" s="105" t="s">
        <v>114</v>
      </c>
      <c r="C20" s="106"/>
      <c r="D20" s="106"/>
      <c r="E20" s="106"/>
      <c r="F20" s="106" t="n">
        <v>0</v>
      </c>
      <c r="G20" s="107"/>
      <c r="H20" s="108" t="n">
        <f aca="false">'Data Given (Recalculated)'!G12</f>
        <v>365817</v>
      </c>
      <c r="I20" s="109" t="n">
        <f aca="false">'Data Given (Recalculated)'!H12</f>
        <v>394328</v>
      </c>
      <c r="J20" s="108" t="n">
        <f aca="false">'Data Given (Recalculated)'!I12</f>
        <v>383285</v>
      </c>
      <c r="K20" s="108" t="n">
        <f aca="false">'Data Given (Recalculated)'!J12</f>
        <v>391035</v>
      </c>
      <c r="L20" s="108" t="n">
        <f aca="false">'Data Given (Recalculated)'!K12</f>
        <v>416161</v>
      </c>
      <c r="M20" s="108" t="n">
        <f aca="false">L20*(1+M21)</f>
        <v>433972.6908</v>
      </c>
      <c r="N20" s="108" t="n">
        <f aca="false">M20*(1+N21)</f>
        <v>452546.72196624</v>
      </c>
      <c r="O20" s="108" t="n">
        <f aca="false">N20*(1+O21)</f>
        <v>471915.721666395</v>
      </c>
      <c r="P20" s="108" t="n">
        <f aca="false">O20*(1+P21)</f>
        <v>490565.830986651</v>
      </c>
      <c r="Q20" s="108" t="n">
        <f aca="false">P20*(1+Q21)</f>
        <v>508343.936701607</v>
      </c>
      <c r="S20" s="110" t="n">
        <f aca="false">IFERROR((I20/H20)^(1/(COLUMNS(H20:I20)-1))-1,"")</f>
        <v>0.0779378760418461</v>
      </c>
      <c r="T20" s="110" t="n">
        <f aca="false">IFERROR((Q20/J20)^(1/(COLUMNS(J20:Q20)-1))-1,"")</f>
        <v>0.0411646239702175</v>
      </c>
    </row>
    <row r="21" customFormat="false" ht="15" hidden="false" customHeight="false" outlineLevel="0" collapsed="false">
      <c r="B21" s="111" t="s">
        <v>116</v>
      </c>
      <c r="F21" s="0" t="n">
        <v>0</v>
      </c>
      <c r="H21" s="0" t="str">
        <f aca="false">""</f>
        <v/>
      </c>
      <c r="I21" s="112" t="n">
        <f aca="false">IFERROR(I20/H20-1,0)</f>
        <v>0.0779378760418461</v>
      </c>
      <c r="J21" s="113" t="n">
        <f aca="false">IFERROR(J20/I20-1,0)</f>
        <v>-0.0280046053031994</v>
      </c>
      <c r="K21" s="113" t="n">
        <f aca="false">IFERROR(K20/J20-1,0)</f>
        <v>0.0202199407751411</v>
      </c>
      <c r="L21" s="113" t="n">
        <f aca="false">IFERROR(L20/K20-1,0)</f>
        <v>0.0642551178283275</v>
      </c>
      <c r="M21" s="113" t="n">
        <f aca="false">$F$14+($F$19-$F$14)*MAX(0,MIN(1,(M$83-$I$14)/$I$15))</f>
        <v>0.0428</v>
      </c>
      <c r="N21" s="113" t="n">
        <f aca="false">$F$14+($F$19-$F$14)*MAX(0,MIN(1,(N$83-$I$14)/$I$15))</f>
        <v>0.0428</v>
      </c>
      <c r="O21" s="113" t="n">
        <f aca="false">$F$14+($F$19-$F$14)*MAX(0,MIN(1,(O$83-$I$14)/$I$15))</f>
        <v>0.0428</v>
      </c>
      <c r="P21" s="113" t="n">
        <f aca="false">$F$14+($F$19-$F$14)*MAX(0,MIN(1,(P$83-$I$14)/$I$15))</f>
        <v>0.03952</v>
      </c>
      <c r="Q21" s="113" t="n">
        <f aca="false">$F$14+($F$19-$F$14)*MAX(0,MIN(1,(Q$83-$I$14)/$I$15))</f>
        <v>0.03624</v>
      </c>
    </row>
    <row r="22" customFormat="false" ht="15" hidden="false" customHeight="false" outlineLevel="0" collapsed="false">
      <c r="B22" s="114"/>
      <c r="I22" s="42"/>
    </row>
    <row r="23" customFormat="false" ht="15" hidden="false" customHeight="false" outlineLevel="0" collapsed="false">
      <c r="B23" s="28" t="s">
        <v>118</v>
      </c>
      <c r="I23" s="42"/>
    </row>
    <row r="24" customFormat="false" ht="15" hidden="false" customHeight="false" outlineLevel="0" collapsed="false">
      <c r="B24" s="0" t="s">
        <v>118</v>
      </c>
      <c r="C24" s="115"/>
      <c r="D24" s="115"/>
      <c r="E24" s="115"/>
      <c r="G24" s="115"/>
      <c r="H24" s="45" t="n">
        <f aca="false">'Data Given (Recalculated)'!G16</f>
        <v>212981</v>
      </c>
      <c r="I24" s="46" t="n">
        <f aca="false">'Data Given (Recalculated)'!H16</f>
        <v>223546</v>
      </c>
      <c r="J24" s="45" t="n">
        <f aca="false">'Data Given (Recalculated)'!I16</f>
        <v>214137</v>
      </c>
      <c r="K24" s="45" t="n">
        <f aca="false">'Data Given (Recalculated)'!J16</f>
        <v>210352</v>
      </c>
      <c r="L24" s="45" t="n">
        <f aca="false">'Data Given (Recalculated)'!K16</f>
        <v>201436</v>
      </c>
      <c r="M24" s="45" t="n">
        <f aca="false">M20*(1-$F$16)-M27</f>
        <v>215081.199293242</v>
      </c>
      <c r="N24" s="45" t="n">
        <f aca="false">N20*(1-$F$16)-N27</f>
        <v>224286.674622993</v>
      </c>
      <c r="O24" s="45" t="n">
        <f aca="false">O20*(1-$F$16)-O27</f>
        <v>233886.144296857</v>
      </c>
      <c r="P24" s="45" t="n">
        <f aca="false">P20*(1-$F$16)-P27</f>
        <v>243129.324719469</v>
      </c>
      <c r="Q24" s="45" t="n">
        <f aca="false">Q20*(1-$F$16)-Q27</f>
        <v>251940.331447302</v>
      </c>
      <c r="S24" s="110" t="n">
        <f aca="false">IFERROR((I24/H24)^(1/(COLUMNS(H24:I24)-1))-1,"")</f>
        <v>0.0496053638587479</v>
      </c>
      <c r="T24" s="110" t="n">
        <f aca="false">IFERROR((Q24/J24)^(1/(COLUMNS(J24:Q24)-1))-1,"")</f>
        <v>0.0234969879263436</v>
      </c>
    </row>
    <row r="25" customFormat="false" ht="15" hidden="false" customHeight="false" outlineLevel="0" collapsed="false">
      <c r="B25" s="111" t="s">
        <v>119</v>
      </c>
      <c r="H25" s="113" t="n">
        <f aca="false">IFERROR(H24/H20,0)</f>
        <v>0.582206403748322</v>
      </c>
      <c r="I25" s="112" t="n">
        <f aca="false">IFERROR(I24/I20,0)</f>
        <v>0.566903694386399</v>
      </c>
      <c r="J25" s="113" t="n">
        <f aca="false">IFERROR(J24/J20,0)</f>
        <v>0.558688704227924</v>
      </c>
      <c r="K25" s="113" t="n">
        <f aca="false">IFERROR(K24/K20,0)</f>
        <v>0.537936501847661</v>
      </c>
      <c r="L25" s="113" t="n">
        <f aca="false">IFERROR(L24/L20,0)</f>
        <v>0.484033823448137</v>
      </c>
      <c r="M25" s="113" t="n">
        <f aca="false">IFERROR(M24/M20,0)</f>
        <v>0.495609986187735</v>
      </c>
      <c r="N25" s="113" t="n">
        <f aca="false">IFERROR(N24/N20,0)</f>
        <v>0.495609986187735</v>
      </c>
      <c r="O25" s="113" t="n">
        <f aca="false">IFERROR(O24/O20,0)</f>
        <v>0.495609986187735</v>
      </c>
      <c r="P25" s="113" t="n">
        <f aca="false">IFERROR(P24/P20,0)</f>
        <v>0.495609986187735</v>
      </c>
      <c r="Q25" s="113" t="n">
        <f aca="false">IFERROR(Q24/Q20,0)</f>
        <v>0.495609986187735</v>
      </c>
    </row>
    <row r="26" customFormat="false" ht="15" hidden="false" customHeight="false" outlineLevel="0" collapsed="false">
      <c r="I26" s="42"/>
    </row>
    <row r="27" customFormat="false" ht="15" hidden="false" customHeight="false" outlineLevel="0" collapsed="false">
      <c r="B27" s="0" t="s">
        <v>120</v>
      </c>
      <c r="H27" s="45" t="n">
        <f aca="false">'Data Given (Recalculated)'!G17</f>
        <v>0</v>
      </c>
      <c r="I27" s="46" t="n">
        <f aca="false">'Data Given (Recalculated)'!H17</f>
        <v>0</v>
      </c>
      <c r="J27" s="45" t="n">
        <f aca="false">'Data Given (Recalculated)'!I17</f>
        <v>0</v>
      </c>
      <c r="K27" s="45" t="n">
        <f aca="false">'Data Given (Recalculated)'!J17</f>
        <v>0</v>
      </c>
      <c r="L27" s="45" t="n">
        <f aca="false">'Data Given (Recalculated)'!K17</f>
        <v>19524</v>
      </c>
      <c r="M27" s="45" t="n">
        <f aca="false">M20*L28</f>
        <v>20359.6272</v>
      </c>
      <c r="N27" s="45" t="n">
        <f aca="false">N20*M28</f>
        <v>21231.01924416</v>
      </c>
      <c r="O27" s="45" t="n">
        <f aca="false">O20*N28</f>
        <v>22139.70686781</v>
      </c>
      <c r="P27" s="45" t="n">
        <f aca="false">P20*O28</f>
        <v>23014.6680832259</v>
      </c>
      <c r="Q27" s="45" t="n">
        <f aca="false">Q20*P28</f>
        <v>23848.719654562</v>
      </c>
      <c r="S27" s="110" t="str">
        <f aca="false">IFERROR((I27/H27)^(1/(COLUMNS(H27:I27)-1))-1,"")</f>
        <v/>
      </c>
      <c r="T27" s="110" t="str">
        <f aca="false">IFERROR((Q27/J27)^(1/(COLUMNS(J27:Q27)-1))-1,"")</f>
        <v/>
      </c>
    </row>
    <row r="28" customFormat="false" ht="15" hidden="false" customHeight="false" outlineLevel="0" collapsed="false">
      <c r="B28" s="111" t="s">
        <v>119</v>
      </c>
      <c r="H28" s="113" t="n">
        <f aca="false">IFERROR(H27/H20,0)</f>
        <v>0</v>
      </c>
      <c r="I28" s="112" t="n">
        <f aca="false">IFERROR(I27/I20,0)</f>
        <v>0</v>
      </c>
      <c r="J28" s="113" t="n">
        <f aca="false">IFERROR(J27/J20,0)</f>
        <v>0</v>
      </c>
      <c r="K28" s="113" t="n">
        <f aca="false">IFERROR(K27/K20,0)</f>
        <v>0</v>
      </c>
      <c r="L28" s="113" t="n">
        <f aca="false">IFERROR(L27/L20,0)</f>
        <v>0.0469145354802588</v>
      </c>
      <c r="M28" s="113" t="n">
        <f aca="false">IFERROR(M27/M20,0)</f>
        <v>0.0469145354802588</v>
      </c>
      <c r="N28" s="113" t="n">
        <f aca="false">IFERROR(N27/N20,0)</f>
        <v>0.0469145354802588</v>
      </c>
      <c r="O28" s="113" t="n">
        <f aca="false">IFERROR(O27/O20,0)</f>
        <v>0.0469145354802588</v>
      </c>
      <c r="P28" s="113" t="n">
        <f aca="false">IFERROR(P27/P20,0)</f>
        <v>0.0469145354802588</v>
      </c>
      <c r="Q28" s="113" t="n">
        <f aca="false">IFERROR(Q27/Q20,0)</f>
        <v>0.0469145354802588</v>
      </c>
    </row>
    <row r="29" customFormat="false" ht="15" hidden="false" customHeight="false" outlineLevel="0" collapsed="false">
      <c r="B29" s="111"/>
      <c r="H29" s="116"/>
      <c r="I29" s="117"/>
      <c r="J29" s="116"/>
      <c r="K29" s="116"/>
      <c r="L29" s="116"/>
      <c r="M29" s="116"/>
      <c r="N29" s="116"/>
      <c r="O29" s="116"/>
      <c r="P29" s="116"/>
      <c r="Q29" s="116"/>
    </row>
    <row r="30" customFormat="false" ht="15" hidden="false" customHeight="false" outlineLevel="0" collapsed="false">
      <c r="B30" s="105" t="s">
        <v>121</v>
      </c>
      <c r="C30" s="106"/>
      <c r="D30" s="106"/>
      <c r="E30" s="106"/>
      <c r="F30" s="106"/>
      <c r="G30" s="107"/>
      <c r="H30" s="107" t="n">
        <f aca="false">H24+H27</f>
        <v>212981</v>
      </c>
      <c r="I30" s="118" t="n">
        <f aca="false">I24+I27</f>
        <v>223546</v>
      </c>
      <c r="J30" s="107" t="n">
        <f aca="false">J24+J27</f>
        <v>214137</v>
      </c>
      <c r="K30" s="107" t="n">
        <f aca="false">K24+K27</f>
        <v>210352</v>
      </c>
      <c r="L30" s="107" t="n">
        <f aca="false">L24+L27</f>
        <v>220960</v>
      </c>
      <c r="M30" s="107" t="n">
        <f aca="false">M24+M27</f>
        <v>235440.826493242</v>
      </c>
      <c r="N30" s="107" t="n">
        <f aca="false">N24+N27</f>
        <v>245517.693867153</v>
      </c>
      <c r="O30" s="107" t="n">
        <f aca="false">O24+O27</f>
        <v>256025.851164667</v>
      </c>
      <c r="P30" s="107" t="n">
        <f aca="false">P24+P27</f>
        <v>266143.992802695</v>
      </c>
      <c r="Q30" s="107" t="n">
        <f aca="false">Q24+Q27</f>
        <v>275789.051101864</v>
      </c>
    </row>
    <row r="31" customFormat="false" ht="15" hidden="false" customHeight="false" outlineLevel="0" collapsed="false">
      <c r="I31" s="42"/>
    </row>
    <row r="32" customFormat="false" ht="15" hidden="false" customHeight="false" outlineLevel="0" collapsed="false">
      <c r="B32" s="81" t="s">
        <v>122</v>
      </c>
      <c r="C32" s="53"/>
      <c r="D32" s="53"/>
      <c r="E32" s="53"/>
      <c r="F32" s="53"/>
      <c r="G32" s="53"/>
      <c r="H32" s="119" t="n">
        <f aca="false">H20-H30</f>
        <v>152836</v>
      </c>
      <c r="I32" s="83" t="n">
        <f aca="false">I20-I30</f>
        <v>170782</v>
      </c>
      <c r="J32" s="119" t="n">
        <f aca="false">J20-J30</f>
        <v>169148</v>
      </c>
      <c r="K32" s="119" t="n">
        <f aca="false">K20-K30</f>
        <v>180683</v>
      </c>
      <c r="L32" s="119" t="n">
        <f aca="false">L20-L30</f>
        <v>195201</v>
      </c>
      <c r="M32" s="119" t="n">
        <f aca="false">M20-M30</f>
        <v>198531.864306758</v>
      </c>
      <c r="N32" s="119" t="n">
        <f aca="false">N20-N30</f>
        <v>207029.028099087</v>
      </c>
      <c r="O32" s="119" t="n">
        <f aca="false">O20-O30</f>
        <v>215889.870501728</v>
      </c>
      <c r="P32" s="119" t="n">
        <f aca="false">P20-P30</f>
        <v>224421.838183956</v>
      </c>
      <c r="Q32" s="119" t="n">
        <f aca="false">Q20-Q30</f>
        <v>232554.885599743</v>
      </c>
      <c r="S32" s="110" t="n">
        <f aca="false">IFERROR((I32/H32)^(1/(COLUMNS(H32:I32)-1))-1,"")</f>
        <v>0.117419979585961</v>
      </c>
      <c r="T32" s="110" t="n">
        <f aca="false">IFERROR((Q32/J32)^(1/(COLUMNS(J32:Q32)-1))-1,"")</f>
        <v>0.0465289066135819</v>
      </c>
    </row>
    <row r="33" customFormat="false" ht="15" hidden="false" customHeight="false" outlineLevel="0" collapsed="false">
      <c r="B33" s="111" t="s">
        <v>123</v>
      </c>
      <c r="H33" s="113" t="n">
        <f aca="false">IFERROR(H32/H20,0)</f>
        <v>0.417793596251678</v>
      </c>
      <c r="I33" s="112" t="n">
        <f aca="false">IFERROR(I32/I20,0)</f>
        <v>0.433096305613601</v>
      </c>
      <c r="J33" s="113" t="n">
        <f aca="false">IFERROR(J32/J20,0)</f>
        <v>0.441311295772076</v>
      </c>
      <c r="K33" s="113" t="n">
        <f aca="false">IFERROR(K32/K20,0)</f>
        <v>0.462063498152339</v>
      </c>
      <c r="L33" s="113" t="n">
        <f aca="false">IFERROR(L32/L20,0)</f>
        <v>0.469051641071605</v>
      </c>
      <c r="M33" s="113" t="n">
        <f aca="false">IFERROR(M32/M20,0)</f>
        <v>0.457475478332007</v>
      </c>
      <c r="N33" s="113" t="n">
        <f aca="false">IFERROR(N32/N20,0)</f>
        <v>0.457475478332007</v>
      </c>
      <c r="O33" s="113" t="n">
        <f aca="false">IFERROR(O32/O20,0)</f>
        <v>0.457475478332007</v>
      </c>
      <c r="P33" s="113" t="n">
        <f aca="false">IFERROR(P32/P20,0)</f>
        <v>0.457475478332006</v>
      </c>
      <c r="Q33" s="113" t="n">
        <f aca="false">IFERROR(Q32/Q20,0)</f>
        <v>0.457475478332007</v>
      </c>
    </row>
    <row r="34" customFormat="false" ht="15" hidden="false" customHeight="false" outlineLevel="0" collapsed="false">
      <c r="I34" s="42"/>
    </row>
    <row r="35" customFormat="false" ht="15" hidden="false" customHeight="false" outlineLevel="0" collapsed="false">
      <c r="B35" s="28" t="s">
        <v>124</v>
      </c>
      <c r="I35" s="42"/>
    </row>
    <row r="36" customFormat="false" ht="15" hidden="false" customHeight="false" outlineLevel="0" collapsed="false">
      <c r="B36" s="0" t="s">
        <v>125</v>
      </c>
      <c r="H36" s="45" t="n">
        <f aca="false">'Data Given (Recalculated)'!G24</f>
        <v>21914</v>
      </c>
      <c r="I36" s="46" t="n">
        <f aca="false">'Data Given (Recalculated)'!H24</f>
        <v>26251</v>
      </c>
      <c r="J36" s="45" t="n">
        <f aca="false">'Data Given (Recalculated)'!I24</f>
        <v>29915</v>
      </c>
      <c r="K36" s="45" t="n">
        <f aca="false">'Data Given (Recalculated)'!J24</f>
        <v>31370</v>
      </c>
      <c r="L36" s="45" t="n">
        <f aca="false">'Data Given (Recalculated)'!K24</f>
        <v>34550</v>
      </c>
      <c r="M36" s="45" t="n">
        <f aca="false">M20*M37</f>
        <v>36028.74</v>
      </c>
      <c r="N36" s="45" t="n">
        <f aca="false">N20*N37</f>
        <v>37570.770072</v>
      </c>
      <c r="O36" s="45" t="n">
        <f aca="false">O20*O37</f>
        <v>39178.7990310816</v>
      </c>
      <c r="P36" s="45" t="n">
        <f aca="false">P20*P37</f>
        <v>40727.1451687899</v>
      </c>
      <c r="Q36" s="45" t="n">
        <f aca="false">Q20*Q37</f>
        <v>42203.0969097069</v>
      </c>
      <c r="S36" s="110" t="n">
        <f aca="false">IFERROR((I36/H36)^(1/(COLUMNS(H36:I36)-1))-1,"")</f>
        <v>0.197910011864561</v>
      </c>
      <c r="T36" s="110" t="n">
        <f aca="false">IFERROR((Q36/J36)^(1/(COLUMNS(J36:Q36)-1))-1,"")</f>
        <v>0.0503904368940327</v>
      </c>
    </row>
    <row r="37" customFormat="false" ht="15" hidden="false" customHeight="false" outlineLevel="0" collapsed="false">
      <c r="B37" s="111" t="s">
        <v>119</v>
      </c>
      <c r="H37" s="120" t="n">
        <f aca="false">IFERROR(H36/H20,0)</f>
        <v>0.0599042690744279</v>
      </c>
      <c r="I37" s="121" t="n">
        <f aca="false">IFERROR(I36/I20,0)</f>
        <v>0.0665714836379867</v>
      </c>
      <c r="J37" s="120" t="n">
        <f aca="false">IFERROR(J36/J20,0)</f>
        <v>0.0780489713920451</v>
      </c>
      <c r="K37" s="120" t="n">
        <f aca="false">IFERROR(K36/K20,0)</f>
        <v>0.0802229979413607</v>
      </c>
      <c r="L37" s="120" t="n">
        <f aca="false">IFERROR(L36/L20,0)</f>
        <v>0.0830207539870387</v>
      </c>
      <c r="M37" s="120" t="n">
        <f aca="false">L37</f>
        <v>0.0830207539870387</v>
      </c>
      <c r="N37" s="120" t="n">
        <f aca="false">M37</f>
        <v>0.0830207539870387</v>
      </c>
      <c r="O37" s="120" t="n">
        <f aca="false">N37</f>
        <v>0.0830207539870387</v>
      </c>
      <c r="P37" s="120" t="n">
        <f aca="false">O37</f>
        <v>0.0830207539870387</v>
      </c>
      <c r="Q37" s="120" t="n">
        <f aca="false">P37</f>
        <v>0.0830207539870387</v>
      </c>
    </row>
    <row r="38" customFormat="false" ht="15" hidden="false" customHeight="false" outlineLevel="0" collapsed="false">
      <c r="I38" s="42"/>
    </row>
    <row r="39" customFormat="false" ht="15" hidden="false" customHeight="false" outlineLevel="0" collapsed="false">
      <c r="B39" s="0" t="s">
        <v>126</v>
      </c>
      <c r="H39" s="45" t="n">
        <f aca="false">'Data Given (Recalculated)'!G25</f>
        <v>21973</v>
      </c>
      <c r="I39" s="46" t="n">
        <f aca="false">'Data Given (Recalculated)'!H25</f>
        <v>25094</v>
      </c>
      <c r="J39" s="45" t="n">
        <f aca="false">'Data Given (Recalculated)'!I25</f>
        <v>24932</v>
      </c>
      <c r="K39" s="45" t="n">
        <f aca="false">'Data Given (Recalculated)'!J25</f>
        <v>26097</v>
      </c>
      <c r="L39" s="45" t="n">
        <f aca="false">'Data Given (Recalculated)'!K25</f>
        <v>27601</v>
      </c>
      <c r="M39" s="45" t="n">
        <f aca="false">M20*M40</f>
        <v>28782.3228</v>
      </c>
      <c r="N39" s="45" t="n">
        <f aca="false">N20*N40</f>
        <v>30014.20621584</v>
      </c>
      <c r="O39" s="45" t="n">
        <f aca="false">O20*O40</f>
        <v>31298.814241878</v>
      </c>
      <c r="P39" s="45" t="n">
        <f aca="false">P20*P40</f>
        <v>32535.743380717</v>
      </c>
      <c r="Q39" s="45" t="n">
        <f aca="false">Q20*Q40</f>
        <v>33714.8387208342</v>
      </c>
      <c r="S39" s="110" t="n">
        <f aca="false">IFERROR((I39/H39)^(1/(COLUMNS(H39:I39)-1))-1,"")</f>
        <v>0.142037955672871</v>
      </c>
      <c r="T39" s="110" t="n">
        <f aca="false">IFERROR((Q39/J39)^(1/(COLUMNS(J39:Q39)-1))-1,"")</f>
        <v>0.0440551117392196</v>
      </c>
    </row>
    <row r="40" customFormat="false" ht="15" hidden="false" customHeight="false" outlineLevel="0" collapsed="false">
      <c r="B40" s="111" t="s">
        <v>119</v>
      </c>
      <c r="H40" s="120" t="n">
        <f aca="false">IFERROR(H39/H20,0)</f>
        <v>0.0600655519016339</v>
      </c>
      <c r="I40" s="121" t="n">
        <f aca="false">IFERROR(I39/I20,0)</f>
        <v>0.0636373780203283</v>
      </c>
      <c r="J40" s="120" t="n">
        <f aca="false">IFERROR(J39/J20,0)</f>
        <v>0.0650482017297833</v>
      </c>
      <c r="K40" s="120" t="n">
        <f aca="false">IFERROR(K39/K20,0)</f>
        <v>0.0667382715102229</v>
      </c>
      <c r="L40" s="120" t="n">
        <f aca="false">IFERROR(L39/L20,0)</f>
        <v>0.066322889458647</v>
      </c>
      <c r="M40" s="120" t="n">
        <f aca="false">L40</f>
        <v>0.066322889458647</v>
      </c>
      <c r="N40" s="120" t="n">
        <f aca="false">M40</f>
        <v>0.066322889458647</v>
      </c>
      <c r="O40" s="120" t="n">
        <f aca="false">N40</f>
        <v>0.066322889458647</v>
      </c>
      <c r="P40" s="120" t="n">
        <f aca="false">O40</f>
        <v>0.066322889458647</v>
      </c>
      <c r="Q40" s="120" t="n">
        <f aca="false">P40</f>
        <v>0.066322889458647</v>
      </c>
    </row>
    <row r="41" customFormat="false" ht="15" hidden="false" customHeight="false" outlineLevel="0" collapsed="false">
      <c r="B41" s="122"/>
      <c r="I41" s="42"/>
    </row>
    <row r="42" customFormat="false" ht="15" hidden="false" customHeight="false" outlineLevel="0" collapsed="false">
      <c r="B42" s="0" t="s">
        <v>127</v>
      </c>
      <c r="H42" s="45" t="n">
        <f aca="false">'Data Given (Recalculated)'!G26</f>
        <v>11284</v>
      </c>
      <c r="I42" s="46" t="n">
        <f aca="false">'Data Given (Recalculated)'!H26</f>
        <v>11104</v>
      </c>
      <c r="J42" s="45" t="n">
        <f aca="false">'Data Given (Recalculated)'!I26</f>
        <v>11519</v>
      </c>
      <c r="K42" s="45" t="n">
        <f aca="false">'Data Given (Recalculated)'!J26</f>
        <v>11445</v>
      </c>
      <c r="L42" s="45" t="n">
        <f aca="false">'Data Given (Recalculated)'!K26</f>
        <v>11698</v>
      </c>
      <c r="M42" s="45" t="n">
        <f aca="false">M20*$F$13</f>
        <v>12647.5768263662</v>
      </c>
      <c r="N42" s="45" t="n">
        <f aca="false">N20*$F$13</f>
        <v>13188.8931145346</v>
      </c>
      <c r="O42" s="45" t="n">
        <f aca="false">O20*$F$13</f>
        <v>13753.3777398367</v>
      </c>
      <c r="P42" s="45" t="n">
        <f aca="false">P20*$F$13</f>
        <v>14296.9112281151</v>
      </c>
      <c r="Q42" s="45" t="n">
        <f aca="false">Q20*$F$13</f>
        <v>14815.0312910219</v>
      </c>
      <c r="S42" s="110" t="n">
        <f aca="false">IFERROR((I42/H42)^(1/(COLUMNS(H42:I42)-1))-1,"")</f>
        <v>-0.0159517901453385</v>
      </c>
      <c r="T42" s="110" t="n">
        <f aca="false">IFERROR((Q42/J42)^(1/(COLUMNS(J42:Q42)-1))-1,"")</f>
        <v>0.0366031927006671</v>
      </c>
    </row>
    <row r="43" customFormat="false" ht="15" hidden="false" customHeight="false" outlineLevel="0" collapsed="false">
      <c r="B43" s="111" t="s">
        <v>119</v>
      </c>
      <c r="H43" s="120" t="n">
        <f aca="false">IFERROR(H42/H20,0)</f>
        <v>0.0308460241049487</v>
      </c>
      <c r="I43" s="121" t="n">
        <f aca="false">IFERROR(I42/I20,0)</f>
        <v>0.0281592988578037</v>
      </c>
      <c r="J43" s="120" t="n">
        <f aca="false">IFERROR(J42/J20,0)</f>
        <v>0.0300533545534002</v>
      </c>
      <c r="K43" s="120" t="n">
        <f aca="false">IFERROR(K42/K20,0)</f>
        <v>0.0292684798035981</v>
      </c>
      <c r="L43" s="120" t="n">
        <f aca="false">IFERROR(L42/L20,0)</f>
        <v>0.0281093134628185</v>
      </c>
      <c r="M43" s="120" t="n">
        <f aca="false">L43</f>
        <v>0.0281093134628185</v>
      </c>
      <c r="N43" s="120" t="n">
        <f aca="false">M43</f>
        <v>0.0281093134628185</v>
      </c>
      <c r="O43" s="120" t="n">
        <f aca="false">N43</f>
        <v>0.0281093134628185</v>
      </c>
      <c r="P43" s="120" t="n">
        <f aca="false">O43</f>
        <v>0.0281093134628185</v>
      </c>
      <c r="Q43" s="120" t="n">
        <f aca="false">P43</f>
        <v>0.0281093134628185</v>
      </c>
    </row>
    <row r="44" customFormat="false" ht="15" hidden="false" customHeight="false" outlineLevel="0" collapsed="false">
      <c r="I44" s="42"/>
    </row>
    <row r="45" customFormat="false" ht="15" hidden="false" customHeight="false" outlineLevel="0" collapsed="false">
      <c r="B45" s="0" t="s">
        <v>128</v>
      </c>
      <c r="H45" s="45" t="n">
        <f aca="false">'Data Given (Recalculated)'!G27</f>
        <v>0</v>
      </c>
      <c r="I45" s="46" t="n">
        <f aca="false">'Data Given (Recalculated)'!H27</f>
        <v>0</v>
      </c>
      <c r="J45" s="45" t="n">
        <f aca="false">'Data Given (Recalculated)'!I27</f>
        <v>0</v>
      </c>
      <c r="K45" s="45" t="n">
        <f aca="false">'Data Given (Recalculated)'!J27</f>
        <v>0</v>
      </c>
      <c r="L45" s="45" t="n">
        <f aca="false">'Data Given (Recalculated)'!K27</f>
        <v>0</v>
      </c>
      <c r="M45" s="45" t="n">
        <f aca="false">M32-M36-M39-M20*M53</f>
        <v>-8608.36322173756</v>
      </c>
      <c r="N45" s="45" t="n">
        <f aca="false">N32-N36-N39-N20*N53</f>
        <v>-8189.38061484066</v>
      </c>
      <c r="O45" s="45" t="n">
        <f aca="false">O32-O36-O39-O20*O53</f>
        <v>-7718.76395270933</v>
      </c>
      <c r="P45" s="45" t="n">
        <f aca="false">P32-P36-P39-P20*P53</f>
        <v>-7170.23660420915</v>
      </c>
      <c r="Q45" s="45" t="n">
        <f aca="false">Q32-Q36-Q39-Q20*Q53</f>
        <v>-6545.57959694162</v>
      </c>
      <c r="S45" s="110" t="str">
        <f aca="false">IFERROR((I45/H45)^(1/(COLUMNS(H45:I45)-1))-1,"")</f>
        <v/>
      </c>
      <c r="T45" s="110" t="str">
        <f aca="false">IFERROR((Q45/J45)^(1/(COLUMNS(J45:Q45)-1))-1,"")</f>
        <v/>
      </c>
    </row>
    <row r="46" customFormat="false" ht="15" hidden="false" customHeight="false" outlineLevel="0" collapsed="false">
      <c r="B46" s="111" t="s">
        <v>119</v>
      </c>
      <c r="H46" s="120" t="n">
        <f aca="false">IFERROR(H45/H20,0)</f>
        <v>0</v>
      </c>
      <c r="I46" s="121" t="n">
        <f aca="false">IFERROR(I45/I20,0)</f>
        <v>0</v>
      </c>
      <c r="J46" s="120" t="n">
        <f aca="false">IFERROR(J45/J20,0)</f>
        <v>0</v>
      </c>
      <c r="K46" s="120" t="n">
        <f aca="false">IFERROR(K45/K20,0)</f>
        <v>0</v>
      </c>
      <c r="L46" s="120" t="n">
        <f aca="false">IFERROR(L45/L20,0)</f>
        <v>0</v>
      </c>
      <c r="M46" s="120" t="n">
        <f aca="false">IFERROR(M45/M20,0)</f>
        <v>-0.0198361864795423</v>
      </c>
      <c r="N46" s="120" t="n">
        <f aca="false">IFERROR(N45/N20,0)</f>
        <v>-0.0180962102194867</v>
      </c>
      <c r="O46" s="120" t="n">
        <f aca="false">IFERROR(O45/O20,0)</f>
        <v>-0.0163562339594311</v>
      </c>
      <c r="P46" s="120" t="n">
        <f aca="false">IFERROR(P45/P20,0)</f>
        <v>-0.0146162576993754</v>
      </c>
      <c r="Q46" s="120" t="n">
        <f aca="false">IFERROR(Q45/Q20,0)</f>
        <v>-0.0128762814393197</v>
      </c>
    </row>
    <row r="47" customFormat="false" ht="15" hidden="false" customHeight="false" outlineLevel="0" collapsed="false">
      <c r="B47" s="111"/>
      <c r="I47" s="42"/>
    </row>
    <row r="48" customFormat="false" ht="15" hidden="false" customHeight="false" outlineLevel="0" collapsed="false">
      <c r="B48" s="81" t="s">
        <v>129</v>
      </c>
      <c r="C48" s="53"/>
      <c r="D48" s="53"/>
      <c r="E48" s="53"/>
      <c r="F48" s="53"/>
      <c r="G48" s="53"/>
      <c r="H48" s="119" t="n">
        <f aca="false">-(H36+H39+H45)</f>
        <v>-43887</v>
      </c>
      <c r="I48" s="83" t="n">
        <f aca="false">-(I36+I39+I45)</f>
        <v>-51345</v>
      </c>
      <c r="J48" s="119" t="n">
        <f aca="false">-(J36+J39+J45)</f>
        <v>-54847</v>
      </c>
      <c r="K48" s="119" t="n">
        <f aca="false">-(K36+K39+K45)</f>
        <v>-57467</v>
      </c>
      <c r="L48" s="119" t="n">
        <f aca="false">-(L36+L39+L45)</f>
        <v>-62151</v>
      </c>
      <c r="M48" s="119" t="n">
        <f aca="false">-(M36+M39+M45)</f>
        <v>-56202.6995782624</v>
      </c>
      <c r="N48" s="119" t="n">
        <f aca="false">-(N36+N39+N45)</f>
        <v>-59395.5956729993</v>
      </c>
      <c r="O48" s="119" t="n">
        <f aca="false">-(O36+O39+O45)</f>
        <v>-62758.8493202502</v>
      </c>
      <c r="P48" s="119" t="n">
        <f aca="false">-(P36+P39+P45)</f>
        <v>-66092.6519452978</v>
      </c>
      <c r="Q48" s="119" t="n">
        <f aca="false">-(Q36+Q39+Q45)</f>
        <v>-69372.3560335994</v>
      </c>
      <c r="S48" s="110" t="n">
        <f aca="false">IFERROR((I48/H48)^(1/(COLUMNS(H48:I48)-1))-1,"")</f>
        <v>0.169936427643721</v>
      </c>
      <c r="T48" s="110" t="n">
        <f aca="false">IFERROR((Q48/J48)^(1/(COLUMNS(J48:Q48)-1))-1,"")</f>
        <v>0.0341325875228808</v>
      </c>
    </row>
    <row r="49" customFormat="false" ht="15" hidden="false" customHeight="false" outlineLevel="0" collapsed="false">
      <c r="B49" s="111" t="s">
        <v>119</v>
      </c>
      <c r="H49" s="123" t="n">
        <f aca="false">IFERROR(-H48/H20,0)</f>
        <v>0.119969820976062</v>
      </c>
      <c r="I49" s="124" t="n">
        <f aca="false">IFERROR(-I48/I20,0)</f>
        <v>0.130208861658315</v>
      </c>
      <c r="J49" s="123" t="n">
        <f aca="false">IFERROR(-J48/J20,0)</f>
        <v>0.143097173121828</v>
      </c>
      <c r="K49" s="123" t="n">
        <f aca="false">IFERROR(-K48/K20,0)</f>
        <v>0.146961269451584</v>
      </c>
      <c r="L49" s="123" t="n">
        <f aca="false">IFERROR(-L48/L20,0)</f>
        <v>0.149343643445686</v>
      </c>
      <c r="M49" s="123" t="n">
        <f aca="false">IFERROR(-M48/M20,0)</f>
        <v>0.129507456966143</v>
      </c>
      <c r="N49" s="123" t="n">
        <f aca="false">IFERROR(-N48/N20,0)</f>
        <v>0.131247433226199</v>
      </c>
      <c r="O49" s="123" t="n">
        <f aca="false">IFERROR(-O48/O20,0)</f>
        <v>0.132987409486255</v>
      </c>
      <c r="P49" s="123" t="n">
        <f aca="false">IFERROR(-P48/P20,0)</f>
        <v>0.13472738574631</v>
      </c>
      <c r="Q49" s="123" t="n">
        <f aca="false">IFERROR(-Q48/Q20,0)</f>
        <v>0.136467362006366</v>
      </c>
    </row>
    <row r="50" customFormat="false" ht="15" hidden="false" customHeight="false" outlineLevel="0" collapsed="false">
      <c r="I50" s="42"/>
    </row>
    <row r="51" customFormat="false" ht="15" hidden="false" customHeight="false" outlineLevel="0" collapsed="false">
      <c r="B51" s="0" t="s">
        <v>45</v>
      </c>
      <c r="H51" s="43" t="n">
        <f aca="false">H32+H48</f>
        <v>108949</v>
      </c>
      <c r="I51" s="44" t="n">
        <f aca="false">I32+I48</f>
        <v>119437</v>
      </c>
      <c r="J51" s="43" t="n">
        <f aca="false">J32+J48</f>
        <v>114301</v>
      </c>
      <c r="K51" s="43" t="n">
        <f aca="false">K32+K48</f>
        <v>123216</v>
      </c>
      <c r="L51" s="43" t="n">
        <f aca="false">L32+L48</f>
        <v>133050</v>
      </c>
      <c r="M51" s="43" t="n">
        <f aca="false">M32+M48</f>
        <v>142329.164728496</v>
      </c>
      <c r="N51" s="43" t="n">
        <f aca="false">N32+N48</f>
        <v>147633.432426088</v>
      </c>
      <c r="O51" s="43" t="n">
        <f aca="false">O32+O48</f>
        <v>153131.021181478</v>
      </c>
      <c r="P51" s="43" t="n">
        <f aca="false">P32+P48</f>
        <v>158329.186238659</v>
      </c>
      <c r="Q51" s="43" t="n">
        <f aca="false">Q32+Q48</f>
        <v>163182.529566144</v>
      </c>
      <c r="S51" s="110" t="n">
        <f aca="false">IFERROR((I51/H51)^(1/(COLUMNS(H51:I51)-1))-1,"")</f>
        <v>0.0962652250135385</v>
      </c>
      <c r="T51" s="110" t="n">
        <f aca="false">IFERROR((Q51/J51)^(1/(COLUMNS(J51:Q51)-1))-1,"")</f>
        <v>0.0521776929503963</v>
      </c>
    </row>
    <row r="52" customFormat="false" ht="15" hidden="false" customHeight="false" outlineLevel="0" collapsed="false">
      <c r="B52" s="111" t="s">
        <v>123</v>
      </c>
      <c r="H52" s="113" t="n">
        <f aca="false">IFERROR(H51/H20,0)</f>
        <v>0.297823775275616</v>
      </c>
      <c r="I52" s="112" t="n">
        <f aca="false">IFERROR(I51/I20,0)</f>
        <v>0.302887443955286</v>
      </c>
      <c r="J52" s="113" t="n">
        <f aca="false">IFERROR(J51/J20,0)</f>
        <v>0.298214122650247</v>
      </c>
      <c r="K52" s="113" t="n">
        <f aca="false">IFERROR(K51/K20,0)</f>
        <v>0.315102228700756</v>
      </c>
      <c r="L52" s="113" t="n">
        <f aca="false">IFERROR(L51/L20,0)</f>
        <v>0.319707997625919</v>
      </c>
      <c r="M52" s="113" t="n">
        <f aca="false">IFERROR(M51/M20,0)</f>
        <v>0.327968021365863</v>
      </c>
      <c r="N52" s="113" t="n">
        <f aca="false">IFERROR(N51/N20,0)</f>
        <v>0.326228045105808</v>
      </c>
      <c r="O52" s="113" t="n">
        <f aca="false">IFERROR(O51/O20,0)</f>
        <v>0.324488068845752</v>
      </c>
      <c r="P52" s="113" t="n">
        <f aca="false">IFERROR(P51/P20,0)</f>
        <v>0.322748092585696</v>
      </c>
      <c r="Q52" s="113" t="n">
        <f aca="false">IFERROR(Q51/Q20,0)</f>
        <v>0.321008116325641</v>
      </c>
    </row>
    <row r="53" customFormat="false" ht="15" hidden="false" customHeight="false" outlineLevel="0" collapsed="false">
      <c r="B53" s="28" t="s">
        <v>130</v>
      </c>
      <c r="I53" s="42"/>
      <c r="M53" s="113" t="n">
        <f aca="false">IF(M$83&lt;$I$13,$F$15+($F$17-$F$15)*M$83/$I$13,$F$17)</f>
        <v>0.327968021365863</v>
      </c>
      <c r="N53" s="113" t="n">
        <f aca="false">IF(N$83&lt;$I$13,$F$15+($F$17-$F$15)*N$83/$I$13,$F$17)</f>
        <v>0.326228045105808</v>
      </c>
      <c r="O53" s="113" t="n">
        <f aca="false">IF(O$83&lt;$I$13,$F$15+($F$17-$F$15)*O$83/$I$13,$F$17)</f>
        <v>0.324488068845752</v>
      </c>
      <c r="P53" s="113" t="n">
        <f aca="false">IF(P$83&lt;$I$13,$F$15+($F$17-$F$15)*P$83/$I$13,$F$17)</f>
        <v>0.322748092585696</v>
      </c>
      <c r="Q53" s="113" t="n">
        <f aca="false">IF(Q$83&lt;$I$13,$F$15+($F$17-$F$15)*Q$83/$I$13,$F$17)</f>
        <v>0.321008116325641</v>
      </c>
    </row>
    <row r="54" customFormat="false" ht="15" hidden="false" customHeight="false" outlineLevel="0" collapsed="false">
      <c r="B54" s="105" t="s">
        <v>47</v>
      </c>
      <c r="C54" s="106"/>
      <c r="D54" s="106"/>
      <c r="E54" s="106"/>
      <c r="F54" s="106"/>
      <c r="G54" s="107"/>
      <c r="H54" s="107" t="n">
        <f aca="false">H51+H68</f>
        <v>120233</v>
      </c>
      <c r="I54" s="118" t="n">
        <f aca="false">I51+I68</f>
        <v>130541</v>
      </c>
      <c r="J54" s="107" t="n">
        <f aca="false">J51+J68</f>
        <v>125820</v>
      </c>
      <c r="K54" s="107" t="n">
        <f aca="false">K51+K68</f>
        <v>134661</v>
      </c>
      <c r="L54" s="107" t="n">
        <f aca="false">L51+L68</f>
        <v>144748</v>
      </c>
      <c r="M54" s="107" t="n">
        <f aca="false">M51+M68</f>
        <v>154976.741554862</v>
      </c>
      <c r="N54" s="107" t="n">
        <f aca="false">N51+N68</f>
        <v>160822.325540622</v>
      </c>
      <c r="O54" s="107" t="n">
        <f aca="false">O51+O68</f>
        <v>166884.398921315</v>
      </c>
      <c r="P54" s="107" t="n">
        <f aca="false">P51+P68</f>
        <v>172626.097466774</v>
      </c>
      <c r="Q54" s="107" t="n">
        <f aca="false">Q51+Q68</f>
        <v>177997.560857166</v>
      </c>
      <c r="S54" s="110" t="n">
        <f aca="false">IFERROR((I54/H54)^(1/(COLUMNS(H54:I54)-1))-1,"")</f>
        <v>0.0857335340547105</v>
      </c>
      <c r="T54" s="110" t="n">
        <f aca="false">IFERROR((Q54/J54)^(1/(COLUMNS(J54:Q54)-1))-1,"")</f>
        <v>0.0508082685078179</v>
      </c>
    </row>
    <row r="55" customFormat="false" ht="15" hidden="false" customHeight="false" outlineLevel="0" collapsed="false">
      <c r="B55" s="111" t="s">
        <v>123</v>
      </c>
      <c r="G55" s="125"/>
      <c r="H55" s="113" t="n">
        <f aca="false">IFERROR(H54/H20,0)</f>
        <v>0.328669799380565</v>
      </c>
      <c r="I55" s="112" t="n">
        <f aca="false">IFERROR(I54/I20,0)</f>
        <v>0.33104674281309</v>
      </c>
      <c r="J55" s="113" t="n">
        <f aca="false">IFERROR(J54/J20,0)</f>
        <v>0.328267477203647</v>
      </c>
      <c r="K55" s="113" t="n">
        <f aca="false">IFERROR(K54/K20,0)</f>
        <v>0.344370708504354</v>
      </c>
      <c r="L55" s="113" t="n">
        <f aca="false">IFERROR(L54/L20,0)</f>
        <v>0.347817311088737</v>
      </c>
      <c r="M55" s="113" t="n">
        <f aca="false">IFERROR(M54/M20,0)</f>
        <v>0.357111737305802</v>
      </c>
      <c r="N55" s="113" t="n">
        <f aca="false">IFERROR(N54/N20,0)</f>
        <v>0.355371761045746</v>
      </c>
      <c r="O55" s="113" t="n">
        <f aca="false">IFERROR(O54/O20,0)</f>
        <v>0.353631784785691</v>
      </c>
      <c r="P55" s="113" t="n">
        <f aca="false">IFERROR(P54/P20,0)</f>
        <v>0.351891808525635</v>
      </c>
      <c r="Q55" s="113" t="n">
        <f aca="false">IFERROR(Q54/Q20,0)</f>
        <v>0.35015183226558</v>
      </c>
    </row>
    <row r="56" customFormat="false" ht="15" hidden="false" customHeight="false" outlineLevel="0" collapsed="false">
      <c r="B56" s="122"/>
      <c r="H56" s="126"/>
      <c r="I56" s="127"/>
      <c r="J56" s="126"/>
      <c r="K56" s="126"/>
      <c r="L56" s="126"/>
      <c r="M56" s="126"/>
      <c r="N56" s="126"/>
      <c r="O56" s="126"/>
      <c r="P56" s="126"/>
      <c r="Q56" s="126"/>
    </row>
    <row r="57" customFormat="false" ht="15" hidden="false" customHeight="false" outlineLevel="0" collapsed="false">
      <c r="B57" s="0" t="s">
        <v>131</v>
      </c>
      <c r="H57" s="43" t="n">
        <f aca="false">-H51*H58</f>
        <v>-17006.9414445976</v>
      </c>
      <c r="I57" s="44" t="n">
        <f aca="false">-I51*I58</f>
        <v>-18644.1184895539</v>
      </c>
      <c r="J57" s="43" t="n">
        <f aca="false">-J51*J58</f>
        <v>-17842.3887695982</v>
      </c>
      <c r="K57" s="43" t="n">
        <f aca="false">-K51*K58</f>
        <v>-19234.0204778157</v>
      </c>
      <c r="L57" s="43" t="n">
        <f aca="false">-L51*L58</f>
        <v>-20769.1081074972</v>
      </c>
      <c r="M57" s="43" t="n">
        <f aca="false">-M51*M58</f>
        <v>-22217.5859383383</v>
      </c>
      <c r="N57" s="43" t="n">
        <f aca="false">-N51*N58</f>
        <v>-23045.5822498182</v>
      </c>
      <c r="O57" s="43" t="n">
        <f aca="false">-O51*O58</f>
        <v>-23903.7559829355</v>
      </c>
      <c r="P57" s="43" t="n">
        <f aca="false">-P51*P58</f>
        <v>-24715.189669769</v>
      </c>
      <c r="Q57" s="43" t="n">
        <f aca="false">-Q51*Q58</f>
        <v>-25472.7966765434</v>
      </c>
      <c r="S57" s="120"/>
    </row>
    <row r="58" customFormat="false" ht="15" hidden="false" customHeight="false" outlineLevel="0" collapsed="false">
      <c r="B58" s="111" t="s">
        <v>132</v>
      </c>
      <c r="H58" s="123" t="n">
        <f aca="false">$F$11</f>
        <v>0.15610002335586</v>
      </c>
      <c r="I58" s="124" t="n">
        <f aca="false">$F$11</f>
        <v>0.15610002335586</v>
      </c>
      <c r="J58" s="123" t="n">
        <f aca="false">$F$11</f>
        <v>0.15610002335586</v>
      </c>
      <c r="K58" s="123" t="n">
        <f aca="false">$F$11</f>
        <v>0.15610002335586</v>
      </c>
      <c r="L58" s="123" t="n">
        <f aca="false">$F$11</f>
        <v>0.15610002335586</v>
      </c>
      <c r="M58" s="123" t="n">
        <f aca="false">$F$11</f>
        <v>0.15610002335586</v>
      </c>
      <c r="N58" s="123" t="n">
        <f aca="false">$F$11</f>
        <v>0.15610002335586</v>
      </c>
      <c r="O58" s="123" t="n">
        <f aca="false">$F$11</f>
        <v>0.15610002335586</v>
      </c>
      <c r="P58" s="123" t="n">
        <f aca="false">$F$11</f>
        <v>0.15610002335586</v>
      </c>
      <c r="Q58" s="123" t="n">
        <f aca="false">$F$11</f>
        <v>0.15610002335586</v>
      </c>
    </row>
    <row r="59" customFormat="false" ht="15" hidden="false" customHeight="false" outlineLevel="0" collapsed="false">
      <c r="I59" s="42"/>
    </row>
    <row r="60" customFormat="false" ht="15" hidden="false" customHeight="false" outlineLevel="0" collapsed="false">
      <c r="B60" s="105" t="s">
        <v>48</v>
      </c>
      <c r="C60" s="106"/>
      <c r="D60" s="106"/>
      <c r="E60" s="106"/>
      <c r="F60" s="106"/>
      <c r="G60" s="107"/>
      <c r="H60" s="107" t="n">
        <f aca="false">H51+H57</f>
        <v>91942.0585554024</v>
      </c>
      <c r="I60" s="118" t="n">
        <f aca="false">I51+I57</f>
        <v>100792.881510446</v>
      </c>
      <c r="J60" s="107" t="n">
        <f aca="false">J51+J57</f>
        <v>96458.6112304018</v>
      </c>
      <c r="K60" s="107" t="n">
        <f aca="false">K51+K57</f>
        <v>103981.979522184</v>
      </c>
      <c r="L60" s="107" t="n">
        <f aca="false">L51+L57</f>
        <v>112280.891892503</v>
      </c>
      <c r="M60" s="107" t="n">
        <f aca="false">M51+M57</f>
        <v>120111.578790157</v>
      </c>
      <c r="N60" s="107" t="n">
        <f aca="false">N51+N57</f>
        <v>124587.85017627</v>
      </c>
      <c r="O60" s="107" t="n">
        <f aca="false">O51+O57</f>
        <v>129227.265198542</v>
      </c>
      <c r="P60" s="107" t="n">
        <f aca="false">P51+P57</f>
        <v>133613.99656889</v>
      </c>
      <c r="Q60" s="107" t="n">
        <f aca="false">Q51+Q57</f>
        <v>137709.7328896</v>
      </c>
      <c r="S60" s="110" t="n">
        <f aca="false">IFERROR((I60/H60)^(1/(COLUMNS(H60:I60)-1))-1,"")</f>
        <v>0.0962652250135387</v>
      </c>
      <c r="T60" s="110" t="n">
        <f aca="false">IFERROR((Q60/J60)^(1/(COLUMNS(J60:Q60)-1))-1,"")</f>
        <v>0.0521776929503963</v>
      </c>
    </row>
    <row r="61" customFormat="false" ht="15" hidden="false" customHeight="false" outlineLevel="0" collapsed="false">
      <c r="B61" s="111" t="s">
        <v>133</v>
      </c>
      <c r="H61" s="113" t="n">
        <f aca="false">IFERROR(H60/H20,0)</f>
        <v>0.251333476999162</v>
      </c>
      <c r="I61" s="112" t="n">
        <f aca="false">IFERROR(I60/I20,0)</f>
        <v>0.255606706879669</v>
      </c>
      <c r="J61" s="113" t="n">
        <f aca="false">IFERROR(J60/J20,0)</f>
        <v>0.251662891139496</v>
      </c>
      <c r="K61" s="113" t="n">
        <f aca="false">IFERROR(K60/K20,0)</f>
        <v>0.265914763441084</v>
      </c>
      <c r="L61" s="113" t="n">
        <f aca="false">IFERROR(L60/L20,0)</f>
        <v>0.269801571729458</v>
      </c>
      <c r="M61" s="113" t="n">
        <f aca="false">IFERROR(M60/M20,0)</f>
        <v>0.276772205570677</v>
      </c>
      <c r="N61" s="113" t="n">
        <f aca="false">IFERROR(N60/N20,0)</f>
        <v>0.275303839645454</v>
      </c>
      <c r="O61" s="113" t="n">
        <f aca="false">IFERROR(O60/O20,0)</f>
        <v>0.273835473720232</v>
      </c>
      <c r="P61" s="113" t="n">
        <f aca="false">IFERROR(P60/P20,0)</f>
        <v>0.27236710779501</v>
      </c>
      <c r="Q61" s="113" t="n">
        <f aca="false">IFERROR(Q60/Q20,0)</f>
        <v>0.270898741869787</v>
      </c>
    </row>
    <row r="62" customFormat="false" ht="15" hidden="false" customHeight="false" outlineLevel="0" collapsed="false">
      <c r="I62" s="42"/>
    </row>
    <row r="63" customFormat="false" ht="15" hidden="false" customHeight="false" outlineLevel="0" collapsed="false">
      <c r="B63" s="87" t="s">
        <v>134</v>
      </c>
      <c r="C63" s="88"/>
      <c r="D63" s="88"/>
      <c r="E63" s="88"/>
      <c r="F63" s="88"/>
      <c r="G63" s="88"/>
      <c r="H63" s="101" t="s">
        <v>35</v>
      </c>
      <c r="I63" s="102" t="s">
        <v>36</v>
      </c>
      <c r="J63" s="103" t="s">
        <v>37</v>
      </c>
      <c r="K63" s="103" t="s">
        <v>38</v>
      </c>
      <c r="L63" s="103" t="s">
        <v>39</v>
      </c>
      <c r="M63" s="103" t="s">
        <v>40</v>
      </c>
      <c r="N63" s="103" t="s">
        <v>41</v>
      </c>
      <c r="O63" s="103" t="s">
        <v>42</v>
      </c>
      <c r="P63" s="103" t="s">
        <v>43</v>
      </c>
      <c r="Q63" s="103" t="s">
        <v>44</v>
      </c>
    </row>
    <row r="64" customFormat="false" ht="15" hidden="false" customHeight="false" outlineLevel="0" collapsed="false">
      <c r="B64" s="75"/>
      <c r="I64" s="42"/>
    </row>
    <row r="65" customFormat="false" ht="15" hidden="false" customHeight="false" outlineLevel="0" collapsed="false">
      <c r="B65" s="0" t="s">
        <v>135</v>
      </c>
      <c r="H65" s="43" t="n">
        <f aca="false">IF('Data Given (Recalculated)'!G35="","",-'Data Given (Recalculated)'!G35)</f>
        <v>-11085</v>
      </c>
      <c r="I65" s="44" t="n">
        <f aca="false">IF('Data Given (Recalculated)'!H35="","",-'Data Given (Recalculated)'!H35)</f>
        <v>-10708</v>
      </c>
      <c r="J65" s="43" t="n">
        <f aca="false">IF('Data Given (Recalculated)'!I35="","",-'Data Given (Recalculated)'!I35)</f>
        <v>-10959</v>
      </c>
      <c r="K65" s="43" t="n">
        <f aca="false">IF('Data Given (Recalculated)'!J35="","",-'Data Given (Recalculated)'!J35)</f>
        <v>-9447</v>
      </c>
      <c r="L65" s="43" t="n">
        <f aca="false">IF('Data Given (Recalculated)'!K35="","",-'Data Given (Recalculated)'!K35)</f>
        <v>-12715</v>
      </c>
      <c r="M65" s="43" t="n">
        <f aca="false">-M20*$F$9</f>
        <v>-10965.671530777</v>
      </c>
      <c r="N65" s="43" t="n">
        <f aca="false">-N20*$F$9</f>
        <v>-11435.0022722943</v>
      </c>
      <c r="O65" s="43" t="n">
        <f aca="false">-O20*$F$9</f>
        <v>-11924.4203695485</v>
      </c>
      <c r="P65" s="43" t="n">
        <f aca="false">-P20*$F$9</f>
        <v>-12395.673462553</v>
      </c>
      <c r="Q65" s="43" t="n">
        <f aca="false">-Q20*$F$9</f>
        <v>-12844.8926688359</v>
      </c>
    </row>
    <row r="66" customFormat="false" ht="15" hidden="false" customHeight="false" outlineLevel="0" collapsed="false">
      <c r="B66" s="111" t="s">
        <v>136</v>
      </c>
      <c r="H66" s="113" t="n">
        <f aca="false">IFERROR(-H65/H20,0)</f>
        <v>0.0303020362640337</v>
      </c>
      <c r="I66" s="112" t="n">
        <f aca="false">IFERROR(-I65/I20,0)</f>
        <v>0.0271550587328316</v>
      </c>
      <c r="J66" s="113" t="n">
        <f aca="false">IFERROR(-J65/J20,0)</f>
        <v>0.0285923007683578</v>
      </c>
      <c r="K66" s="113" t="n">
        <f aca="false">IFERROR(-K65/K20,0)</f>
        <v>0.0241589627526948</v>
      </c>
      <c r="L66" s="113" t="n">
        <f aca="false">IFERROR(-L65/L20,0)</f>
        <v>0.0305530792169377</v>
      </c>
      <c r="M66" s="113" t="n">
        <f aca="false">IFERROR(-M65/M20,0)</f>
        <v>0.0252681142459967</v>
      </c>
      <c r="N66" s="113" t="n">
        <f aca="false">IFERROR(-N65/N20,0)</f>
        <v>0.0252681142459967</v>
      </c>
      <c r="O66" s="113" t="n">
        <f aca="false">IFERROR(-O65/O20,0)</f>
        <v>0.0252681142459967</v>
      </c>
      <c r="P66" s="113" t="n">
        <f aca="false">IFERROR(-P65/P20,0)</f>
        <v>0.0252681142459967</v>
      </c>
      <c r="Q66" s="113" t="n">
        <f aca="false">IFERROR(-Q65/Q20,0)</f>
        <v>0.0252681142459967</v>
      </c>
    </row>
    <row r="67" customFormat="false" ht="15" hidden="false" customHeight="false" outlineLevel="0" collapsed="false">
      <c r="H67" s="113"/>
      <c r="I67" s="112"/>
      <c r="J67" s="113"/>
      <c r="K67" s="113"/>
      <c r="L67" s="113"/>
      <c r="M67" s="113"/>
      <c r="N67" s="113"/>
      <c r="O67" s="113"/>
      <c r="P67" s="113"/>
      <c r="Q67" s="113"/>
    </row>
    <row r="68" customFormat="false" ht="15" hidden="false" customHeight="false" outlineLevel="0" collapsed="false">
      <c r="B68" s="0" t="s">
        <v>137</v>
      </c>
      <c r="H68" s="43" t="n">
        <f aca="false">IF('Data Given (Recalculated)'!G36="","",'Data Given (Recalculated)'!G36)</f>
        <v>11284</v>
      </c>
      <c r="I68" s="44" t="n">
        <f aca="false">IF('Data Given (Recalculated)'!H36="","",'Data Given (Recalculated)'!H36)</f>
        <v>11104</v>
      </c>
      <c r="J68" s="43" t="n">
        <f aca="false">IF('Data Given (Recalculated)'!I36="","",'Data Given (Recalculated)'!I36)</f>
        <v>11519</v>
      </c>
      <c r="K68" s="43" t="n">
        <f aca="false">IF('Data Given (Recalculated)'!J36="","",'Data Given (Recalculated)'!J36)</f>
        <v>11445</v>
      </c>
      <c r="L68" s="43" t="n">
        <f aca="false">IF('Data Given (Recalculated)'!K36="","",'Data Given (Recalculated)'!K36)</f>
        <v>11698</v>
      </c>
      <c r="M68" s="43" t="n">
        <f aca="false">M20*$F$13</f>
        <v>12647.5768263662</v>
      </c>
      <c r="N68" s="43" t="n">
        <f aca="false">N20*$F$13</f>
        <v>13188.8931145346</v>
      </c>
      <c r="O68" s="43" t="n">
        <f aca="false">O20*$F$13</f>
        <v>13753.3777398367</v>
      </c>
      <c r="P68" s="43" t="n">
        <f aca="false">P20*$F$13</f>
        <v>14296.9112281151</v>
      </c>
      <c r="Q68" s="43" t="n">
        <f aca="false">Q20*$F$13</f>
        <v>14815.0312910219</v>
      </c>
    </row>
    <row r="69" customFormat="false" ht="15" hidden="false" customHeight="false" outlineLevel="0" collapsed="false">
      <c r="B69" s="111" t="s">
        <v>138</v>
      </c>
      <c r="D69" s="128"/>
      <c r="H69" s="113" t="n">
        <f aca="false">IFERROR(H68/H20,0)</f>
        <v>0.0308460241049487</v>
      </c>
      <c r="I69" s="112" t="n">
        <f aca="false">IFERROR(I68/I20,0)</f>
        <v>0.0281592988578037</v>
      </c>
      <c r="J69" s="113" t="n">
        <f aca="false">IFERROR(J68/J20,0)</f>
        <v>0.0300533545534002</v>
      </c>
      <c r="K69" s="113" t="n">
        <f aca="false">IFERROR(K68/K20,0)</f>
        <v>0.0292684798035981</v>
      </c>
      <c r="L69" s="113" t="n">
        <f aca="false">IFERROR(L68/L20,0)</f>
        <v>0.0281093134628185</v>
      </c>
      <c r="M69" s="113" t="n">
        <f aca="false">$F$13</f>
        <v>0.0291437159399389</v>
      </c>
      <c r="N69" s="113" t="n">
        <f aca="false">$F$13</f>
        <v>0.0291437159399389</v>
      </c>
      <c r="O69" s="113" t="n">
        <f aca="false">$F$13</f>
        <v>0.0291437159399389</v>
      </c>
      <c r="P69" s="113" t="n">
        <f aca="false">$F$13</f>
        <v>0.0291437159399389</v>
      </c>
      <c r="Q69" s="113" t="n">
        <f aca="false">$F$13</f>
        <v>0.0291437159399389</v>
      </c>
    </row>
    <row r="70" customFormat="false" ht="15" hidden="false" customHeight="false" outlineLevel="0" collapsed="false">
      <c r="B70" s="111" t="s">
        <v>139</v>
      </c>
      <c r="H70" s="113" t="n">
        <f aca="false">IFERROR(-H68/H65,0)</f>
        <v>1.01795218764096</v>
      </c>
      <c r="I70" s="112" t="n">
        <f aca="false">IFERROR(-I68/I65,0)</f>
        <v>1.03698169592828</v>
      </c>
      <c r="J70" s="113" t="n">
        <f aca="false">IFERROR(-J68/J65,0)</f>
        <v>1.05109955287891</v>
      </c>
      <c r="K70" s="113" t="n">
        <f aca="false">IFERROR(-K68/K65,0)</f>
        <v>1.21149571292474</v>
      </c>
      <c r="L70" s="113" t="n">
        <f aca="false">IFERROR(-L68/L65,0)</f>
        <v>0.920015729453402</v>
      </c>
      <c r="M70" s="113" t="n">
        <f aca="false">IFERROR(-M68/M65,0)</f>
        <v>1.15337914243269</v>
      </c>
      <c r="N70" s="113" t="n">
        <f aca="false">IFERROR(-N68/N65,0)</f>
        <v>1.15337914243269</v>
      </c>
      <c r="O70" s="113" t="n">
        <f aca="false">IFERROR(-O68/O65,0)</f>
        <v>1.15337914243269</v>
      </c>
      <c r="P70" s="113" t="n">
        <f aca="false">IFERROR(-P68/P65,0)</f>
        <v>1.15337914243269</v>
      </c>
      <c r="Q70" s="113" t="n">
        <f aca="false">IFERROR(-Q68/Q65,0)</f>
        <v>1.15337914243269</v>
      </c>
    </row>
    <row r="71" customFormat="false" ht="15" hidden="false" customHeight="false" outlineLevel="0" collapsed="false">
      <c r="B71" s="75" t="s">
        <v>140</v>
      </c>
      <c r="I71" s="42"/>
    </row>
    <row r="72" customFormat="false" ht="15" hidden="false" customHeight="false" outlineLevel="0" collapsed="false">
      <c r="B72" s="87" t="s">
        <v>140</v>
      </c>
      <c r="C72" s="88"/>
      <c r="D72" s="88"/>
      <c r="E72" s="88"/>
      <c r="F72" s="88"/>
      <c r="G72" s="88"/>
      <c r="H72" s="101" t="s">
        <v>35</v>
      </c>
      <c r="I72" s="102" t="s">
        <v>36</v>
      </c>
      <c r="J72" s="103" t="s">
        <v>37</v>
      </c>
      <c r="K72" s="103" t="s">
        <v>38</v>
      </c>
      <c r="L72" s="103" t="s">
        <v>39</v>
      </c>
      <c r="M72" s="103" t="s">
        <v>40</v>
      </c>
      <c r="N72" s="103" t="s">
        <v>41</v>
      </c>
      <c r="O72" s="103" t="s">
        <v>42</v>
      </c>
      <c r="P72" s="103" t="s">
        <v>43</v>
      </c>
      <c r="Q72" s="103" t="s">
        <v>44</v>
      </c>
    </row>
    <row r="73" customFormat="false" ht="15" hidden="false" customHeight="false" outlineLevel="0" collapsed="false">
      <c r="B73" s="75"/>
      <c r="I73" s="42"/>
    </row>
    <row r="74" customFormat="false" ht="15" hidden="false" customHeight="false" outlineLevel="0" collapsed="false">
      <c r="B74" s="28" t="s">
        <v>48</v>
      </c>
      <c r="H74" s="129" t="n">
        <f aca="false">H60</f>
        <v>91942.0585554024</v>
      </c>
      <c r="I74" s="130" t="n">
        <f aca="false">I60</f>
        <v>100792.881510446</v>
      </c>
      <c r="J74" s="129" t="n">
        <f aca="false">J60</f>
        <v>96458.6112304018</v>
      </c>
      <c r="K74" s="129" t="n">
        <f aca="false">K60</f>
        <v>103981.979522184</v>
      </c>
      <c r="L74" s="129" t="n">
        <f aca="false">L60</f>
        <v>112280.891892503</v>
      </c>
      <c r="M74" s="129" t="n">
        <f aca="false">M60</f>
        <v>120111.578790157</v>
      </c>
      <c r="N74" s="129" t="n">
        <f aca="false">N60</f>
        <v>124587.85017627</v>
      </c>
      <c r="O74" s="129" t="n">
        <f aca="false">O60</f>
        <v>129227.265198542</v>
      </c>
      <c r="P74" s="129" t="n">
        <f aca="false">P60</f>
        <v>133613.99656889</v>
      </c>
      <c r="Q74" s="129" t="n">
        <f aca="false">Q60</f>
        <v>137709.7328896</v>
      </c>
    </row>
    <row r="75" customFormat="false" ht="15" hidden="false" customHeight="false" outlineLevel="0" collapsed="false">
      <c r="B75" s="122" t="s">
        <v>49</v>
      </c>
      <c r="H75" s="129" t="n">
        <f aca="false">H68</f>
        <v>11284</v>
      </c>
      <c r="I75" s="130" t="n">
        <f aca="false">I68</f>
        <v>11104</v>
      </c>
      <c r="J75" s="129" t="n">
        <f aca="false">J68</f>
        <v>11519</v>
      </c>
      <c r="K75" s="129" t="n">
        <f aca="false">K68</f>
        <v>11445</v>
      </c>
      <c r="L75" s="129" t="n">
        <f aca="false">L68</f>
        <v>11698</v>
      </c>
      <c r="M75" s="129" t="n">
        <f aca="false">M68</f>
        <v>12647.5768263662</v>
      </c>
      <c r="N75" s="129" t="n">
        <f aca="false">N68</f>
        <v>13188.8931145346</v>
      </c>
      <c r="O75" s="129" t="n">
        <f aca="false">O68</f>
        <v>13753.3777398367</v>
      </c>
      <c r="P75" s="129" t="n">
        <f aca="false">P68</f>
        <v>14296.9112281151</v>
      </c>
      <c r="Q75" s="129" t="n">
        <f aca="false">Q68</f>
        <v>14815.0312910219</v>
      </c>
    </row>
    <row r="76" customFormat="false" ht="15" hidden="false" customHeight="false" outlineLevel="0" collapsed="false">
      <c r="B76" s="122" t="s">
        <v>50</v>
      </c>
      <c r="H76" s="43" t="n">
        <f aca="false">H65</f>
        <v>-11085</v>
      </c>
      <c r="I76" s="44" t="n">
        <f aca="false">I65</f>
        <v>-10708</v>
      </c>
      <c r="J76" s="43" t="n">
        <f aca="false">J65</f>
        <v>-10959</v>
      </c>
      <c r="K76" s="43" t="n">
        <f aca="false">K65</f>
        <v>-9447</v>
      </c>
      <c r="L76" s="43" t="n">
        <f aca="false">L65</f>
        <v>-12715</v>
      </c>
      <c r="M76" s="43" t="n">
        <f aca="false">M65</f>
        <v>-10965.671530777</v>
      </c>
      <c r="N76" s="43" t="n">
        <f aca="false">N65</f>
        <v>-11435.0022722943</v>
      </c>
      <c r="O76" s="43" t="n">
        <f aca="false">O65</f>
        <v>-11924.4203695485</v>
      </c>
      <c r="P76" s="43" t="n">
        <f aca="false">P65</f>
        <v>-12395.673462553</v>
      </c>
      <c r="Q76" s="43" t="n">
        <f aca="false">Q65</f>
        <v>-12844.8926688359</v>
      </c>
    </row>
    <row r="77" customFormat="false" ht="15" hidden="false" customHeight="false" outlineLevel="0" collapsed="false">
      <c r="B77" s="122" t="s">
        <v>51</v>
      </c>
      <c r="H77" s="0" t="str">
        <f aca="false">""</f>
        <v/>
      </c>
      <c r="I77" s="42" t="n">
        <f aca="false">IF('Data Given (Recalculated)'!H41="","",-'Data Given (Recalculated)'!H41)</f>
        <v>9080</v>
      </c>
      <c r="J77" s="43" t="n">
        <f aca="false">IF('Data Given (Recalculated)'!I41="","",-'Data Given (Recalculated)'!I41)</f>
        <v>-4213</v>
      </c>
      <c r="K77" s="43" t="n">
        <f aca="false">IF('Data Given (Recalculated)'!J41="","",-'Data Given (Recalculated)'!J41)</f>
        <v>1492</v>
      </c>
      <c r="L77" s="43" t="n">
        <f aca="false">IF('Data Given (Recalculated)'!K41="","",-'Data Given (Recalculated)'!K41)</f>
        <v>-3899</v>
      </c>
      <c r="M77" s="43" t="n">
        <f aca="false">IFERROR(-((M20*'Data Given (Recalculated)'!$C$50/365+M30*'Data Given (Recalculated)'!$C$51/365-M30*'Data Given (Recalculated)'!$C$52/365+M20*$F$10)-'Data Given (Recalculated)'!K40),"")</f>
        <v>3586.0838973183</v>
      </c>
      <c r="N77" s="43" t="n">
        <f aca="false">IFERROR(-((N20*'Data Given (Recalculated)'!$C$50/365+N30*'Data Given (Recalculated)'!$C$51/365-N30*'Data Given (Recalculated)'!$C$52/365+N20*$F$10)-(M20*'Data Given (Recalculated)'!$C$50/365+M30*'Data Given (Recalculated)'!$C$51/365-M30*'Data Given (Recalculated)'!$C$52/365+M20*$F$10)),"")</f>
        <v>1196.30639080524</v>
      </c>
      <c r="O77" s="43" t="n">
        <f aca="false">IFERROR(-((O20*'Data Given (Recalculated)'!$C$50/365+O30*'Data Given (Recalculated)'!$C$51/365-O30*'Data Given (Recalculated)'!$C$52/365+O20*$F$10)-(N20*'Data Given (Recalculated)'!$C$50/365+N30*'Data Given (Recalculated)'!$C$51/365-N30*'Data Given (Recalculated)'!$C$52/365+N20*$F$10)),"")</f>
        <v>1247.50830433169</v>
      </c>
      <c r="P77" s="43" t="n">
        <f aca="false">IFERROR(-((P20*'Data Given (Recalculated)'!$C$50/365+P30*'Data Given (Recalculated)'!$C$51/365-P30*'Data Given (Recalculated)'!$C$52/365+P20*$F$10)-(O20*'Data Given (Recalculated)'!$C$50/365+O30*'Data Given (Recalculated)'!$C$51/365-O30*'Data Given (Recalculated)'!$C$52/365+O20*$F$10)),"")</f>
        <v>1201.20639237382</v>
      </c>
      <c r="Q77" s="43" t="n">
        <f aca="false">IFERROR(-((Q20*'Data Given (Recalculated)'!$C$50/365+Q30*'Data Given (Recalculated)'!$C$51/365-Q30*'Data Given (Recalculated)'!$C$52/365+Q20*$F$10)-(P20*'Data Given (Recalculated)'!$C$50/365+P30*'Data Given (Recalculated)'!$C$51/365-P30*'Data Given (Recalculated)'!$C$52/365+P20*$F$10)),"")</f>
        <v>1145.04284465022</v>
      </c>
    </row>
    <row r="78" customFormat="false" ht="15" hidden="false" customHeight="false" outlineLevel="0" collapsed="false">
      <c r="B78" s="133" t="s">
        <v>52</v>
      </c>
      <c r="C78" s="134"/>
      <c r="D78" s="134"/>
      <c r="E78" s="134"/>
      <c r="F78" s="134"/>
      <c r="G78" s="134"/>
      <c r="H78" s="135" t="n">
        <f aca="false">SUM(H74:H77)</f>
        <v>92141.0585554024</v>
      </c>
      <c r="I78" s="136" t="n">
        <f aca="false">SUM(I74:I77)</f>
        <v>110268.881510446</v>
      </c>
      <c r="J78" s="137" t="n">
        <f aca="false">SUM(J74:J77)</f>
        <v>92805.6112304018</v>
      </c>
      <c r="K78" s="137" t="n">
        <f aca="false">SUM(K74:K77)</f>
        <v>107471.979522184</v>
      </c>
      <c r="L78" s="137" t="n">
        <f aca="false">SUM(L74:L77)</f>
        <v>107364.891892503</v>
      </c>
      <c r="M78" s="137" t="n">
        <f aca="false">SUM(M74:M77)</f>
        <v>125379.567983065</v>
      </c>
      <c r="N78" s="137" t="n">
        <f aca="false">SUM(N74:N77)</f>
        <v>127538.047409315</v>
      </c>
      <c r="O78" s="137" t="n">
        <f aca="false">SUM(O74:O77)</f>
        <v>132303.730873162</v>
      </c>
      <c r="P78" s="137" t="n">
        <f aca="false">SUM(P74:P77)</f>
        <v>136716.440726826</v>
      </c>
      <c r="Q78" s="137" t="n">
        <f aca="false">SUM(Q74:Q77)</f>
        <v>140824.914356436</v>
      </c>
      <c r="T78" s="110" t="n">
        <f aca="false">IFERROR((Q78/J78)^(1/(COLUMNS(J78:Q78)-1))-1,"")</f>
        <v>0.061383128867823</v>
      </c>
    </row>
    <row r="79" customFormat="false" ht="15" hidden="false" customHeight="false" outlineLevel="0" collapsed="false">
      <c r="B79" s="111" t="s">
        <v>119</v>
      </c>
      <c r="H79" s="126" t="n">
        <f aca="false">IFERROR(H78/H20,0)</f>
        <v>0.251877464840077</v>
      </c>
      <c r="I79" s="127" t="n">
        <f aca="false">IFERROR(I78/I20,0)</f>
        <v>0.279637463001476</v>
      </c>
      <c r="J79" s="116" t="n">
        <f aca="false">IFERROR(J78/J20,0)</f>
        <v>0.24213212421671</v>
      </c>
      <c r="K79" s="116" t="n">
        <f aca="false">IFERROR(K78/K20,0)</f>
        <v>0.274839795727197</v>
      </c>
      <c r="L79" s="116" t="n">
        <f aca="false">IFERROR(L78/L20,0)</f>
        <v>0.257988835793125</v>
      </c>
      <c r="M79" s="116" t="n">
        <f aca="false">IFERROR(M78/M20,0)</f>
        <v>0.288911193356282</v>
      </c>
      <c r="N79" s="116" t="n">
        <f aca="false">IFERROR(N78/N20,0)</f>
        <v>0.281822939419788</v>
      </c>
      <c r="O79" s="116" t="n">
        <f aca="false">IFERROR(O78/O20,0)</f>
        <v>0.280354573494566</v>
      </c>
      <c r="P79" s="116" t="n">
        <f aca="false">IFERROR(P78/P20,0)</f>
        <v>0.278691323551529</v>
      </c>
      <c r="Q79" s="116" t="n">
        <f aca="false">IFERROR(Q78/Q20,0)</f>
        <v>0.277026839879668</v>
      </c>
    </row>
    <row r="80" customFormat="false" ht="15" hidden="false" customHeight="false" outlineLevel="0" collapsed="false">
      <c r="B80" s="28"/>
      <c r="I80" s="42"/>
      <c r="J80" s="59"/>
      <c r="K80" s="59"/>
      <c r="L80" s="59"/>
      <c r="M80" s="59"/>
      <c r="N80" s="59"/>
      <c r="O80" s="59"/>
      <c r="P80" s="59"/>
      <c r="Q80" s="59"/>
    </row>
    <row r="81" customFormat="false" ht="15" hidden="false" customHeight="false" outlineLevel="0" collapsed="false">
      <c r="B81" s="122" t="s">
        <v>141</v>
      </c>
      <c r="E81" s="138" t="n">
        <f aca="false">I9</f>
        <v>46298</v>
      </c>
      <c r="I81" s="42"/>
      <c r="J81" s="59"/>
      <c r="K81" s="59"/>
      <c r="L81" s="59"/>
      <c r="M81" s="59"/>
      <c r="N81" s="59"/>
      <c r="O81" s="59"/>
      <c r="P81" s="59"/>
      <c r="Q81" s="59"/>
    </row>
    <row r="82" customFormat="false" ht="15" hidden="false" customHeight="false" outlineLevel="0" collapsed="false">
      <c r="B82" s="122" t="s">
        <v>54</v>
      </c>
      <c r="H82" s="62"/>
      <c r="I82" s="63"/>
      <c r="J82" s="62"/>
      <c r="K82" s="62"/>
      <c r="L82" s="62"/>
      <c r="M82" s="62" t="n">
        <f aca="false">EOMONTH(I11,12)</f>
        <v>46660</v>
      </c>
      <c r="N82" s="62" t="n">
        <f aca="false">EOMONTH(M82,12)</f>
        <v>47026</v>
      </c>
      <c r="O82" s="62" t="n">
        <f aca="false">EOMONTH(N82,12)</f>
        <v>47391</v>
      </c>
      <c r="P82" s="62" t="n">
        <f aca="false">EOMONTH(O82,12)</f>
        <v>47756</v>
      </c>
      <c r="Q82" s="62" t="n">
        <f aca="false">EOMONTH(P82,12)</f>
        <v>48121</v>
      </c>
    </row>
    <row r="83" customFormat="false" ht="15" hidden="false" customHeight="false" outlineLevel="0" collapsed="false">
      <c r="B83" s="122" t="s">
        <v>55</v>
      </c>
      <c r="I83" s="42"/>
      <c r="J83" s="65"/>
      <c r="K83" s="65"/>
      <c r="L83" s="65"/>
      <c r="M83" s="65" t="n">
        <f aca="false">1</f>
        <v>1</v>
      </c>
      <c r="N83" s="65" t="n">
        <f aca="false">M83+1</f>
        <v>2</v>
      </c>
      <c r="O83" s="65" t="n">
        <f aca="false">N83+1</f>
        <v>3</v>
      </c>
      <c r="P83" s="65" t="n">
        <f aca="false">O83+1</f>
        <v>4</v>
      </c>
      <c r="Q83" s="65" t="n">
        <f aca="false">P83+1</f>
        <v>5</v>
      </c>
    </row>
    <row r="84" customFormat="false" ht="15" hidden="false" customHeight="false" outlineLevel="0" collapsed="false">
      <c r="B84" s="122" t="s">
        <v>56</v>
      </c>
      <c r="I84" s="42"/>
      <c r="J84" s="65"/>
      <c r="K84" s="65"/>
      <c r="L84" s="65"/>
      <c r="M84" s="65" t="n">
        <f aca="false">M83/2</f>
        <v>0.5</v>
      </c>
      <c r="N84" s="65" t="n">
        <f aca="false">N83-0.5</f>
        <v>1.5</v>
      </c>
      <c r="O84" s="65" t="n">
        <f aca="false">O83-0.5</f>
        <v>2.5</v>
      </c>
      <c r="P84" s="65" t="n">
        <f aca="false">P83-0.5</f>
        <v>3.5</v>
      </c>
      <c r="Q84" s="65" t="n">
        <f aca="false">Q83-0.5</f>
        <v>4.5</v>
      </c>
    </row>
    <row r="85" customFormat="false" ht="15" hidden="false" customHeight="false" outlineLevel="0" collapsed="false">
      <c r="B85" s="122" t="s">
        <v>57</v>
      </c>
      <c r="I85" s="42"/>
      <c r="J85" s="139"/>
      <c r="K85" s="139"/>
      <c r="L85" s="139"/>
      <c r="M85" s="139" t="n">
        <f aca="false">$F$12</f>
        <v>0.133407698579437</v>
      </c>
      <c r="N85" s="139" t="n">
        <f aca="false">$F$12</f>
        <v>0.133407698579437</v>
      </c>
      <c r="O85" s="139" t="n">
        <f aca="false">$F$12</f>
        <v>0.133407698579437</v>
      </c>
      <c r="P85" s="139" t="n">
        <f aca="false">$F$12</f>
        <v>0.133407698579437</v>
      </c>
      <c r="Q85" s="139" t="n">
        <f aca="false">$F$12</f>
        <v>0.133407698579437</v>
      </c>
    </row>
    <row r="86" customFormat="false" ht="15" hidden="false" customHeight="false" outlineLevel="0" collapsed="false">
      <c r="B86" s="122" t="s">
        <v>142</v>
      </c>
      <c r="I86" s="42"/>
      <c r="J86" s="126"/>
      <c r="K86" s="126"/>
      <c r="L86" s="126"/>
      <c r="M86" s="126"/>
      <c r="N86" s="126"/>
      <c r="O86" s="126"/>
      <c r="P86" s="126"/>
      <c r="Q86" s="126"/>
    </row>
    <row r="87" customFormat="false" ht="15" hidden="false" customHeight="false" outlineLevel="0" collapsed="false">
      <c r="B87" s="133" t="s">
        <v>58</v>
      </c>
      <c r="C87" s="134"/>
      <c r="D87" s="134"/>
      <c r="E87" s="134"/>
      <c r="F87" s="134"/>
      <c r="G87" s="134"/>
      <c r="H87" s="134"/>
      <c r="I87" s="140"/>
      <c r="J87" s="137"/>
      <c r="K87" s="137"/>
      <c r="L87" s="137"/>
      <c r="M87" s="137" t="n">
        <f aca="false">M78/(1+M85)^M84</f>
        <v>117769.732865942</v>
      </c>
      <c r="N87" s="137" t="n">
        <f aca="false">N78/(1+N85)^N84</f>
        <v>105696.480509418</v>
      </c>
      <c r="O87" s="137" t="n">
        <f aca="false">O78/(1+O85)^O84</f>
        <v>96740.1364461132</v>
      </c>
      <c r="P87" s="137" t="n">
        <f aca="false">P78/(1+P85)^P84</f>
        <v>88200.1227718767</v>
      </c>
      <c r="Q87" s="137" t="n">
        <f aca="false">Q78/(1+Q85)^Q84</f>
        <v>80157.0607398528</v>
      </c>
    </row>
    <row r="88" customFormat="false" ht="15" hidden="false" customHeight="false" outlineLevel="0" collapsed="false">
      <c r="I88" s="42"/>
      <c r="J88" s="59"/>
      <c r="K88" s="59"/>
      <c r="L88" s="59"/>
      <c r="M88" s="59"/>
      <c r="N88" s="59"/>
      <c r="O88" s="59"/>
      <c r="P88" s="59"/>
      <c r="Q88" s="59"/>
    </row>
    <row r="89" customFormat="false" ht="15" hidden="false" customHeight="false" outlineLevel="0" collapsed="false">
      <c r="B89" s="87" t="s">
        <v>143</v>
      </c>
      <c r="C89" s="88"/>
      <c r="D89" s="88"/>
      <c r="E89" s="88"/>
      <c r="F89" s="88"/>
      <c r="G89" s="88"/>
      <c r="H89" s="141" t="s">
        <v>35</v>
      </c>
      <c r="I89" s="142" t="s">
        <v>36</v>
      </c>
      <c r="J89" s="141" t="s">
        <v>37</v>
      </c>
      <c r="K89" s="141" t="s">
        <v>38</v>
      </c>
      <c r="L89" s="141" t="s">
        <v>39</v>
      </c>
      <c r="M89" s="141" t="s">
        <v>40</v>
      </c>
      <c r="N89" s="141" t="s">
        <v>41</v>
      </c>
      <c r="O89" s="141" t="s">
        <v>42</v>
      </c>
      <c r="P89" s="141" t="s">
        <v>43</v>
      </c>
      <c r="Q89" s="141" t="s">
        <v>44</v>
      </c>
    </row>
    <row r="90" customFormat="false" ht="15" hidden="false" customHeight="false" outlineLevel="0" collapsed="false">
      <c r="I90" s="42"/>
      <c r="J90" s="59"/>
      <c r="K90" s="59"/>
      <c r="L90" s="59"/>
      <c r="M90" s="59"/>
      <c r="N90" s="59"/>
      <c r="O90" s="59"/>
      <c r="P90" s="59"/>
      <c r="Q90" s="59"/>
    </row>
    <row r="91" customFormat="false" ht="15" hidden="false" customHeight="false" outlineLevel="0" collapsed="false">
      <c r="B91" s="28" t="s">
        <v>61</v>
      </c>
      <c r="I91" s="42"/>
      <c r="J91" s="59"/>
      <c r="K91" s="59"/>
      <c r="L91" s="59"/>
      <c r="M91" s="59"/>
      <c r="N91" s="59"/>
      <c r="O91" s="59"/>
      <c r="P91" s="59"/>
      <c r="Q91" s="59"/>
    </row>
    <row r="92" customFormat="false" ht="15" hidden="false" customHeight="false" outlineLevel="0" collapsed="false">
      <c r="B92" s="143" t="s">
        <v>70</v>
      </c>
      <c r="I92" s="42"/>
      <c r="J92" s="59"/>
      <c r="K92" s="59"/>
      <c r="L92" s="59"/>
      <c r="M92" s="59"/>
      <c r="N92" s="59"/>
      <c r="O92" s="59"/>
      <c r="P92" s="59"/>
      <c r="Q92" s="129" t="n">
        <f aca="false">Q54*$C$16</f>
        <v>2082419.63243501</v>
      </c>
    </row>
    <row r="93" customFormat="false" ht="15" hidden="false" customHeight="false" outlineLevel="0" collapsed="false">
      <c r="B93" s="143" t="s">
        <v>71</v>
      </c>
      <c r="I93" s="42"/>
      <c r="J93" s="59"/>
      <c r="K93" s="59"/>
      <c r="L93" s="59"/>
      <c r="M93" s="59"/>
      <c r="N93" s="59"/>
      <c r="O93" s="59"/>
      <c r="P93" s="59"/>
      <c r="Q93" s="129" t="n">
        <f aca="false">Q92/(1+Q85)^Q83</f>
        <v>1113364.7277173</v>
      </c>
    </row>
    <row r="94" customFormat="false" ht="15" hidden="false" customHeight="false" outlineLevel="0" collapsed="false">
      <c r="B94" s="143" t="s">
        <v>73</v>
      </c>
      <c r="I94" s="42"/>
      <c r="J94" s="59"/>
      <c r="K94" s="59"/>
      <c r="L94" s="59"/>
      <c r="M94" s="59"/>
      <c r="N94" s="59"/>
      <c r="O94" s="59"/>
      <c r="P94" s="59"/>
      <c r="Q94" s="129" t="n">
        <f aca="false">Q93+SUM(M87:Q87)</f>
        <v>1601928.2610505</v>
      </c>
    </row>
    <row r="95" customFormat="false" ht="15" hidden="false" customHeight="false" outlineLevel="0" collapsed="false">
      <c r="B95" s="122" t="s">
        <v>74</v>
      </c>
      <c r="I95" s="42"/>
      <c r="J95" s="59"/>
      <c r="K95" s="59"/>
      <c r="L95" s="59"/>
      <c r="M95" s="59"/>
      <c r="N95" s="59"/>
      <c r="O95" s="59"/>
      <c r="P95" s="59"/>
      <c r="Q95" s="45" t="n">
        <f aca="false">-$AA$18</f>
        <v>-98657</v>
      </c>
    </row>
    <row r="96" customFormat="false" ht="15" hidden="false" customHeight="false" outlineLevel="0" collapsed="false">
      <c r="B96" s="122" t="s">
        <v>75</v>
      </c>
      <c r="I96" s="42"/>
      <c r="J96" s="59"/>
      <c r="K96" s="59"/>
      <c r="L96" s="59"/>
      <c r="M96" s="59"/>
      <c r="N96" s="59"/>
      <c r="O96" s="59"/>
      <c r="P96" s="59"/>
      <c r="Q96" s="144" t="n">
        <f aca="false">-$F$20-$F$21</f>
        <v>-0</v>
      </c>
    </row>
    <row r="97" customFormat="false" ht="15" hidden="false" customHeight="false" outlineLevel="0" collapsed="false">
      <c r="B97" s="122" t="s">
        <v>76</v>
      </c>
      <c r="I97" s="42"/>
      <c r="J97" s="59"/>
      <c r="K97" s="59"/>
      <c r="L97" s="59"/>
      <c r="M97" s="59"/>
      <c r="N97" s="59"/>
      <c r="O97" s="59"/>
      <c r="P97" s="59"/>
      <c r="Q97" s="144" t="n">
        <f aca="false">$AA$17+$AA$19</f>
        <v>132420</v>
      </c>
    </row>
    <row r="98" customFormat="false" ht="15" hidden="false" customHeight="false" outlineLevel="0" collapsed="false">
      <c r="B98" s="145" t="s">
        <v>77</v>
      </c>
      <c r="C98" s="53"/>
      <c r="D98" s="53"/>
      <c r="E98" s="53"/>
      <c r="F98" s="53"/>
      <c r="G98" s="53"/>
      <c r="H98" s="53"/>
      <c r="I98" s="54"/>
      <c r="J98" s="57"/>
      <c r="K98" s="57"/>
      <c r="L98" s="57"/>
      <c r="M98" s="57"/>
      <c r="N98" s="57"/>
      <c r="O98" s="57"/>
      <c r="P98" s="57"/>
      <c r="Q98" s="57" t="n">
        <f aca="false">SUM(Q94:Q97)</f>
        <v>1635691.2610505</v>
      </c>
    </row>
    <row r="99" customFormat="false" ht="15" hidden="false" customHeight="false" outlineLevel="0" collapsed="false">
      <c r="B99" s="143" t="s">
        <v>79</v>
      </c>
      <c r="I99" s="42"/>
      <c r="J99" s="59"/>
      <c r="K99" s="59"/>
      <c r="L99" s="59"/>
      <c r="M99" s="59"/>
      <c r="N99" s="59"/>
      <c r="O99" s="59"/>
      <c r="P99" s="59"/>
      <c r="Q99" s="45" t="n">
        <f aca="false">C11</f>
        <v>4869931.925504</v>
      </c>
    </row>
    <row r="100" customFormat="false" ht="15" hidden="false" customHeight="false" outlineLevel="0" collapsed="false">
      <c r="B100" s="111" t="s">
        <v>80</v>
      </c>
      <c r="I100" s="42"/>
      <c r="J100" s="59"/>
      <c r="K100" s="59"/>
      <c r="L100" s="59"/>
      <c r="M100" s="59"/>
      <c r="N100" s="59"/>
      <c r="O100" s="59"/>
      <c r="P100" s="59"/>
      <c r="Q100" s="126" t="n">
        <f aca="false">IFERROR(Q98/Q99 - 1,0)</f>
        <v>-0.664124409525248</v>
      </c>
    </row>
    <row r="101" customFormat="false" ht="15" hidden="false" customHeight="false" outlineLevel="0" collapsed="false">
      <c r="I101" s="42"/>
      <c r="J101" s="59"/>
      <c r="K101" s="59"/>
      <c r="L101" s="59"/>
      <c r="M101" s="59"/>
      <c r="N101" s="59"/>
      <c r="O101" s="59"/>
      <c r="P101" s="59"/>
      <c r="Q101" s="59"/>
    </row>
    <row r="102" customFormat="false" ht="15" hidden="false" customHeight="false" outlineLevel="0" collapsed="false">
      <c r="B102" s="28" t="s">
        <v>72</v>
      </c>
      <c r="I102" s="42"/>
      <c r="J102" s="59"/>
      <c r="K102" s="59"/>
      <c r="L102" s="59"/>
      <c r="M102" s="59"/>
      <c r="N102" s="59"/>
      <c r="O102" s="59"/>
      <c r="P102" s="59"/>
      <c r="Q102" s="59"/>
    </row>
    <row r="103" customFormat="false" ht="15" hidden="false" customHeight="false" outlineLevel="0" collapsed="false">
      <c r="B103" s="0" t="s">
        <v>64</v>
      </c>
      <c r="I103" s="42"/>
      <c r="J103" s="59"/>
      <c r="K103" s="59"/>
      <c r="L103" s="59"/>
      <c r="M103" s="59"/>
      <c r="N103" s="59"/>
      <c r="O103" s="59"/>
      <c r="P103" s="59"/>
      <c r="Q103" s="146" t="n">
        <v>0.03</v>
      </c>
    </row>
    <row r="104" customFormat="false" ht="15" hidden="false" customHeight="false" outlineLevel="0" collapsed="false">
      <c r="B104" s="0" t="s">
        <v>69</v>
      </c>
      <c r="I104" s="42"/>
      <c r="J104" s="59"/>
      <c r="K104" s="59"/>
      <c r="L104" s="59"/>
      <c r="M104" s="59"/>
      <c r="N104" s="59"/>
      <c r="O104" s="59"/>
      <c r="P104" s="59"/>
      <c r="Q104" s="65" t="n">
        <f aca="false">Q78*(1+Q103)</f>
        <v>145049.66178713</v>
      </c>
    </row>
    <row r="105" customFormat="false" ht="15" hidden="false" customHeight="false" outlineLevel="0" collapsed="false">
      <c r="B105" s="143" t="s">
        <v>70</v>
      </c>
      <c r="I105" s="42"/>
      <c r="J105" s="59"/>
      <c r="K105" s="59"/>
      <c r="L105" s="59"/>
      <c r="M105" s="59"/>
      <c r="N105" s="59"/>
      <c r="O105" s="59"/>
      <c r="P105" s="59"/>
      <c r="Q105" s="129" t="n">
        <f aca="false">IFERROR(IF(Q85&gt;Q103,Q104/(Q85-Q103),0),0)</f>
        <v>1402696.93436512</v>
      </c>
    </row>
    <row r="106" customFormat="false" ht="15" hidden="false" customHeight="false" outlineLevel="0" collapsed="false">
      <c r="B106" s="143" t="s">
        <v>71</v>
      </c>
      <c r="I106" s="42"/>
      <c r="J106" s="59"/>
      <c r="K106" s="59"/>
      <c r="L106" s="59"/>
      <c r="M106" s="59"/>
      <c r="N106" s="59"/>
      <c r="O106" s="59"/>
      <c r="P106" s="59"/>
      <c r="Q106" s="129" t="n">
        <f aca="false">Q105/(1+Q85)^Q83</f>
        <v>749951.290352166</v>
      </c>
    </row>
    <row r="107" customFormat="false" ht="15" hidden="false" customHeight="false" outlineLevel="0" collapsed="false">
      <c r="B107" s="143" t="s">
        <v>73</v>
      </c>
      <c r="I107" s="42"/>
      <c r="J107" s="59"/>
      <c r="K107" s="59"/>
      <c r="L107" s="59"/>
      <c r="M107" s="59"/>
      <c r="N107" s="59"/>
      <c r="O107" s="59"/>
      <c r="P107" s="59"/>
      <c r="Q107" s="129" t="n">
        <f aca="false">Q106+SUM(M87:Q87)</f>
        <v>1238514.82368537</v>
      </c>
    </row>
    <row r="108" customFormat="false" ht="15" hidden="false" customHeight="false" outlineLevel="0" collapsed="false">
      <c r="B108" s="122" t="s">
        <v>74</v>
      </c>
      <c r="I108" s="42"/>
      <c r="J108" s="59"/>
      <c r="K108" s="59"/>
      <c r="L108" s="59"/>
      <c r="M108" s="59"/>
      <c r="N108" s="59"/>
      <c r="O108" s="59"/>
      <c r="P108" s="59"/>
      <c r="Q108" s="45" t="n">
        <f aca="false">-$AA$18</f>
        <v>-98657</v>
      </c>
    </row>
    <row r="109" customFormat="false" ht="15" hidden="false" customHeight="false" outlineLevel="0" collapsed="false">
      <c r="B109" s="122" t="s">
        <v>75</v>
      </c>
      <c r="I109" s="42"/>
      <c r="J109" s="59"/>
      <c r="K109" s="59"/>
      <c r="L109" s="59"/>
      <c r="M109" s="59"/>
      <c r="N109" s="59"/>
      <c r="O109" s="59"/>
      <c r="P109" s="59"/>
      <c r="Q109" s="144" t="n">
        <f aca="false">-$F$20-$F$21</f>
        <v>-0</v>
      </c>
    </row>
    <row r="110" customFormat="false" ht="15" hidden="false" customHeight="false" outlineLevel="0" collapsed="false">
      <c r="B110" s="122" t="s">
        <v>76</v>
      </c>
      <c r="I110" s="42"/>
      <c r="J110" s="59"/>
      <c r="K110" s="59"/>
      <c r="L110" s="59"/>
      <c r="M110" s="59"/>
      <c r="N110" s="59"/>
      <c r="O110" s="59"/>
      <c r="P110" s="59"/>
      <c r="Q110" s="144" t="n">
        <f aca="false">$AA$17+$AA$19</f>
        <v>132420</v>
      </c>
    </row>
    <row r="111" customFormat="false" ht="15" hidden="false" customHeight="false" outlineLevel="0" collapsed="false">
      <c r="B111" s="145" t="s">
        <v>77</v>
      </c>
      <c r="C111" s="53"/>
      <c r="D111" s="53"/>
      <c r="E111" s="53"/>
      <c r="F111" s="53"/>
      <c r="G111" s="53"/>
      <c r="H111" s="53"/>
      <c r="I111" s="54"/>
      <c r="J111" s="57"/>
      <c r="K111" s="57"/>
      <c r="L111" s="57"/>
      <c r="M111" s="57"/>
      <c r="N111" s="57"/>
      <c r="O111" s="57"/>
      <c r="P111" s="57"/>
      <c r="Q111" s="57" t="n">
        <f aca="false">SUM(Q107:Q110)</f>
        <v>1272277.82368537</v>
      </c>
    </row>
    <row r="112" customFormat="false" ht="15" hidden="false" customHeight="false" outlineLevel="0" collapsed="false">
      <c r="B112" s="143" t="s">
        <v>79</v>
      </c>
      <c r="I112" s="42"/>
      <c r="J112" s="59"/>
      <c r="K112" s="59"/>
      <c r="L112" s="59"/>
      <c r="M112" s="59"/>
      <c r="N112" s="59"/>
      <c r="O112" s="59"/>
      <c r="P112" s="59"/>
      <c r="Q112" s="45" t="n">
        <f aca="false">C11</f>
        <v>4869931.925504</v>
      </c>
    </row>
    <row r="113" customFormat="false" ht="15.75" hidden="false" customHeight="true" outlineLevel="0" collapsed="false">
      <c r="B113" s="147" t="s">
        <v>80</v>
      </c>
      <c r="C113" s="148"/>
      <c r="D113" s="148"/>
      <c r="E113" s="148"/>
      <c r="F113" s="148"/>
      <c r="G113" s="148"/>
      <c r="H113" s="148"/>
      <c r="I113" s="149"/>
      <c r="J113" s="150"/>
      <c r="K113" s="150"/>
      <c r="L113" s="150"/>
      <c r="M113" s="150"/>
      <c r="N113" s="150"/>
      <c r="O113" s="150"/>
      <c r="P113" s="150"/>
      <c r="Q113" s="151" t="n">
        <f aca="false">IFERROR(Q111/Q112 - 1,0)</f>
        <v>-0.738748335059386</v>
      </c>
    </row>
    <row r="114" customFormat="false" ht="15" hidden="false" customHeight="false" outlineLevel="0" collapsed="false">
      <c r="B114" s="111"/>
      <c r="J114" s="59"/>
      <c r="K114" s="59"/>
      <c r="L114" s="59"/>
      <c r="M114" s="59"/>
      <c r="N114" s="59"/>
      <c r="O114" s="59"/>
      <c r="P114" s="59"/>
      <c r="Q114" s="126"/>
    </row>
    <row r="119" customFormat="false" ht="15" hidden="false" customHeight="false" outlineLevel="0" collapsed="false">
      <c r="D119" s="120"/>
      <c r="E119" s="120"/>
      <c r="F119" s="120"/>
      <c r="G119" s="120"/>
      <c r="H119" s="120"/>
      <c r="J119" s="120"/>
      <c r="K119" s="120"/>
      <c r="L119" s="120"/>
      <c r="M119" s="120"/>
      <c r="N119" s="120"/>
    </row>
    <row r="120" customFormat="false" ht="15" hidden="false" customHeight="false" outlineLevel="0" collapsed="false">
      <c r="C120" s="120"/>
      <c r="D120" s="163"/>
      <c r="E120" s="163"/>
      <c r="F120" s="163"/>
      <c r="G120" s="163"/>
      <c r="H120" s="163"/>
      <c r="I120" s="120"/>
      <c r="J120" s="163"/>
      <c r="K120" s="163"/>
      <c r="L120" s="163"/>
      <c r="M120" s="163"/>
      <c r="N120" s="163"/>
    </row>
    <row r="121" customFormat="false" ht="15" hidden="false" customHeight="false" outlineLevel="0" collapsed="false">
      <c r="C121" s="120"/>
      <c r="D121" s="163"/>
      <c r="E121" s="163"/>
      <c r="F121" s="163"/>
      <c r="G121" s="163"/>
      <c r="H121" s="163"/>
      <c r="I121" s="120"/>
      <c r="J121" s="163"/>
      <c r="K121" s="163"/>
      <c r="L121" s="163"/>
      <c r="M121" s="163"/>
      <c r="N121" s="163"/>
    </row>
    <row r="122" customFormat="false" ht="15" hidden="false" customHeight="false" outlineLevel="0" collapsed="false">
      <c r="C122" s="120"/>
      <c r="D122" s="163"/>
      <c r="E122" s="163"/>
      <c r="F122" s="163"/>
      <c r="G122" s="163"/>
      <c r="H122" s="163"/>
      <c r="I122" s="120"/>
      <c r="J122" s="163"/>
      <c r="K122" s="163"/>
      <c r="L122" s="163"/>
      <c r="M122" s="163"/>
      <c r="N122" s="163"/>
    </row>
    <row r="123" customFormat="false" ht="15" hidden="false" customHeight="false" outlineLevel="0" collapsed="false">
      <c r="C123" s="120"/>
      <c r="D123" s="163"/>
      <c r="E123" s="163"/>
      <c r="F123" s="163"/>
      <c r="G123" s="163"/>
      <c r="H123" s="163"/>
      <c r="I123" s="120"/>
      <c r="J123" s="163"/>
      <c r="K123" s="163"/>
      <c r="L123" s="163"/>
      <c r="M123" s="163"/>
      <c r="N123" s="163"/>
    </row>
    <row r="124" customFormat="false" ht="15" hidden="false" customHeight="false" outlineLevel="0" collapsed="false">
      <c r="C124" s="120"/>
      <c r="D124" s="163"/>
      <c r="E124" s="163"/>
      <c r="F124" s="163"/>
      <c r="G124" s="163"/>
      <c r="H124" s="163"/>
      <c r="I124" s="120"/>
      <c r="J124" s="163"/>
      <c r="K124" s="163"/>
      <c r="L124" s="163"/>
      <c r="M124" s="163"/>
      <c r="N124" s="163"/>
    </row>
    <row r="126" customFormat="false" ht="15" hidden="false" customHeight="false" outlineLevel="0" collapsed="false">
      <c r="C126" s="163"/>
      <c r="J126" s="163"/>
    </row>
    <row r="127" customFormat="false" ht="15" hidden="false" customHeight="false" outlineLevel="0" collapsed="false">
      <c r="C127" s="163"/>
      <c r="J127" s="163"/>
    </row>
    <row r="128" customFormat="false" ht="15" hidden="false" customHeight="false" outlineLevel="0" collapsed="false">
      <c r="C128" s="163"/>
      <c r="J128" s="163"/>
    </row>
    <row r="129" customFormat="false" ht="15" hidden="false" customHeight="false" outlineLevel="0" collapsed="false">
      <c r="C129" s="163"/>
      <c r="J129" s="163"/>
    </row>
    <row r="130" customFormat="false" ht="15" hidden="false" customHeight="false" outlineLevel="0" collapsed="false">
      <c r="C130" s="163"/>
      <c r="J130" s="163"/>
    </row>
  </sheetData>
  <conditionalFormatting sqref="D120:H1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0:N1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8E8"/>
    <pageSetUpPr fitToPage="false"/>
  </sheetPr>
  <dimension ref="B2:AA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66796875" defaultRowHeight="15" customHeight="false" zeroHeight="false" outlineLevelRow="0" outlineLevelCol="0"/>
  <cols>
    <col collapsed="false" customWidth="true" hidden="false" outlineLevel="0" max="9" min="9" style="0" width="14"/>
  </cols>
  <sheetData>
    <row r="2" customFormat="false" ht="18.75" hidden="false" customHeight="true" outlineLevel="0" collapsed="false">
      <c r="B2" s="29" t="s">
        <v>82</v>
      </c>
      <c r="C2" s="30"/>
      <c r="D2" s="31"/>
      <c r="E2" s="31"/>
      <c r="F2" s="31"/>
      <c r="G2" s="31"/>
      <c r="H2" s="31"/>
      <c r="I2" s="31"/>
    </row>
    <row r="3" customFormat="false" ht="15.75" hidden="false" customHeight="true" outlineLevel="0" collapsed="false">
      <c r="B3" s="32" t="s">
        <v>32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</row>
    <row r="4" customFormat="false" ht="15.75" hidden="false" customHeight="true" outlineLevel="0" collapsed="false">
      <c r="B4" s="35" t="s">
        <v>33</v>
      </c>
      <c r="C4" s="31"/>
      <c r="D4" s="31"/>
      <c r="E4" s="31"/>
      <c r="F4" s="31"/>
      <c r="G4" s="31"/>
      <c r="H4" s="31"/>
      <c r="I4" s="31"/>
    </row>
    <row r="6" customFormat="false" ht="15" hidden="false" customHeight="false" outlineLevel="0" collapsed="false">
      <c r="B6" s="87" t="s">
        <v>83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8" customFormat="false" ht="15" hidden="false" customHeight="false" outlineLevel="0" collapsed="false">
      <c r="B8" s="28" t="s">
        <v>84</v>
      </c>
      <c r="E8" s="28" t="s">
        <v>85</v>
      </c>
      <c r="H8" s="28" t="s">
        <v>86</v>
      </c>
    </row>
    <row r="9" customFormat="false" ht="15" hidden="false" customHeight="false" outlineLevel="0" collapsed="false">
      <c r="B9" s="0" t="s">
        <v>87</v>
      </c>
      <c r="C9" s="89" t="n">
        <f aca="false">Q94</f>
        <v>1144283.61293402</v>
      </c>
      <c r="E9" s="0" t="s">
        <v>135</v>
      </c>
      <c r="F9" s="90" t="n">
        <v>0.0302681142459967</v>
      </c>
      <c r="H9" s="0" t="s">
        <v>89</v>
      </c>
      <c r="I9" s="91" t="n">
        <v>46298</v>
      </c>
    </row>
    <row r="10" customFormat="false" ht="15" hidden="false" customHeight="false" outlineLevel="0" collapsed="false">
      <c r="B10" s="0" t="s">
        <v>90</v>
      </c>
      <c r="C10" s="92" t="n">
        <f aca="false">IFERROR(C9/L54,0)</f>
        <v>7.90535007692</v>
      </c>
      <c r="E10" s="0" t="s">
        <v>155</v>
      </c>
      <c r="F10" s="90" t="n">
        <v>0.0025</v>
      </c>
      <c r="H10" s="0" t="s">
        <v>92</v>
      </c>
      <c r="I10" s="91"/>
    </row>
    <row r="11" customFormat="false" ht="15" hidden="false" customHeight="false" outlineLevel="0" collapsed="false">
      <c r="B11" s="0" t="s">
        <v>79</v>
      </c>
      <c r="C11" s="89" t="n">
        <v>4869931.925504</v>
      </c>
      <c r="E11" s="0" t="s">
        <v>93</v>
      </c>
      <c r="F11" s="90" t="n">
        <v>0.15610002335586</v>
      </c>
      <c r="H11" s="0" t="s">
        <v>94</v>
      </c>
      <c r="I11" s="91" t="n">
        <v>46291</v>
      </c>
    </row>
    <row r="12" customFormat="false" ht="15" hidden="false" customHeight="false" outlineLevel="0" collapsed="false">
      <c r="B12" s="0" t="s">
        <v>77</v>
      </c>
      <c r="C12" s="43" t="n">
        <f aca="false">C9-AA18+AA17+AA19-F20-F21</f>
        <v>1178046.61293402</v>
      </c>
      <c r="E12" s="0" t="s">
        <v>12</v>
      </c>
      <c r="F12" s="93" t="n">
        <f aca="false">WACC!D36</f>
        <v>0.149842183666927</v>
      </c>
      <c r="G12" s="94"/>
    </row>
    <row r="13" customFormat="false" ht="15" hidden="false" customHeight="false" outlineLevel="0" collapsed="false">
      <c r="B13" s="0" t="s">
        <v>95</v>
      </c>
      <c r="C13" s="96" t="n">
        <f aca="false">Q111/$I$16</f>
        <v>60.0321568300167</v>
      </c>
      <c r="E13" s="0" t="s">
        <v>96</v>
      </c>
      <c r="F13" s="90" t="n">
        <v>0.0291437159399389</v>
      </c>
      <c r="H13" s="0" t="s">
        <v>97</v>
      </c>
      <c r="I13" s="97" t="n">
        <v>5</v>
      </c>
    </row>
    <row r="14" customFormat="false" ht="15" hidden="false" customHeight="false" outlineLevel="0" collapsed="false">
      <c r="B14" s="0" t="s">
        <v>98</v>
      </c>
      <c r="C14" s="96" t="n">
        <f aca="false">C12/$I$16</f>
        <v>78.511856183035</v>
      </c>
      <c r="E14" s="0" t="s">
        <v>99</v>
      </c>
      <c r="F14" s="90" t="n">
        <v>0.0228</v>
      </c>
      <c r="H14" s="0" t="s">
        <v>100</v>
      </c>
      <c r="I14" s="97" t="n">
        <v>3</v>
      </c>
    </row>
    <row r="15" customFormat="false" ht="15" hidden="false" customHeight="false" outlineLevel="0" collapsed="false">
      <c r="B15" s="28" t="s">
        <v>101</v>
      </c>
      <c r="E15" s="28" t="s">
        <v>102</v>
      </c>
      <c r="F15" s="90" t="n">
        <v>0.309707997625919</v>
      </c>
      <c r="H15" s="0" t="s">
        <v>103</v>
      </c>
      <c r="I15" s="97" t="n">
        <v>4</v>
      </c>
    </row>
    <row r="16" customFormat="false" ht="15" hidden="false" customHeight="false" outlineLevel="0" collapsed="false">
      <c r="B16" s="0" t="s">
        <v>104</v>
      </c>
      <c r="C16" s="98" t="n">
        <v>9.69914701306524</v>
      </c>
      <c r="E16" s="0" t="s">
        <v>105</v>
      </c>
      <c r="F16" s="90" t="n">
        <v>0.457475478332007</v>
      </c>
      <c r="H16" s="0" t="s">
        <v>106</v>
      </c>
      <c r="I16" s="99" t="n">
        <v>15004.697</v>
      </c>
    </row>
    <row r="17" customFormat="false" ht="15" hidden="false" customHeight="false" outlineLevel="0" collapsed="false">
      <c r="B17" s="0" t="s">
        <v>107</v>
      </c>
      <c r="C17" s="0" t="n">
        <v>35934</v>
      </c>
      <c r="E17" s="0" t="s">
        <v>108</v>
      </c>
      <c r="F17" s="90" t="n">
        <v>0.301008116325641</v>
      </c>
      <c r="H17" s="0" t="s">
        <v>109</v>
      </c>
      <c r="I17" s="100" t="n">
        <v>333.69</v>
      </c>
      <c r="AA17" s="0" t="n">
        <f aca="false">C17</f>
        <v>35934</v>
      </c>
    </row>
    <row r="18" customFormat="false" ht="15" hidden="false" customHeight="false" outlineLevel="0" collapsed="false">
      <c r="B18" s="87" t="s">
        <v>110</v>
      </c>
      <c r="C18" s="88"/>
      <c r="D18" s="88"/>
      <c r="E18" s="88"/>
      <c r="F18" s="88"/>
      <c r="G18" s="88"/>
      <c r="H18" s="101" t="s">
        <v>35</v>
      </c>
      <c r="I18" s="102" t="s">
        <v>36</v>
      </c>
      <c r="J18" s="103" t="s">
        <v>37</v>
      </c>
      <c r="K18" s="103" t="s">
        <v>38</v>
      </c>
      <c r="L18" s="103" t="s">
        <v>39</v>
      </c>
      <c r="M18" s="103" t="s">
        <v>40</v>
      </c>
      <c r="N18" s="103" t="s">
        <v>41</v>
      </c>
      <c r="O18" s="103" t="s">
        <v>42</v>
      </c>
      <c r="P18" s="103" t="s">
        <v>43</v>
      </c>
      <c r="Q18" s="103" t="s">
        <v>44</v>
      </c>
      <c r="S18" s="104" t="s">
        <v>111</v>
      </c>
      <c r="T18" s="104" t="s">
        <v>112</v>
      </c>
      <c r="AA18" s="0" t="n">
        <v>98657</v>
      </c>
    </row>
    <row r="19" customFormat="false" ht="15" hidden="false" customHeight="true" outlineLevel="0" collapsed="false">
      <c r="B19" s="28"/>
      <c r="E19" s="0" t="s">
        <v>113</v>
      </c>
      <c r="F19" s="90" t="n">
        <v>0.00968</v>
      </c>
      <c r="I19" s="42"/>
      <c r="AA19" s="0" t="n">
        <v>96486</v>
      </c>
    </row>
    <row r="20" customFormat="false" ht="15" hidden="false" customHeight="false" outlineLevel="0" collapsed="false">
      <c r="B20" s="105" t="s">
        <v>114</v>
      </c>
      <c r="C20" s="106"/>
      <c r="D20" s="106"/>
      <c r="E20" s="106"/>
      <c r="F20" s="106" t="n">
        <v>0</v>
      </c>
      <c r="G20" s="107"/>
      <c r="H20" s="108" t="n">
        <f aca="false">'Data Given (Recalculated)'!G12</f>
        <v>365817</v>
      </c>
      <c r="I20" s="109" t="n">
        <f aca="false">'Data Given (Recalculated)'!H12</f>
        <v>394328</v>
      </c>
      <c r="J20" s="108" t="n">
        <f aca="false">'Data Given (Recalculated)'!I12</f>
        <v>383285</v>
      </c>
      <c r="K20" s="108" t="n">
        <f aca="false">'Data Given (Recalculated)'!J12</f>
        <v>391035</v>
      </c>
      <c r="L20" s="108" t="n">
        <f aca="false">'Data Given (Recalculated)'!K12</f>
        <v>416161</v>
      </c>
      <c r="M20" s="108" t="n">
        <f aca="false">L20*(1+M21)</f>
        <v>425649.4708</v>
      </c>
      <c r="N20" s="108" t="n">
        <f aca="false">M20*(1+N21)</f>
        <v>435354.27873424</v>
      </c>
      <c r="O20" s="108" t="n">
        <f aca="false">N20*(1+O21)</f>
        <v>445280.356289381</v>
      </c>
      <c r="P20" s="108" t="n">
        <f aca="false">O20*(1+P21)</f>
        <v>453972.228844149</v>
      </c>
      <c r="Q20" s="108" t="n">
        <f aca="false">P20*(1+Q21)</f>
        <v>461344.737840578</v>
      </c>
      <c r="S20" s="110" t="n">
        <f aca="false">IFERROR((I20/H20)^(1/(COLUMNS(H20:I20)-1))-1,"")</f>
        <v>0.0779378760418461</v>
      </c>
      <c r="T20" s="110" t="n">
        <f aca="false">IFERROR((Q20/J20)^(1/(COLUMNS(J20:Q20)-1))-1,"")</f>
        <v>0.026834697635316</v>
      </c>
    </row>
    <row r="21" customFormat="false" ht="15" hidden="false" customHeight="false" outlineLevel="0" collapsed="false">
      <c r="B21" s="111" t="s">
        <v>116</v>
      </c>
      <c r="F21" s="0" t="n">
        <v>0</v>
      </c>
      <c r="H21" s="0" t="str">
        <f aca="false">""</f>
        <v/>
      </c>
      <c r="I21" s="112" t="n">
        <f aca="false">IFERROR(I20/H20-1,0)</f>
        <v>0.0779378760418461</v>
      </c>
      <c r="J21" s="113" t="n">
        <f aca="false">IFERROR(J20/I20-1,0)</f>
        <v>-0.0280046053031994</v>
      </c>
      <c r="K21" s="113" t="n">
        <f aca="false">IFERROR(K20/J20-1,0)</f>
        <v>0.0202199407751411</v>
      </c>
      <c r="L21" s="113" t="n">
        <f aca="false">IFERROR(L20/K20-1,0)</f>
        <v>0.0642551178283275</v>
      </c>
      <c r="M21" s="113" t="n">
        <f aca="false">$F$14+($F$19-$F$14)*MAX(0,MIN(1,(M$83-$I$14)/$I$15))</f>
        <v>0.0228</v>
      </c>
      <c r="N21" s="113" t="n">
        <f aca="false">$F$14+($F$19-$F$14)*MAX(0,MIN(1,(N$83-$I$14)/$I$15))</f>
        <v>0.0228</v>
      </c>
      <c r="O21" s="113" t="n">
        <f aca="false">$F$14+($F$19-$F$14)*MAX(0,MIN(1,(O$83-$I$14)/$I$15))</f>
        <v>0.0228</v>
      </c>
      <c r="P21" s="113" t="n">
        <f aca="false">$F$14+($F$19-$F$14)*MAX(0,MIN(1,(P$83-$I$14)/$I$15))</f>
        <v>0.01952</v>
      </c>
      <c r="Q21" s="113" t="n">
        <f aca="false">$F$14+($F$19-$F$14)*MAX(0,MIN(1,(Q$83-$I$14)/$I$15))</f>
        <v>0.01624</v>
      </c>
    </row>
    <row r="22" customFormat="false" ht="15" hidden="false" customHeight="false" outlineLevel="0" collapsed="false">
      <c r="B22" s="114"/>
      <c r="I22" s="42"/>
    </row>
    <row r="23" customFormat="false" ht="15" hidden="false" customHeight="false" outlineLevel="0" collapsed="false">
      <c r="B23" s="28" t="s">
        <v>118</v>
      </c>
      <c r="I23" s="42"/>
    </row>
    <row r="24" customFormat="false" ht="15" hidden="false" customHeight="false" outlineLevel="0" collapsed="false">
      <c r="B24" s="0" t="s">
        <v>118</v>
      </c>
      <c r="C24" s="115"/>
      <c r="D24" s="115"/>
      <c r="E24" s="115"/>
      <c r="G24" s="115"/>
      <c r="H24" s="45" t="n">
        <f aca="false">'Data Given (Recalculated)'!G16</f>
        <v>212981</v>
      </c>
      <c r="I24" s="46" t="n">
        <f aca="false">'Data Given (Recalculated)'!H16</f>
        <v>223546</v>
      </c>
      <c r="J24" s="45" t="n">
        <f aca="false">'Data Given (Recalculated)'!I16</f>
        <v>214137</v>
      </c>
      <c r="K24" s="45" t="n">
        <f aca="false">'Data Given (Recalculated)'!J16</f>
        <v>210352</v>
      </c>
      <c r="L24" s="45" t="n">
        <f aca="false">'Data Given (Recalculated)'!K16</f>
        <v>201436</v>
      </c>
      <c r="M24" s="45" t="n">
        <f aca="false">M20*(1-$F$16)-M27</f>
        <v>210956.128344005</v>
      </c>
      <c r="N24" s="45" t="n">
        <f aca="false">N20*(1-$F$16)-N27</f>
        <v>215765.928070248</v>
      </c>
      <c r="O24" s="45" t="n">
        <f aca="false">O20*(1-$F$16)-O27</f>
        <v>220685.39123025</v>
      </c>
      <c r="P24" s="45" t="n">
        <f aca="false">P20*(1-$F$16)-P27</f>
        <v>224993.170067064</v>
      </c>
      <c r="Q24" s="45" t="n">
        <f aca="false">Q20*(1-$F$16)-Q27</f>
        <v>228647.059148953</v>
      </c>
      <c r="S24" s="110" t="n">
        <f aca="false">IFERROR((I24/H24)^(1/(COLUMNS(H24:I24)-1))-1,"")</f>
        <v>0.0496053638587479</v>
      </c>
      <c r="T24" s="110" t="n">
        <f aca="false">IFERROR((Q24/J24)^(1/(COLUMNS(J24:Q24)-1))-1,"")</f>
        <v>0.00941022767410771</v>
      </c>
    </row>
    <row r="25" customFormat="false" ht="15" hidden="false" customHeight="false" outlineLevel="0" collapsed="false">
      <c r="B25" s="111" t="s">
        <v>119</v>
      </c>
      <c r="H25" s="113" t="n">
        <f aca="false">IFERROR(H24/H20,0)</f>
        <v>0.582206403748322</v>
      </c>
      <c r="I25" s="112" t="n">
        <f aca="false">IFERROR(I24/I20,0)</f>
        <v>0.566903694386399</v>
      </c>
      <c r="J25" s="113" t="n">
        <f aca="false">IFERROR(J24/J20,0)</f>
        <v>0.558688704227924</v>
      </c>
      <c r="K25" s="113" t="n">
        <f aca="false">IFERROR(K24/K20,0)</f>
        <v>0.537936501847661</v>
      </c>
      <c r="L25" s="113" t="n">
        <f aca="false">IFERROR(L24/L20,0)</f>
        <v>0.484033823448137</v>
      </c>
      <c r="M25" s="113" t="n">
        <f aca="false">IFERROR(M24/M20,0)</f>
        <v>0.495609986187735</v>
      </c>
      <c r="N25" s="113" t="n">
        <f aca="false">IFERROR(N24/N20,0)</f>
        <v>0.495609986187735</v>
      </c>
      <c r="O25" s="113" t="n">
        <f aca="false">IFERROR(O24/O20,0)</f>
        <v>0.495609986187735</v>
      </c>
      <c r="P25" s="113" t="n">
        <f aca="false">IFERROR(P24/P20,0)</f>
        <v>0.495609986187735</v>
      </c>
      <c r="Q25" s="113" t="n">
        <f aca="false">IFERROR(Q24/Q20,0)</f>
        <v>0.495609986187735</v>
      </c>
    </row>
    <row r="26" customFormat="false" ht="15" hidden="false" customHeight="false" outlineLevel="0" collapsed="false">
      <c r="I26" s="42"/>
    </row>
    <row r="27" customFormat="false" ht="15" hidden="false" customHeight="false" outlineLevel="0" collapsed="false">
      <c r="B27" s="0" t="s">
        <v>120</v>
      </c>
      <c r="H27" s="45" t="n">
        <f aca="false">'Data Given (Recalculated)'!G17</f>
        <v>0</v>
      </c>
      <c r="I27" s="46" t="n">
        <f aca="false">'Data Given (Recalculated)'!H17</f>
        <v>0</v>
      </c>
      <c r="J27" s="45" t="n">
        <f aca="false">'Data Given (Recalculated)'!I17</f>
        <v>0</v>
      </c>
      <c r="K27" s="45" t="n">
        <f aca="false">'Data Given (Recalculated)'!J17</f>
        <v>0</v>
      </c>
      <c r="L27" s="45" t="n">
        <f aca="false">'Data Given (Recalculated)'!K17</f>
        <v>19524</v>
      </c>
      <c r="M27" s="45" t="n">
        <f aca="false">M20*L28</f>
        <v>19969.1472</v>
      </c>
      <c r="N27" s="45" t="n">
        <f aca="false">N20*M28</f>
        <v>20424.44375616</v>
      </c>
      <c r="O27" s="45" t="n">
        <f aca="false">O20*N28</f>
        <v>20890.1210738004</v>
      </c>
      <c r="P27" s="45" t="n">
        <f aca="false">P20*O28</f>
        <v>21297.896237161</v>
      </c>
      <c r="Q27" s="45" t="n">
        <f aca="false">Q20*P28</f>
        <v>21643.7740720525</v>
      </c>
      <c r="S27" s="110" t="str">
        <f aca="false">IFERROR((I27/H27)^(1/(COLUMNS(H27:I27)-1))-1,"")</f>
        <v/>
      </c>
      <c r="T27" s="110" t="str">
        <f aca="false">IFERROR((Q27/J27)^(1/(COLUMNS(J27:Q27)-1))-1,"")</f>
        <v/>
      </c>
    </row>
    <row r="28" customFormat="false" ht="15" hidden="false" customHeight="false" outlineLevel="0" collapsed="false">
      <c r="B28" s="111" t="s">
        <v>119</v>
      </c>
      <c r="H28" s="113" t="n">
        <f aca="false">IFERROR(H27/H20,0)</f>
        <v>0</v>
      </c>
      <c r="I28" s="112" t="n">
        <f aca="false">IFERROR(I27/I20,0)</f>
        <v>0</v>
      </c>
      <c r="J28" s="113" t="n">
        <f aca="false">IFERROR(J27/J20,0)</f>
        <v>0</v>
      </c>
      <c r="K28" s="113" t="n">
        <f aca="false">IFERROR(K27/K20,0)</f>
        <v>0</v>
      </c>
      <c r="L28" s="113" t="n">
        <f aca="false">IFERROR(L27/L20,0)</f>
        <v>0.0469145354802588</v>
      </c>
      <c r="M28" s="113" t="n">
        <f aca="false">IFERROR(M27/M20,0)</f>
        <v>0.0469145354802588</v>
      </c>
      <c r="N28" s="113" t="n">
        <f aca="false">IFERROR(N27/N20,0)</f>
        <v>0.0469145354802588</v>
      </c>
      <c r="O28" s="113" t="n">
        <f aca="false">IFERROR(O27/O20,0)</f>
        <v>0.0469145354802588</v>
      </c>
      <c r="P28" s="113" t="n">
        <f aca="false">IFERROR(P27/P20,0)</f>
        <v>0.0469145354802588</v>
      </c>
      <c r="Q28" s="113" t="n">
        <f aca="false">IFERROR(Q27/Q20,0)</f>
        <v>0.0469145354802588</v>
      </c>
    </row>
    <row r="29" customFormat="false" ht="15" hidden="false" customHeight="false" outlineLevel="0" collapsed="false">
      <c r="B29" s="111"/>
      <c r="H29" s="116"/>
      <c r="I29" s="117"/>
      <c r="J29" s="116"/>
      <c r="K29" s="116"/>
      <c r="L29" s="116"/>
      <c r="M29" s="116"/>
      <c r="N29" s="116"/>
      <c r="O29" s="116"/>
      <c r="P29" s="116"/>
      <c r="Q29" s="116"/>
    </row>
    <row r="30" customFormat="false" ht="15" hidden="false" customHeight="false" outlineLevel="0" collapsed="false">
      <c r="B30" s="105" t="s">
        <v>121</v>
      </c>
      <c r="C30" s="106"/>
      <c r="D30" s="106"/>
      <c r="E30" s="106"/>
      <c r="F30" s="106"/>
      <c r="G30" s="107"/>
      <c r="H30" s="107" t="n">
        <f aca="false">H24+H27</f>
        <v>212981</v>
      </c>
      <c r="I30" s="118" t="n">
        <f aca="false">I24+I27</f>
        <v>223546</v>
      </c>
      <c r="J30" s="107" t="n">
        <f aca="false">J24+J27</f>
        <v>214137</v>
      </c>
      <c r="K30" s="107" t="n">
        <f aca="false">K24+K27</f>
        <v>210352</v>
      </c>
      <c r="L30" s="107" t="n">
        <f aca="false">L24+L27</f>
        <v>220960</v>
      </c>
      <c r="M30" s="107" t="n">
        <f aca="false">M24+M27</f>
        <v>230925.275544005</v>
      </c>
      <c r="N30" s="107" t="n">
        <f aca="false">N24+N27</f>
        <v>236190.371826408</v>
      </c>
      <c r="O30" s="107" t="n">
        <f aca="false">O24+O27</f>
        <v>241575.51230405</v>
      </c>
      <c r="P30" s="107" t="n">
        <f aca="false">P24+P27</f>
        <v>246291.066304225</v>
      </c>
      <c r="Q30" s="107" t="n">
        <f aca="false">Q24+Q27</f>
        <v>250290.833221006</v>
      </c>
    </row>
    <row r="31" customFormat="false" ht="15" hidden="false" customHeight="false" outlineLevel="0" collapsed="false">
      <c r="I31" s="42"/>
    </row>
    <row r="32" customFormat="false" ht="15" hidden="false" customHeight="false" outlineLevel="0" collapsed="false">
      <c r="B32" s="81" t="s">
        <v>122</v>
      </c>
      <c r="C32" s="53"/>
      <c r="D32" s="53"/>
      <c r="E32" s="53"/>
      <c r="F32" s="53"/>
      <c r="G32" s="53"/>
      <c r="H32" s="119" t="n">
        <f aca="false">H20-H30</f>
        <v>152836</v>
      </c>
      <c r="I32" s="83" t="n">
        <f aca="false">I20-I30</f>
        <v>170782</v>
      </c>
      <c r="J32" s="119" t="n">
        <f aca="false">J20-J30</f>
        <v>169148</v>
      </c>
      <c r="K32" s="119" t="n">
        <f aca="false">K20-K30</f>
        <v>180683</v>
      </c>
      <c r="L32" s="119" t="n">
        <f aca="false">L20-L30</f>
        <v>195201</v>
      </c>
      <c r="M32" s="119" t="n">
        <f aca="false">M20-M30</f>
        <v>194724.195255995</v>
      </c>
      <c r="N32" s="119" t="n">
        <f aca="false">N20-N30</f>
        <v>199163.906907832</v>
      </c>
      <c r="O32" s="119" t="n">
        <f aca="false">O20-O30</f>
        <v>203704.843985331</v>
      </c>
      <c r="P32" s="119" t="n">
        <f aca="false">P20-P30</f>
        <v>207681.162539924</v>
      </c>
      <c r="Q32" s="119" t="n">
        <f aca="false">Q20-Q30</f>
        <v>211053.904619573</v>
      </c>
      <c r="S32" s="110" t="n">
        <f aca="false">IFERROR((I32/H32)^(1/(COLUMNS(H32:I32)-1))-1,"")</f>
        <v>0.117419979585961</v>
      </c>
      <c r="T32" s="110" t="n">
        <f aca="false">IFERROR((Q32/J32)^(1/(COLUMNS(J32:Q32)-1))-1,"")</f>
        <v>0.032125149711113</v>
      </c>
    </row>
    <row r="33" customFormat="false" ht="15" hidden="false" customHeight="false" outlineLevel="0" collapsed="false">
      <c r="B33" s="111" t="s">
        <v>123</v>
      </c>
      <c r="H33" s="113" t="n">
        <f aca="false">IFERROR(H32/H20,0)</f>
        <v>0.417793596251678</v>
      </c>
      <c r="I33" s="112" t="n">
        <f aca="false">IFERROR(I32/I20,0)</f>
        <v>0.433096305613601</v>
      </c>
      <c r="J33" s="113" t="n">
        <f aca="false">IFERROR(J32/J20,0)</f>
        <v>0.441311295772076</v>
      </c>
      <c r="K33" s="113" t="n">
        <f aca="false">IFERROR(K32/K20,0)</f>
        <v>0.462063498152339</v>
      </c>
      <c r="L33" s="113" t="n">
        <f aca="false">IFERROR(L32/L20,0)</f>
        <v>0.469051641071605</v>
      </c>
      <c r="M33" s="113" t="n">
        <f aca="false">IFERROR(M32/M20,0)</f>
        <v>0.457475478332006</v>
      </c>
      <c r="N33" s="113" t="n">
        <f aca="false">IFERROR(N32/N20,0)</f>
        <v>0.457475478332007</v>
      </c>
      <c r="O33" s="113" t="n">
        <f aca="false">IFERROR(O32/O20,0)</f>
        <v>0.457475478332007</v>
      </c>
      <c r="P33" s="113" t="n">
        <f aca="false">IFERROR(P32/P20,0)</f>
        <v>0.457475478332007</v>
      </c>
      <c r="Q33" s="113" t="n">
        <f aca="false">IFERROR(Q32/Q20,0)</f>
        <v>0.457475478332007</v>
      </c>
    </row>
    <row r="34" customFormat="false" ht="15" hidden="false" customHeight="false" outlineLevel="0" collapsed="false">
      <c r="I34" s="42"/>
    </row>
    <row r="35" customFormat="false" ht="15" hidden="false" customHeight="false" outlineLevel="0" collapsed="false">
      <c r="B35" s="28" t="s">
        <v>124</v>
      </c>
      <c r="I35" s="42"/>
    </row>
    <row r="36" customFormat="false" ht="15" hidden="false" customHeight="false" outlineLevel="0" collapsed="false">
      <c r="B36" s="0" t="s">
        <v>125</v>
      </c>
      <c r="H36" s="45" t="n">
        <f aca="false">'Data Given (Recalculated)'!G24</f>
        <v>21914</v>
      </c>
      <c r="I36" s="46" t="n">
        <f aca="false">'Data Given (Recalculated)'!H24</f>
        <v>26251</v>
      </c>
      <c r="J36" s="45" t="n">
        <f aca="false">'Data Given (Recalculated)'!I24</f>
        <v>29915</v>
      </c>
      <c r="K36" s="45" t="n">
        <f aca="false">'Data Given (Recalculated)'!J24</f>
        <v>31370</v>
      </c>
      <c r="L36" s="45" t="n">
        <f aca="false">'Data Given (Recalculated)'!K24</f>
        <v>34550</v>
      </c>
      <c r="M36" s="45" t="n">
        <f aca="false">M20*M37</f>
        <v>35337.74</v>
      </c>
      <c r="N36" s="45" t="n">
        <f aca="false">N20*N37</f>
        <v>36143.440472</v>
      </c>
      <c r="O36" s="45" t="n">
        <f aca="false">O20*O37</f>
        <v>36967.5109147616</v>
      </c>
      <c r="P36" s="45" t="n">
        <f aca="false">P20*P37</f>
        <v>37689.1167278177</v>
      </c>
      <c r="Q36" s="45" t="n">
        <f aca="false">Q20*Q37</f>
        <v>38301.1879834775</v>
      </c>
      <c r="S36" s="110" t="n">
        <f aca="false">IFERROR((I36/H36)^(1/(COLUMNS(H36:I36)-1))-1,"")</f>
        <v>0.197910011864561</v>
      </c>
      <c r="T36" s="110" t="n">
        <f aca="false">IFERROR((Q36/J36)^(1/(COLUMNS(J36:Q36)-1))-1,"")</f>
        <v>0.0359335323497931</v>
      </c>
    </row>
    <row r="37" customFormat="false" ht="15" hidden="false" customHeight="false" outlineLevel="0" collapsed="false">
      <c r="B37" s="111" t="s">
        <v>119</v>
      </c>
      <c r="H37" s="120" t="n">
        <f aca="false">IFERROR(H36/H20,0)</f>
        <v>0.0599042690744279</v>
      </c>
      <c r="I37" s="121" t="n">
        <f aca="false">IFERROR(I36/I20,0)</f>
        <v>0.0665714836379867</v>
      </c>
      <c r="J37" s="120" t="n">
        <f aca="false">IFERROR(J36/J20,0)</f>
        <v>0.0780489713920451</v>
      </c>
      <c r="K37" s="120" t="n">
        <f aca="false">IFERROR(K36/K20,0)</f>
        <v>0.0802229979413607</v>
      </c>
      <c r="L37" s="120" t="n">
        <f aca="false">IFERROR(L36/L20,0)</f>
        <v>0.0830207539870387</v>
      </c>
      <c r="M37" s="120" t="n">
        <f aca="false">L37</f>
        <v>0.0830207539870387</v>
      </c>
      <c r="N37" s="120" t="n">
        <f aca="false">M37</f>
        <v>0.0830207539870387</v>
      </c>
      <c r="O37" s="120" t="n">
        <f aca="false">N37</f>
        <v>0.0830207539870387</v>
      </c>
      <c r="P37" s="120" t="n">
        <f aca="false">O37</f>
        <v>0.0830207539870387</v>
      </c>
      <c r="Q37" s="120" t="n">
        <f aca="false">P37</f>
        <v>0.0830207539870387</v>
      </c>
    </row>
    <row r="38" customFormat="false" ht="15" hidden="false" customHeight="false" outlineLevel="0" collapsed="false">
      <c r="I38" s="42"/>
    </row>
    <row r="39" customFormat="false" ht="15" hidden="false" customHeight="false" outlineLevel="0" collapsed="false">
      <c r="B39" s="0" t="s">
        <v>126</v>
      </c>
      <c r="H39" s="45" t="n">
        <f aca="false">'Data Given (Recalculated)'!G25</f>
        <v>21973</v>
      </c>
      <c r="I39" s="46" t="n">
        <f aca="false">'Data Given (Recalculated)'!H25</f>
        <v>25094</v>
      </c>
      <c r="J39" s="45" t="n">
        <f aca="false">'Data Given (Recalculated)'!I25</f>
        <v>24932</v>
      </c>
      <c r="K39" s="45" t="n">
        <f aca="false">'Data Given (Recalculated)'!J25</f>
        <v>26097</v>
      </c>
      <c r="L39" s="45" t="n">
        <f aca="false">'Data Given (Recalculated)'!K25</f>
        <v>27601</v>
      </c>
      <c r="M39" s="45" t="n">
        <f aca="false">M20*M40</f>
        <v>28230.3028</v>
      </c>
      <c r="N39" s="45" t="n">
        <f aca="false">N20*N40</f>
        <v>28873.95370384</v>
      </c>
      <c r="O39" s="45" t="n">
        <f aca="false">O20*O40</f>
        <v>29532.2798482875</v>
      </c>
      <c r="P39" s="45" t="n">
        <f aca="false">P20*P40</f>
        <v>30108.7499509261</v>
      </c>
      <c r="Q39" s="45" t="n">
        <f aca="false">Q20*Q40</f>
        <v>30597.7160501292</v>
      </c>
      <c r="S39" s="110" t="n">
        <f aca="false">IFERROR((I39/H39)^(1/(COLUMNS(H39:I39)-1))-1,"")</f>
        <v>0.142037955672871</v>
      </c>
      <c r="T39" s="110" t="n">
        <f aca="false">IFERROR((Q39/J39)^(1/(COLUMNS(J39:Q39)-1))-1,"")</f>
        <v>0.0296854025728157</v>
      </c>
    </row>
    <row r="40" customFormat="false" ht="15" hidden="false" customHeight="false" outlineLevel="0" collapsed="false">
      <c r="B40" s="111" t="s">
        <v>119</v>
      </c>
      <c r="H40" s="120" t="n">
        <f aca="false">IFERROR(H39/H20,0)</f>
        <v>0.0600655519016339</v>
      </c>
      <c r="I40" s="121" t="n">
        <f aca="false">IFERROR(I39/I20,0)</f>
        <v>0.0636373780203283</v>
      </c>
      <c r="J40" s="120" t="n">
        <f aca="false">IFERROR(J39/J20,0)</f>
        <v>0.0650482017297833</v>
      </c>
      <c r="K40" s="120" t="n">
        <f aca="false">IFERROR(K39/K20,0)</f>
        <v>0.0667382715102229</v>
      </c>
      <c r="L40" s="120" t="n">
        <f aca="false">IFERROR(L39/L20,0)</f>
        <v>0.066322889458647</v>
      </c>
      <c r="M40" s="120" t="n">
        <f aca="false">L40</f>
        <v>0.066322889458647</v>
      </c>
      <c r="N40" s="120" t="n">
        <f aca="false">M40</f>
        <v>0.066322889458647</v>
      </c>
      <c r="O40" s="120" t="n">
        <f aca="false">N40</f>
        <v>0.066322889458647</v>
      </c>
      <c r="P40" s="120" t="n">
        <f aca="false">O40</f>
        <v>0.066322889458647</v>
      </c>
      <c r="Q40" s="120" t="n">
        <f aca="false">P40</f>
        <v>0.066322889458647</v>
      </c>
    </row>
    <row r="41" customFormat="false" ht="15" hidden="false" customHeight="false" outlineLevel="0" collapsed="false">
      <c r="B41" s="122"/>
      <c r="I41" s="42"/>
    </row>
    <row r="42" customFormat="false" ht="15" hidden="false" customHeight="false" outlineLevel="0" collapsed="false">
      <c r="B42" s="0" t="s">
        <v>127</v>
      </c>
      <c r="H42" s="45" t="n">
        <f aca="false">'Data Given (Recalculated)'!G26</f>
        <v>11284</v>
      </c>
      <c r="I42" s="46" t="n">
        <f aca="false">'Data Given (Recalculated)'!H26</f>
        <v>11104</v>
      </c>
      <c r="J42" s="45" t="n">
        <f aca="false">'Data Given (Recalculated)'!I26</f>
        <v>11519</v>
      </c>
      <c r="K42" s="45" t="n">
        <f aca="false">'Data Given (Recalculated)'!J26</f>
        <v>11445</v>
      </c>
      <c r="L42" s="45" t="n">
        <f aca="false">'Data Given (Recalculated)'!K26</f>
        <v>11698</v>
      </c>
      <c r="M42" s="45" t="n">
        <f aca="false">M20*$F$13</f>
        <v>12405.0072669805</v>
      </c>
      <c r="N42" s="45" t="n">
        <f aca="false">N20*$F$13</f>
        <v>12687.8414326677</v>
      </c>
      <c r="O42" s="45" t="n">
        <f aca="false">O20*$F$13</f>
        <v>12977.1242173325</v>
      </c>
      <c r="P42" s="45" t="n">
        <f aca="false">P20*$F$13</f>
        <v>13230.4376820548</v>
      </c>
      <c r="Q42" s="45" t="n">
        <f aca="false">Q20*$F$13</f>
        <v>13445.2999900114</v>
      </c>
      <c r="S42" s="110" t="n">
        <f aca="false">IFERROR((I42/H42)^(1/(COLUMNS(H42:I42)-1))-1,"")</f>
        <v>-0.0159517901453385</v>
      </c>
      <c r="T42" s="110" t="n">
        <f aca="false">IFERROR((Q42/J42)^(1/(COLUMNS(J42:Q42)-1))-1,"")</f>
        <v>0.0223360469986931</v>
      </c>
    </row>
    <row r="43" customFormat="false" ht="15" hidden="false" customHeight="false" outlineLevel="0" collapsed="false">
      <c r="B43" s="111" t="s">
        <v>119</v>
      </c>
      <c r="H43" s="120" t="n">
        <f aca="false">IFERROR(H42/H20,0)</f>
        <v>0.0308460241049487</v>
      </c>
      <c r="I43" s="121" t="n">
        <f aca="false">IFERROR(I42/I20,0)</f>
        <v>0.0281592988578037</v>
      </c>
      <c r="J43" s="120" t="n">
        <f aca="false">IFERROR(J42/J20,0)</f>
        <v>0.0300533545534002</v>
      </c>
      <c r="K43" s="120" t="n">
        <f aca="false">IFERROR(K42/K20,0)</f>
        <v>0.0292684798035981</v>
      </c>
      <c r="L43" s="120" t="n">
        <f aca="false">IFERROR(L42/L20,0)</f>
        <v>0.0281093134628185</v>
      </c>
      <c r="M43" s="120" t="n">
        <f aca="false">L43</f>
        <v>0.0281093134628185</v>
      </c>
      <c r="N43" s="120" t="n">
        <f aca="false">M43</f>
        <v>0.0281093134628185</v>
      </c>
      <c r="O43" s="120" t="n">
        <f aca="false">N43</f>
        <v>0.0281093134628185</v>
      </c>
      <c r="P43" s="120" t="n">
        <f aca="false">O43</f>
        <v>0.0281093134628185</v>
      </c>
      <c r="Q43" s="120" t="n">
        <f aca="false">P43</f>
        <v>0.0281093134628185</v>
      </c>
    </row>
    <row r="44" customFormat="false" ht="15" hidden="false" customHeight="false" outlineLevel="0" collapsed="false">
      <c r="I44" s="42"/>
    </row>
    <row r="45" customFormat="false" ht="15" hidden="false" customHeight="false" outlineLevel="0" collapsed="false">
      <c r="B45" s="0" t="s">
        <v>128</v>
      </c>
      <c r="H45" s="45" t="n">
        <f aca="false">'Data Given (Recalculated)'!G27</f>
        <v>0</v>
      </c>
      <c r="I45" s="46" t="n">
        <f aca="false">'Data Given (Recalculated)'!H27</f>
        <v>0</v>
      </c>
      <c r="J45" s="45" t="n">
        <f aca="false">'Data Given (Recalculated)'!I27</f>
        <v>0</v>
      </c>
      <c r="K45" s="45" t="n">
        <f aca="false">'Data Given (Recalculated)'!J27</f>
        <v>0</v>
      </c>
      <c r="L45" s="45" t="n">
        <f aca="false">'Data Given (Recalculated)'!K27</f>
        <v>0</v>
      </c>
      <c r="M45" s="45" t="n">
        <f aca="false">M32-M36-M39-M20*M53</f>
        <v>69.7271382926847</v>
      </c>
      <c r="N45" s="45" t="n">
        <f aca="false">N32-N36-N39-N20*N53</f>
        <v>828.823026756989</v>
      </c>
      <c r="O45" s="45" t="n">
        <f aca="false">O32-O36-O39-O20*O53</f>
        <v>1622.49744077967</v>
      </c>
      <c r="P45" s="45" t="n">
        <f aca="false">P32-P36-P39-P20*P53</f>
        <v>2444.06949173709</v>
      </c>
      <c r="Q45" s="45" t="n">
        <f aca="false">Q32-Q36-Q39-Q20*Q53</f>
        <v>3286.49007182708</v>
      </c>
      <c r="S45" s="110" t="str">
        <f aca="false">IFERROR((I45/H45)^(1/(COLUMNS(H45:I45)-1))-1,"")</f>
        <v/>
      </c>
      <c r="T45" s="110" t="str">
        <f aca="false">IFERROR((Q45/J45)^(1/(COLUMNS(J45:Q45)-1))-1,"")</f>
        <v/>
      </c>
    </row>
    <row r="46" customFormat="false" ht="15" hidden="false" customHeight="false" outlineLevel="0" collapsed="false">
      <c r="B46" s="111" t="s">
        <v>119</v>
      </c>
      <c r="H46" s="120" t="n">
        <f aca="false">IFERROR(H45/H20,0)</f>
        <v>0</v>
      </c>
      <c r="I46" s="121" t="n">
        <f aca="false">IFERROR(I45/I20,0)</f>
        <v>0</v>
      </c>
      <c r="J46" s="120" t="n">
        <f aca="false">IFERROR(J45/J20,0)</f>
        <v>0</v>
      </c>
      <c r="K46" s="120" t="n">
        <f aca="false">IFERROR(K45/K20,0)</f>
        <v>0</v>
      </c>
      <c r="L46" s="120" t="n">
        <f aca="false">IFERROR(L45/L20,0)</f>
        <v>0</v>
      </c>
      <c r="M46" s="120" t="n">
        <f aca="false">IFERROR(M45/M20,0)</f>
        <v>0.000163813520457652</v>
      </c>
      <c r="N46" s="120" t="n">
        <f aca="false">IFERROR(N45/N20,0)</f>
        <v>0.00190378978051331</v>
      </c>
      <c r="O46" s="120" t="n">
        <f aca="false">IFERROR(O45/O20,0)</f>
        <v>0.00364376604056891</v>
      </c>
      <c r="P46" s="120" t="n">
        <f aca="false">IFERROR(P45/P20,0)</f>
        <v>0.00538374230062462</v>
      </c>
      <c r="Q46" s="120" t="n">
        <f aca="false">IFERROR(Q45/Q20,0)</f>
        <v>0.00712371856068023</v>
      </c>
    </row>
    <row r="47" customFormat="false" ht="15" hidden="false" customHeight="false" outlineLevel="0" collapsed="false">
      <c r="B47" s="111"/>
      <c r="I47" s="42"/>
    </row>
    <row r="48" customFormat="false" ht="15" hidden="false" customHeight="false" outlineLevel="0" collapsed="false">
      <c r="B48" s="81" t="s">
        <v>129</v>
      </c>
      <c r="C48" s="53"/>
      <c r="D48" s="53"/>
      <c r="E48" s="53"/>
      <c r="F48" s="53"/>
      <c r="G48" s="53"/>
      <c r="H48" s="119" t="n">
        <f aca="false">-(H36+H39+H45)</f>
        <v>-43887</v>
      </c>
      <c r="I48" s="83" t="n">
        <f aca="false">-(I36+I39+I45)</f>
        <v>-51345</v>
      </c>
      <c r="J48" s="119" t="n">
        <f aca="false">-(J36+J39+J45)</f>
        <v>-54847</v>
      </c>
      <c r="K48" s="119" t="n">
        <f aca="false">-(K36+K39+K45)</f>
        <v>-57467</v>
      </c>
      <c r="L48" s="119" t="n">
        <f aca="false">-(L36+L39+L45)</f>
        <v>-62151</v>
      </c>
      <c r="M48" s="119" t="n">
        <f aca="false">-(M36+M39+M45)</f>
        <v>-63637.7699382927</v>
      </c>
      <c r="N48" s="119" t="n">
        <f aca="false">-(N36+N39+N45)</f>
        <v>-65846.217202597</v>
      </c>
      <c r="O48" s="119" t="n">
        <f aca="false">-(O36+O39+O45)</f>
        <v>-68122.2882038288</v>
      </c>
      <c r="P48" s="119" t="n">
        <f aca="false">-(P36+P39+P45)</f>
        <v>-70241.9361704809</v>
      </c>
      <c r="Q48" s="119" t="n">
        <f aca="false">-(Q36+Q39+Q45)</f>
        <v>-72185.3941054338</v>
      </c>
      <c r="S48" s="110" t="n">
        <f aca="false">IFERROR((I48/H48)^(1/(COLUMNS(H48:I48)-1))-1,"")</f>
        <v>0.169936427643721</v>
      </c>
      <c r="T48" s="110" t="n">
        <f aca="false">IFERROR((Q48/J48)^(1/(COLUMNS(J48:Q48)-1))-1,"")</f>
        <v>0.0400215794882211</v>
      </c>
    </row>
    <row r="49" customFormat="false" ht="15" hidden="false" customHeight="false" outlineLevel="0" collapsed="false">
      <c r="B49" s="111" t="s">
        <v>119</v>
      </c>
      <c r="H49" s="123" t="n">
        <f aca="false">IFERROR(-H48/H20,0)</f>
        <v>0.119969820976062</v>
      </c>
      <c r="I49" s="124" t="n">
        <f aca="false">IFERROR(-I48/I20,0)</f>
        <v>0.130208861658315</v>
      </c>
      <c r="J49" s="123" t="n">
        <f aca="false">IFERROR(-J48/J20,0)</f>
        <v>0.143097173121828</v>
      </c>
      <c r="K49" s="123" t="n">
        <f aca="false">IFERROR(-K48/K20,0)</f>
        <v>0.146961269451584</v>
      </c>
      <c r="L49" s="123" t="n">
        <f aca="false">IFERROR(-L48/L20,0)</f>
        <v>0.149343643445686</v>
      </c>
      <c r="M49" s="123" t="n">
        <f aca="false">IFERROR(-M48/M20,0)</f>
        <v>0.149507456966143</v>
      </c>
      <c r="N49" s="123" t="n">
        <f aca="false">IFERROR(-N48/N20,0)</f>
        <v>0.151247433226199</v>
      </c>
      <c r="O49" s="123" t="n">
        <f aca="false">IFERROR(-O48/O20,0)</f>
        <v>0.152987409486255</v>
      </c>
      <c r="P49" s="123" t="n">
        <f aca="false">IFERROR(-P48/P20,0)</f>
        <v>0.15472738574631</v>
      </c>
      <c r="Q49" s="123" t="n">
        <f aca="false">IFERROR(-Q48/Q20,0)</f>
        <v>0.156467362006366</v>
      </c>
    </row>
    <row r="50" customFormat="false" ht="15" hidden="false" customHeight="false" outlineLevel="0" collapsed="false">
      <c r="I50" s="42"/>
    </row>
    <row r="51" customFormat="false" ht="15" hidden="false" customHeight="false" outlineLevel="0" collapsed="false">
      <c r="B51" s="0" t="s">
        <v>45</v>
      </c>
      <c r="H51" s="43" t="n">
        <f aca="false">H32+H48</f>
        <v>108949</v>
      </c>
      <c r="I51" s="44" t="n">
        <f aca="false">I32+I48</f>
        <v>119437</v>
      </c>
      <c r="J51" s="43" t="n">
        <f aca="false">J32+J48</f>
        <v>114301</v>
      </c>
      <c r="K51" s="43" t="n">
        <f aca="false">K32+K48</f>
        <v>123216</v>
      </c>
      <c r="L51" s="43" t="n">
        <f aca="false">L32+L48</f>
        <v>133050</v>
      </c>
      <c r="M51" s="43" t="n">
        <f aca="false">M32+M48</f>
        <v>131086.425317703</v>
      </c>
      <c r="N51" s="43" t="n">
        <f aca="false">N32+N48</f>
        <v>133317.689705235</v>
      </c>
      <c r="O51" s="43" t="n">
        <f aca="false">O32+O48</f>
        <v>135582.555781502</v>
      </c>
      <c r="P51" s="43" t="n">
        <f aca="false">P32+P48</f>
        <v>137439.226369443</v>
      </c>
      <c r="Q51" s="43" t="n">
        <f aca="false">Q32+Q48</f>
        <v>138868.510514139</v>
      </c>
      <c r="S51" s="110" t="n">
        <f aca="false">IFERROR((I51/H51)^(1/(COLUMNS(H51:I51)-1))-1,"")</f>
        <v>0.0962652250135385</v>
      </c>
      <c r="T51" s="110" t="n">
        <f aca="false">IFERROR((Q51/J51)^(1/(COLUMNS(J51:Q51)-1))-1,"")</f>
        <v>0.028203568411471</v>
      </c>
    </row>
    <row r="52" customFormat="false" ht="15" hidden="false" customHeight="false" outlineLevel="0" collapsed="false">
      <c r="B52" s="111" t="s">
        <v>123</v>
      </c>
      <c r="H52" s="113" t="n">
        <f aca="false">IFERROR(H51/H20,0)</f>
        <v>0.297823775275616</v>
      </c>
      <c r="I52" s="112" t="n">
        <f aca="false">IFERROR(I51/I20,0)</f>
        <v>0.302887443955286</v>
      </c>
      <c r="J52" s="113" t="n">
        <f aca="false">IFERROR(J51/J20,0)</f>
        <v>0.298214122650247</v>
      </c>
      <c r="K52" s="113" t="n">
        <f aca="false">IFERROR(K51/K20,0)</f>
        <v>0.315102228700756</v>
      </c>
      <c r="L52" s="113" t="n">
        <f aca="false">IFERROR(L51/L20,0)</f>
        <v>0.319707997625919</v>
      </c>
      <c r="M52" s="113" t="n">
        <f aca="false">IFERROR(M51/M20,0)</f>
        <v>0.307968021365863</v>
      </c>
      <c r="N52" s="113" t="n">
        <f aca="false">IFERROR(N51/N20,0)</f>
        <v>0.306228045105808</v>
      </c>
      <c r="O52" s="113" t="n">
        <f aca="false">IFERROR(O51/O20,0)</f>
        <v>0.304488068845752</v>
      </c>
      <c r="P52" s="113" t="n">
        <f aca="false">IFERROR(P51/P20,0)</f>
        <v>0.302748092585696</v>
      </c>
      <c r="Q52" s="113" t="n">
        <f aca="false">IFERROR(Q51/Q20,0)</f>
        <v>0.301008116325641</v>
      </c>
    </row>
    <row r="53" customFormat="false" ht="15" hidden="false" customHeight="false" outlineLevel="0" collapsed="false">
      <c r="B53" s="28" t="s">
        <v>130</v>
      </c>
      <c r="I53" s="42"/>
      <c r="M53" s="113" t="n">
        <f aca="false">IF(M$83&lt;$I$13,$F$15+($F$17-$F$15)*M$83/$I$13,$F$17)</f>
        <v>0.307968021365863</v>
      </c>
      <c r="N53" s="113" t="n">
        <f aca="false">IF(N$83&lt;$I$13,$F$15+($F$17-$F$15)*N$83/$I$13,$F$17)</f>
        <v>0.306228045105808</v>
      </c>
      <c r="O53" s="113" t="n">
        <f aca="false">IF(O$83&lt;$I$13,$F$15+($F$17-$F$15)*O$83/$I$13,$F$17)</f>
        <v>0.304488068845752</v>
      </c>
      <c r="P53" s="113" t="n">
        <f aca="false">IF(P$83&lt;$I$13,$F$15+($F$17-$F$15)*P$83/$I$13,$F$17)</f>
        <v>0.302748092585696</v>
      </c>
      <c r="Q53" s="113" t="n">
        <f aca="false">IF(Q$83&lt;$I$13,$F$15+($F$17-$F$15)*Q$83/$I$13,$F$17)</f>
        <v>0.301008116325641</v>
      </c>
    </row>
    <row r="54" customFormat="false" ht="15" hidden="false" customHeight="false" outlineLevel="0" collapsed="false">
      <c r="B54" s="105" t="s">
        <v>47</v>
      </c>
      <c r="C54" s="106"/>
      <c r="D54" s="106"/>
      <c r="E54" s="106"/>
      <c r="F54" s="106"/>
      <c r="G54" s="107"/>
      <c r="H54" s="107" t="n">
        <f aca="false">H51+H68</f>
        <v>120233</v>
      </c>
      <c r="I54" s="118" t="n">
        <f aca="false">I51+I68</f>
        <v>130541</v>
      </c>
      <c r="J54" s="107" t="n">
        <f aca="false">J51+J68</f>
        <v>125820</v>
      </c>
      <c r="K54" s="107" t="n">
        <f aca="false">K51+K68</f>
        <v>134661</v>
      </c>
      <c r="L54" s="107" t="n">
        <f aca="false">L51+L68</f>
        <v>144748</v>
      </c>
      <c r="M54" s="107" t="n">
        <f aca="false">M51+M68</f>
        <v>143491.432584683</v>
      </c>
      <c r="N54" s="107" t="n">
        <f aca="false">N51+N68</f>
        <v>146005.531137903</v>
      </c>
      <c r="O54" s="107" t="n">
        <f aca="false">O51+O68</f>
        <v>148559.679998834</v>
      </c>
      <c r="P54" s="107" t="n">
        <f aca="false">P51+P68</f>
        <v>150669.664051498</v>
      </c>
      <c r="Q54" s="107" t="n">
        <f aca="false">Q51+Q68</f>
        <v>152313.81050415</v>
      </c>
      <c r="S54" s="110" t="n">
        <f aca="false">IFERROR((I54/H54)^(1/(COLUMNS(H54:I54)-1))-1,"")</f>
        <v>0.0857335340547105</v>
      </c>
      <c r="T54" s="110" t="n">
        <f aca="false">IFERROR((Q54/J54)^(1/(COLUMNS(J54:Q54)-1))-1,"")</f>
        <v>0.0276746824397602</v>
      </c>
    </row>
    <row r="55" customFormat="false" ht="15" hidden="false" customHeight="false" outlineLevel="0" collapsed="false">
      <c r="B55" s="111" t="s">
        <v>123</v>
      </c>
      <c r="G55" s="125"/>
      <c r="H55" s="113" t="n">
        <f aca="false">IFERROR(H54/H20,0)</f>
        <v>0.328669799380565</v>
      </c>
      <c r="I55" s="112" t="n">
        <f aca="false">IFERROR(I54/I20,0)</f>
        <v>0.33104674281309</v>
      </c>
      <c r="J55" s="113" t="n">
        <f aca="false">IFERROR(J54/J20,0)</f>
        <v>0.328267477203647</v>
      </c>
      <c r="K55" s="113" t="n">
        <f aca="false">IFERROR(K54/K20,0)</f>
        <v>0.344370708504354</v>
      </c>
      <c r="L55" s="113" t="n">
        <f aca="false">IFERROR(L54/L20,0)</f>
        <v>0.347817311088737</v>
      </c>
      <c r="M55" s="113" t="n">
        <f aca="false">IFERROR(M54/M20,0)</f>
        <v>0.337111737305802</v>
      </c>
      <c r="N55" s="113" t="n">
        <f aca="false">IFERROR(N54/N20,0)</f>
        <v>0.335371761045746</v>
      </c>
      <c r="O55" s="113" t="n">
        <f aca="false">IFERROR(O54/O20,0)</f>
        <v>0.333631784785691</v>
      </c>
      <c r="P55" s="113" t="n">
        <f aca="false">IFERROR(P54/P20,0)</f>
        <v>0.331891808525635</v>
      </c>
      <c r="Q55" s="113" t="n">
        <f aca="false">IFERROR(Q54/Q20,0)</f>
        <v>0.33015183226558</v>
      </c>
    </row>
    <row r="56" customFormat="false" ht="15" hidden="false" customHeight="false" outlineLevel="0" collapsed="false">
      <c r="B56" s="122"/>
      <c r="H56" s="126"/>
      <c r="I56" s="127"/>
      <c r="J56" s="126"/>
      <c r="K56" s="126"/>
      <c r="L56" s="126"/>
      <c r="M56" s="126"/>
      <c r="N56" s="126"/>
      <c r="O56" s="126"/>
      <c r="P56" s="126"/>
      <c r="Q56" s="126"/>
    </row>
    <row r="57" customFormat="false" ht="15" hidden="false" customHeight="false" outlineLevel="0" collapsed="false">
      <c r="B57" s="0" t="s">
        <v>131</v>
      </c>
      <c r="H57" s="43" t="n">
        <f aca="false">-H51*H58</f>
        <v>-17006.9414445976</v>
      </c>
      <c r="I57" s="44" t="n">
        <f aca="false">-I51*I58</f>
        <v>-18644.1184895539</v>
      </c>
      <c r="J57" s="43" t="n">
        <f aca="false">-J51*J58</f>
        <v>-17842.3887695982</v>
      </c>
      <c r="K57" s="43" t="n">
        <f aca="false">-K51*K58</f>
        <v>-19234.0204778157</v>
      </c>
      <c r="L57" s="43" t="n">
        <f aca="false">-L51*L58</f>
        <v>-20769.1081074972</v>
      </c>
      <c r="M57" s="43" t="n">
        <f aca="false">-M51*M58</f>
        <v>-20462.5940537296</v>
      </c>
      <c r="N57" s="43" t="n">
        <f aca="false">-N51*N58</f>
        <v>-20810.8944767366</v>
      </c>
      <c r="O57" s="43" t="n">
        <f aca="false">-O51*O58</f>
        <v>-21164.4401241397</v>
      </c>
      <c r="P57" s="43" t="n">
        <f aca="false">-P51*P58</f>
        <v>-21454.2664462815</v>
      </c>
      <c r="Q57" s="43" t="n">
        <f aca="false">-Q51*Q58</f>
        <v>-21677.3777346506</v>
      </c>
      <c r="S57" s="120"/>
    </row>
    <row r="58" customFormat="false" ht="15" hidden="false" customHeight="false" outlineLevel="0" collapsed="false">
      <c r="B58" s="111" t="s">
        <v>132</v>
      </c>
      <c r="H58" s="123" t="n">
        <f aca="false">$F$11</f>
        <v>0.15610002335586</v>
      </c>
      <c r="I58" s="124" t="n">
        <f aca="false">$F$11</f>
        <v>0.15610002335586</v>
      </c>
      <c r="J58" s="123" t="n">
        <f aca="false">$F$11</f>
        <v>0.15610002335586</v>
      </c>
      <c r="K58" s="123" t="n">
        <f aca="false">$F$11</f>
        <v>0.15610002335586</v>
      </c>
      <c r="L58" s="123" t="n">
        <f aca="false">$F$11</f>
        <v>0.15610002335586</v>
      </c>
      <c r="M58" s="123" t="n">
        <f aca="false">$F$11</f>
        <v>0.15610002335586</v>
      </c>
      <c r="N58" s="123" t="n">
        <f aca="false">$F$11</f>
        <v>0.15610002335586</v>
      </c>
      <c r="O58" s="123" t="n">
        <f aca="false">$F$11</f>
        <v>0.15610002335586</v>
      </c>
      <c r="P58" s="123" t="n">
        <f aca="false">$F$11</f>
        <v>0.15610002335586</v>
      </c>
      <c r="Q58" s="123" t="n">
        <f aca="false">$F$11</f>
        <v>0.15610002335586</v>
      </c>
    </row>
    <row r="59" customFormat="false" ht="15" hidden="false" customHeight="false" outlineLevel="0" collapsed="false">
      <c r="I59" s="42"/>
    </row>
    <row r="60" customFormat="false" ht="15" hidden="false" customHeight="false" outlineLevel="0" collapsed="false">
      <c r="B60" s="105" t="s">
        <v>48</v>
      </c>
      <c r="C60" s="106"/>
      <c r="D60" s="106"/>
      <c r="E60" s="106"/>
      <c r="F60" s="106"/>
      <c r="G60" s="107"/>
      <c r="H60" s="107" t="n">
        <f aca="false">H51+H57</f>
        <v>91942.0585554024</v>
      </c>
      <c r="I60" s="118" t="n">
        <f aca="false">I51+I57</f>
        <v>100792.881510446</v>
      </c>
      <c r="J60" s="107" t="n">
        <f aca="false">J51+J57</f>
        <v>96458.6112304018</v>
      </c>
      <c r="K60" s="107" t="n">
        <f aca="false">K51+K57</f>
        <v>103981.979522184</v>
      </c>
      <c r="L60" s="107" t="n">
        <f aca="false">L51+L57</f>
        <v>112280.891892503</v>
      </c>
      <c r="M60" s="107" t="n">
        <f aca="false">M51+M57</f>
        <v>110623.831263973</v>
      </c>
      <c r="N60" s="107" t="n">
        <f aca="false">N51+N57</f>
        <v>112506.795228499</v>
      </c>
      <c r="O60" s="107" t="n">
        <f aca="false">O51+O57</f>
        <v>114418.115657362</v>
      </c>
      <c r="P60" s="107" t="n">
        <f aca="false">P51+P57</f>
        <v>115984.959923162</v>
      </c>
      <c r="Q60" s="107" t="n">
        <f aca="false">Q51+Q57</f>
        <v>117191.132779488</v>
      </c>
      <c r="S60" s="110" t="n">
        <f aca="false">IFERROR((I60/H60)^(1/(COLUMNS(H60:I60)-1))-1,"")</f>
        <v>0.0962652250135387</v>
      </c>
      <c r="T60" s="110" t="n">
        <f aca="false">IFERROR((Q60/J60)^(1/(COLUMNS(J60:Q60)-1))-1,"")</f>
        <v>0.028203568411471</v>
      </c>
    </row>
    <row r="61" customFormat="false" ht="15" hidden="false" customHeight="false" outlineLevel="0" collapsed="false">
      <c r="B61" s="111" t="s">
        <v>133</v>
      </c>
      <c r="H61" s="113" t="n">
        <f aca="false">IFERROR(H60/H20,0)</f>
        <v>0.251333476999162</v>
      </c>
      <c r="I61" s="112" t="n">
        <f aca="false">IFERROR(I60/I20,0)</f>
        <v>0.255606706879669</v>
      </c>
      <c r="J61" s="113" t="n">
        <f aca="false">IFERROR(J60/J20,0)</f>
        <v>0.251662891139496</v>
      </c>
      <c r="K61" s="113" t="n">
        <f aca="false">IFERROR(K60/K20,0)</f>
        <v>0.265914763441084</v>
      </c>
      <c r="L61" s="113" t="n">
        <f aca="false">IFERROR(L60/L20,0)</f>
        <v>0.269801571729458</v>
      </c>
      <c r="M61" s="113" t="n">
        <f aca="false">IFERROR(M60/M20,0)</f>
        <v>0.259894206037794</v>
      </c>
      <c r="N61" s="113" t="n">
        <f aca="false">IFERROR(N60/N20,0)</f>
        <v>0.258425840112572</v>
      </c>
      <c r="O61" s="113" t="n">
        <f aca="false">IFERROR(O60/O20,0)</f>
        <v>0.256957474187349</v>
      </c>
      <c r="P61" s="113" t="n">
        <f aca="false">IFERROR(P60/P20,0)</f>
        <v>0.255489108262127</v>
      </c>
      <c r="Q61" s="113" t="n">
        <f aca="false">IFERROR(Q60/Q20,0)</f>
        <v>0.254020742336905</v>
      </c>
    </row>
    <row r="62" customFormat="false" ht="15" hidden="false" customHeight="false" outlineLevel="0" collapsed="false">
      <c r="I62" s="42"/>
    </row>
    <row r="63" customFormat="false" ht="15" hidden="false" customHeight="false" outlineLevel="0" collapsed="false">
      <c r="B63" s="87" t="s">
        <v>134</v>
      </c>
      <c r="C63" s="88"/>
      <c r="D63" s="88"/>
      <c r="E63" s="88"/>
      <c r="F63" s="88"/>
      <c r="G63" s="88"/>
      <c r="H63" s="101" t="s">
        <v>35</v>
      </c>
      <c r="I63" s="102" t="s">
        <v>36</v>
      </c>
      <c r="J63" s="103" t="s">
        <v>37</v>
      </c>
      <c r="K63" s="103" t="s">
        <v>38</v>
      </c>
      <c r="L63" s="103" t="s">
        <v>39</v>
      </c>
      <c r="M63" s="103" t="s">
        <v>40</v>
      </c>
      <c r="N63" s="103" t="s">
        <v>41</v>
      </c>
      <c r="O63" s="103" t="s">
        <v>42</v>
      </c>
      <c r="P63" s="103" t="s">
        <v>43</v>
      </c>
      <c r="Q63" s="103" t="s">
        <v>44</v>
      </c>
    </row>
    <row r="64" customFormat="false" ht="15" hidden="false" customHeight="false" outlineLevel="0" collapsed="false">
      <c r="B64" s="75"/>
      <c r="I64" s="42"/>
    </row>
    <row r="65" customFormat="false" ht="15" hidden="false" customHeight="false" outlineLevel="0" collapsed="false">
      <c r="B65" s="0" t="s">
        <v>135</v>
      </c>
      <c r="H65" s="43" t="n">
        <f aca="false">IF('Data Given (Recalculated)'!G35="","",-'Data Given (Recalculated)'!G35)</f>
        <v>-11085</v>
      </c>
      <c r="I65" s="44" t="n">
        <f aca="false">IF('Data Given (Recalculated)'!H35="","",-'Data Given (Recalculated)'!H35)</f>
        <v>-10708</v>
      </c>
      <c r="J65" s="43" t="n">
        <f aca="false">IF('Data Given (Recalculated)'!I35="","",-'Data Given (Recalculated)'!I35)</f>
        <v>-10959</v>
      </c>
      <c r="K65" s="43" t="n">
        <f aca="false">IF('Data Given (Recalculated)'!J35="","",-'Data Given (Recalculated)'!J35)</f>
        <v>-9447</v>
      </c>
      <c r="L65" s="43" t="n">
        <f aca="false">IF('Data Given (Recalculated)'!K35="","",-'Data Given (Recalculated)'!K35)</f>
        <v>-12715</v>
      </c>
      <c r="M65" s="43" t="n">
        <f aca="false">-M20*$F$9</f>
        <v>-12883.6068109224</v>
      </c>
      <c r="N65" s="43" t="n">
        <f aca="false">-N20*$F$9</f>
        <v>-13177.3530462115</v>
      </c>
      <c r="O65" s="43" t="n">
        <f aca="false">-O20*$F$9</f>
        <v>-13477.7966956651</v>
      </c>
      <c r="P65" s="43" t="n">
        <f aca="false">-P20*$F$9</f>
        <v>-13740.8832871645</v>
      </c>
      <c r="Q65" s="43" t="n">
        <f aca="false">-Q20*$F$9</f>
        <v>-13964.035231748</v>
      </c>
    </row>
    <row r="66" customFormat="false" ht="15" hidden="false" customHeight="false" outlineLevel="0" collapsed="false">
      <c r="B66" s="111" t="s">
        <v>136</v>
      </c>
      <c r="H66" s="113" t="n">
        <f aca="false">IFERROR(-H65/H20,0)</f>
        <v>0.0303020362640337</v>
      </c>
      <c r="I66" s="112" t="n">
        <f aca="false">IFERROR(-I65/I20,0)</f>
        <v>0.0271550587328316</v>
      </c>
      <c r="J66" s="113" t="n">
        <f aca="false">IFERROR(-J65/J20,0)</f>
        <v>0.0285923007683578</v>
      </c>
      <c r="K66" s="113" t="n">
        <f aca="false">IFERROR(-K65/K20,0)</f>
        <v>0.0241589627526948</v>
      </c>
      <c r="L66" s="113" t="n">
        <f aca="false">IFERROR(-L65/L20,0)</f>
        <v>0.0305530792169377</v>
      </c>
      <c r="M66" s="113" t="n">
        <f aca="false">IFERROR(-M65/M20,0)</f>
        <v>0.0302681142459967</v>
      </c>
      <c r="N66" s="113" t="n">
        <f aca="false">IFERROR(-N65/N20,0)</f>
        <v>0.0302681142459967</v>
      </c>
      <c r="O66" s="113" t="n">
        <f aca="false">IFERROR(-O65/O20,0)</f>
        <v>0.0302681142459967</v>
      </c>
      <c r="P66" s="113" t="n">
        <f aca="false">IFERROR(-P65/P20,0)</f>
        <v>0.0302681142459967</v>
      </c>
      <c r="Q66" s="113" t="n">
        <f aca="false">IFERROR(-Q65/Q20,0)</f>
        <v>0.0302681142459967</v>
      </c>
    </row>
    <row r="67" customFormat="false" ht="15" hidden="false" customHeight="false" outlineLevel="0" collapsed="false">
      <c r="H67" s="113"/>
      <c r="I67" s="112"/>
      <c r="J67" s="113"/>
      <c r="K67" s="113"/>
      <c r="L67" s="113"/>
      <c r="M67" s="113"/>
      <c r="N67" s="113"/>
      <c r="O67" s="113"/>
      <c r="P67" s="113"/>
      <c r="Q67" s="113"/>
    </row>
    <row r="68" customFormat="false" ht="15" hidden="false" customHeight="false" outlineLevel="0" collapsed="false">
      <c r="B68" s="0" t="s">
        <v>137</v>
      </c>
      <c r="H68" s="43" t="n">
        <f aca="false">IF('Data Given (Recalculated)'!G36="","",'Data Given (Recalculated)'!G36)</f>
        <v>11284</v>
      </c>
      <c r="I68" s="44" t="n">
        <f aca="false">IF('Data Given (Recalculated)'!H36="","",'Data Given (Recalculated)'!H36)</f>
        <v>11104</v>
      </c>
      <c r="J68" s="43" t="n">
        <f aca="false">IF('Data Given (Recalculated)'!I36="","",'Data Given (Recalculated)'!I36)</f>
        <v>11519</v>
      </c>
      <c r="K68" s="43" t="n">
        <f aca="false">IF('Data Given (Recalculated)'!J36="","",'Data Given (Recalculated)'!J36)</f>
        <v>11445</v>
      </c>
      <c r="L68" s="43" t="n">
        <f aca="false">IF('Data Given (Recalculated)'!K36="","",'Data Given (Recalculated)'!K36)</f>
        <v>11698</v>
      </c>
      <c r="M68" s="43" t="n">
        <f aca="false">M20*$F$13</f>
        <v>12405.0072669805</v>
      </c>
      <c r="N68" s="43" t="n">
        <f aca="false">N20*$F$13</f>
        <v>12687.8414326677</v>
      </c>
      <c r="O68" s="43" t="n">
        <f aca="false">O20*$F$13</f>
        <v>12977.1242173325</v>
      </c>
      <c r="P68" s="43" t="n">
        <f aca="false">P20*$F$13</f>
        <v>13230.4376820548</v>
      </c>
      <c r="Q68" s="43" t="n">
        <f aca="false">Q20*$F$13</f>
        <v>13445.2999900114</v>
      </c>
    </row>
    <row r="69" customFormat="false" ht="15" hidden="false" customHeight="false" outlineLevel="0" collapsed="false">
      <c r="B69" s="111" t="s">
        <v>138</v>
      </c>
      <c r="D69" s="128"/>
      <c r="H69" s="113" t="n">
        <f aca="false">IFERROR(H68/H20,0)</f>
        <v>0.0308460241049487</v>
      </c>
      <c r="I69" s="112" t="n">
        <f aca="false">IFERROR(I68/I20,0)</f>
        <v>0.0281592988578037</v>
      </c>
      <c r="J69" s="113" t="n">
        <f aca="false">IFERROR(J68/J20,0)</f>
        <v>0.0300533545534002</v>
      </c>
      <c r="K69" s="113" t="n">
        <f aca="false">IFERROR(K68/K20,0)</f>
        <v>0.0292684798035981</v>
      </c>
      <c r="L69" s="113" t="n">
        <f aca="false">IFERROR(L68/L20,0)</f>
        <v>0.0281093134628185</v>
      </c>
      <c r="M69" s="113" t="n">
        <f aca="false">$F$13</f>
        <v>0.0291437159399389</v>
      </c>
      <c r="N69" s="113" t="n">
        <f aca="false">$F$13</f>
        <v>0.0291437159399389</v>
      </c>
      <c r="O69" s="113" t="n">
        <f aca="false">$F$13</f>
        <v>0.0291437159399389</v>
      </c>
      <c r="P69" s="113" t="n">
        <f aca="false">$F$13</f>
        <v>0.0291437159399389</v>
      </c>
      <c r="Q69" s="113" t="n">
        <f aca="false">$F$13</f>
        <v>0.0291437159399389</v>
      </c>
    </row>
    <row r="70" customFormat="false" ht="15" hidden="false" customHeight="false" outlineLevel="0" collapsed="false">
      <c r="B70" s="111" t="s">
        <v>139</v>
      </c>
      <c r="H70" s="113" t="n">
        <f aca="false">IFERROR(-H68/H65,0)</f>
        <v>1.01795218764096</v>
      </c>
      <c r="I70" s="112" t="n">
        <f aca="false">IFERROR(-I68/I65,0)</f>
        <v>1.03698169592828</v>
      </c>
      <c r="J70" s="113" t="n">
        <f aca="false">IFERROR(-J68/J65,0)</f>
        <v>1.05109955287891</v>
      </c>
      <c r="K70" s="113" t="n">
        <f aca="false">IFERROR(-K68/K65,0)</f>
        <v>1.21149571292474</v>
      </c>
      <c r="L70" s="113" t="n">
        <f aca="false">IFERROR(-L68/L65,0)</f>
        <v>0.920015729453402</v>
      </c>
      <c r="M70" s="113" t="n">
        <f aca="false">IFERROR(-M68/M65,0)</f>
        <v>0.962852052925415</v>
      </c>
      <c r="N70" s="113" t="n">
        <f aca="false">IFERROR(-N68/N65,0)</f>
        <v>0.962852052925415</v>
      </c>
      <c r="O70" s="113" t="n">
        <f aca="false">IFERROR(-O68/O65,0)</f>
        <v>0.962852052925415</v>
      </c>
      <c r="P70" s="113" t="n">
        <f aca="false">IFERROR(-P68/P65,0)</f>
        <v>0.962852052925415</v>
      </c>
      <c r="Q70" s="113" t="n">
        <f aca="false">IFERROR(-Q68/Q65,0)</f>
        <v>0.962852052925415</v>
      </c>
    </row>
    <row r="71" customFormat="false" ht="15" hidden="false" customHeight="false" outlineLevel="0" collapsed="false">
      <c r="B71" s="75" t="s">
        <v>140</v>
      </c>
      <c r="I71" s="42"/>
    </row>
    <row r="72" customFormat="false" ht="15" hidden="false" customHeight="false" outlineLevel="0" collapsed="false">
      <c r="B72" s="87" t="s">
        <v>140</v>
      </c>
      <c r="C72" s="88"/>
      <c r="D72" s="88"/>
      <c r="E72" s="88"/>
      <c r="F72" s="88"/>
      <c r="G72" s="88"/>
      <c r="H72" s="101" t="s">
        <v>35</v>
      </c>
      <c r="I72" s="102" t="s">
        <v>36</v>
      </c>
      <c r="J72" s="103" t="s">
        <v>37</v>
      </c>
      <c r="K72" s="103" t="s">
        <v>38</v>
      </c>
      <c r="L72" s="103" t="s">
        <v>39</v>
      </c>
      <c r="M72" s="103" t="s">
        <v>40</v>
      </c>
      <c r="N72" s="103" t="s">
        <v>41</v>
      </c>
      <c r="O72" s="103" t="s">
        <v>42</v>
      </c>
      <c r="P72" s="103" t="s">
        <v>43</v>
      </c>
      <c r="Q72" s="103" t="s">
        <v>44</v>
      </c>
    </row>
    <row r="73" customFormat="false" ht="15" hidden="false" customHeight="false" outlineLevel="0" collapsed="false">
      <c r="B73" s="75"/>
      <c r="I73" s="42"/>
    </row>
    <row r="74" customFormat="false" ht="15" hidden="false" customHeight="false" outlineLevel="0" collapsed="false">
      <c r="B74" s="28" t="s">
        <v>48</v>
      </c>
      <c r="H74" s="129" t="n">
        <f aca="false">H60</f>
        <v>91942.0585554024</v>
      </c>
      <c r="I74" s="130" t="n">
        <f aca="false">I60</f>
        <v>100792.881510446</v>
      </c>
      <c r="J74" s="129" t="n">
        <f aca="false">J60</f>
        <v>96458.6112304018</v>
      </c>
      <c r="K74" s="129" t="n">
        <f aca="false">K60</f>
        <v>103981.979522184</v>
      </c>
      <c r="L74" s="129" t="n">
        <f aca="false">L60</f>
        <v>112280.891892503</v>
      </c>
      <c r="M74" s="129" t="n">
        <f aca="false">M60</f>
        <v>110623.831263973</v>
      </c>
      <c r="N74" s="129" t="n">
        <f aca="false">N60</f>
        <v>112506.795228499</v>
      </c>
      <c r="O74" s="129" t="n">
        <f aca="false">O60</f>
        <v>114418.115657362</v>
      </c>
      <c r="P74" s="129" t="n">
        <f aca="false">P60</f>
        <v>115984.959923162</v>
      </c>
      <c r="Q74" s="129" t="n">
        <f aca="false">Q60</f>
        <v>117191.132779488</v>
      </c>
    </row>
    <row r="75" customFormat="false" ht="15" hidden="false" customHeight="false" outlineLevel="0" collapsed="false">
      <c r="B75" s="122" t="s">
        <v>49</v>
      </c>
      <c r="H75" s="129" t="n">
        <f aca="false">H68</f>
        <v>11284</v>
      </c>
      <c r="I75" s="130" t="n">
        <f aca="false">I68</f>
        <v>11104</v>
      </c>
      <c r="J75" s="129" t="n">
        <f aca="false">J68</f>
        <v>11519</v>
      </c>
      <c r="K75" s="129" t="n">
        <f aca="false">K68</f>
        <v>11445</v>
      </c>
      <c r="L75" s="129" t="n">
        <f aca="false">L68</f>
        <v>11698</v>
      </c>
      <c r="M75" s="129" t="n">
        <f aca="false">M68</f>
        <v>12405.0072669805</v>
      </c>
      <c r="N75" s="129" t="n">
        <f aca="false">N68</f>
        <v>12687.8414326677</v>
      </c>
      <c r="O75" s="129" t="n">
        <f aca="false">O68</f>
        <v>12977.1242173325</v>
      </c>
      <c r="P75" s="129" t="n">
        <f aca="false">P68</f>
        <v>13230.4376820548</v>
      </c>
      <c r="Q75" s="129" t="n">
        <f aca="false">Q68</f>
        <v>13445.2999900114</v>
      </c>
    </row>
    <row r="76" customFormat="false" ht="15" hidden="false" customHeight="false" outlineLevel="0" collapsed="false">
      <c r="B76" s="122" t="s">
        <v>50</v>
      </c>
      <c r="H76" s="43" t="n">
        <f aca="false">H65</f>
        <v>-11085</v>
      </c>
      <c r="I76" s="44" t="n">
        <f aca="false">I65</f>
        <v>-10708</v>
      </c>
      <c r="J76" s="43" t="n">
        <f aca="false">J65</f>
        <v>-10959</v>
      </c>
      <c r="K76" s="43" t="n">
        <f aca="false">K65</f>
        <v>-9447</v>
      </c>
      <c r="L76" s="43" t="n">
        <f aca="false">L65</f>
        <v>-12715</v>
      </c>
      <c r="M76" s="43" t="n">
        <f aca="false">M65</f>
        <v>-12883.6068109224</v>
      </c>
      <c r="N76" s="43" t="n">
        <f aca="false">N65</f>
        <v>-13177.3530462115</v>
      </c>
      <c r="O76" s="43" t="n">
        <f aca="false">O65</f>
        <v>-13477.7966956651</v>
      </c>
      <c r="P76" s="43" t="n">
        <f aca="false">P65</f>
        <v>-13740.8832871645</v>
      </c>
      <c r="Q76" s="43" t="n">
        <f aca="false">Q65</f>
        <v>-13964.035231748</v>
      </c>
    </row>
    <row r="77" customFormat="false" ht="15" hidden="false" customHeight="false" outlineLevel="0" collapsed="false">
      <c r="B77" s="122" t="s">
        <v>51</v>
      </c>
      <c r="H77" s="131" t="str">
        <f aca="false">""</f>
        <v/>
      </c>
      <c r="I77" s="132" t="n">
        <f aca="false">IF('Data Given (Recalculated)'!H41="","",-'Data Given (Recalculated)'!H41)</f>
        <v>9080</v>
      </c>
      <c r="J77" s="43" t="n">
        <f aca="false">IF('Data Given (Recalculated)'!I41="","",-'Data Given (Recalculated)'!I41)</f>
        <v>-4213</v>
      </c>
      <c r="K77" s="43" t="n">
        <f aca="false">IF('Data Given (Recalculated)'!J41="","",-'Data Given (Recalculated)'!J41)</f>
        <v>1492</v>
      </c>
      <c r="L77" s="43" t="n">
        <f aca="false">IF('Data Given (Recalculated)'!K41="","",-'Data Given (Recalculated)'!K41)</f>
        <v>-3899</v>
      </c>
      <c r="M77" s="43" t="n">
        <f aca="false">IFERROR(-((M20*'Data Given (Recalculated)'!$C$50/365+M30*'Data Given (Recalculated)'!$C$51/365-M30*'Data Given (Recalculated)'!$C$52/365+M20*$F$10)-'Data Given (Recalculated)'!K40),"")</f>
        <v>921.758984873388</v>
      </c>
      <c r="N77" s="43" t="n">
        <f aca="false">IFERROR(-((N20*'Data Given (Recalculated)'!$C$50/365+N30*'Data Given (Recalculated)'!$C$51/365-N30*'Data Given (Recalculated)'!$C$52/365+N20*$F$10)-(M20*'Data Given (Recalculated)'!$C$50/365+M30*'Data Given (Recalculated)'!$C$51/365-M30*'Data Given (Recalculated)'!$C$52/365+M20*$F$10)),"")</f>
        <v>576.538104855106</v>
      </c>
      <c r="O77" s="43" t="n">
        <f aca="false">IFERROR(-((O20*'Data Given (Recalculated)'!$C$50/365+O30*'Data Given (Recalculated)'!$C$51/365-O30*'Data Given (Recalculated)'!$C$52/365+O20*$F$10)-(N20*'Data Given (Recalculated)'!$C$50/365+N30*'Data Given (Recalculated)'!$C$51/365-N30*'Data Given (Recalculated)'!$C$52/365+N20*$F$10)),"")</f>
        <v>589.683173645804</v>
      </c>
      <c r="P77" s="43" t="n">
        <f aca="false">IFERROR(-((P20*'Data Given (Recalculated)'!$C$50/365+P30*'Data Given (Recalculated)'!$C$51/365-P30*'Data Given (Recalculated)'!$C$52/365+P20*$F$10)-(O20*'Data Given (Recalculated)'!$C$50/365+O30*'Data Given (Recalculated)'!$C$51/365-O30*'Data Given (Recalculated)'!$C$52/365+O20*$F$10)),"")</f>
        <v>516.362174741076</v>
      </c>
      <c r="Q77" s="43" t="n">
        <f aca="false">IFERROR(-((Q20*'Data Given (Recalculated)'!$C$50/365+Q30*'Data Given (Recalculated)'!$C$51/365-Q30*'Data Given (Recalculated)'!$C$52/365+Q20*$F$10)-(P20*'Data Given (Recalculated)'!$C$50/365+P30*'Data Given (Recalculated)'!$C$51/365-P30*'Data Given (Recalculated)'!$C$52/365+P20*$F$10)),"")</f>
        <v>437.982121194982</v>
      </c>
    </row>
    <row r="78" customFormat="false" ht="15" hidden="false" customHeight="false" outlineLevel="0" collapsed="false">
      <c r="B78" s="133" t="s">
        <v>52</v>
      </c>
      <c r="C78" s="134"/>
      <c r="D78" s="134"/>
      <c r="E78" s="134"/>
      <c r="F78" s="134"/>
      <c r="G78" s="134"/>
      <c r="H78" s="135" t="n">
        <f aca="false">SUM(H74:H77)</f>
        <v>92141.0585554024</v>
      </c>
      <c r="I78" s="136" t="n">
        <f aca="false">SUM(I74:I77)</f>
        <v>110268.881510446</v>
      </c>
      <c r="J78" s="137" t="n">
        <f aca="false">SUM(J74:J77)</f>
        <v>92805.6112304018</v>
      </c>
      <c r="K78" s="137" t="n">
        <f aca="false">SUM(K74:K77)</f>
        <v>107471.979522184</v>
      </c>
      <c r="L78" s="137" t="n">
        <f aca="false">SUM(L74:L77)</f>
        <v>107364.891892503</v>
      </c>
      <c r="M78" s="137" t="n">
        <f aca="false">SUM(M74:M77)</f>
        <v>111066.990704905</v>
      </c>
      <c r="N78" s="137" t="n">
        <f aca="false">SUM(N74:N77)</f>
        <v>112593.82171981</v>
      </c>
      <c r="O78" s="137" t="n">
        <f aca="false">SUM(O74:O77)</f>
        <v>114507.126352675</v>
      </c>
      <c r="P78" s="137" t="n">
        <f aca="false">SUM(P74:P77)</f>
        <v>115990.876492793</v>
      </c>
      <c r="Q78" s="137" t="n">
        <f aca="false">SUM(Q74:Q77)</f>
        <v>117110.379658947</v>
      </c>
      <c r="T78" s="110" t="n">
        <f aca="false">IFERROR((Q78/J78)^(1/(COLUMNS(J78:Q78)-1))-1,"")</f>
        <v>0.033788253984089</v>
      </c>
    </row>
    <row r="79" customFormat="false" ht="15" hidden="false" customHeight="false" outlineLevel="0" collapsed="false">
      <c r="B79" s="111" t="s">
        <v>119</v>
      </c>
      <c r="H79" s="126" t="n">
        <f aca="false">IFERROR(H78/H20,0)</f>
        <v>0.251877464840077</v>
      </c>
      <c r="I79" s="127" t="n">
        <f aca="false">IFERROR(I78/I20,0)</f>
        <v>0.279637463001476</v>
      </c>
      <c r="J79" s="116" t="n">
        <f aca="false">IFERROR(J78/J20,0)</f>
        <v>0.24213212421671</v>
      </c>
      <c r="K79" s="116" t="n">
        <f aca="false">IFERROR(K78/K20,0)</f>
        <v>0.274839795727197</v>
      </c>
      <c r="L79" s="116" t="n">
        <f aca="false">IFERROR(L78/L20,0)</f>
        <v>0.257988835793125</v>
      </c>
      <c r="M79" s="116" t="n">
        <f aca="false">IFERROR(M78/M20,0)</f>
        <v>0.260935343103226</v>
      </c>
      <c r="N79" s="116" t="n">
        <f aca="false">IFERROR(N78/N20,0)</f>
        <v>0.258625738208358</v>
      </c>
      <c r="O79" s="116" t="n">
        <f aca="false">IFERROR(O78/O20,0)</f>
        <v>0.257157372283135</v>
      </c>
      <c r="P79" s="116" t="n">
        <f aca="false">IFERROR(P78/P20,0)</f>
        <v>0.255502141151047</v>
      </c>
      <c r="Q79" s="116" t="n">
        <f aca="false">IFERROR(Q78/Q20,0)</f>
        <v>0.253845703772642</v>
      </c>
    </row>
    <row r="80" customFormat="false" ht="15" hidden="false" customHeight="false" outlineLevel="0" collapsed="false">
      <c r="B80" s="28"/>
      <c r="I80" s="42"/>
      <c r="J80" s="59"/>
      <c r="K80" s="59"/>
      <c r="L80" s="59"/>
      <c r="M80" s="59"/>
      <c r="N80" s="59"/>
      <c r="O80" s="59"/>
      <c r="P80" s="59"/>
      <c r="Q80" s="59"/>
    </row>
    <row r="81" customFormat="false" ht="15" hidden="false" customHeight="false" outlineLevel="0" collapsed="false">
      <c r="B81" s="122" t="s">
        <v>141</v>
      </c>
      <c r="E81" s="138" t="n">
        <f aca="false">I9</f>
        <v>46298</v>
      </c>
      <c r="I81" s="42"/>
      <c r="J81" s="59"/>
      <c r="K81" s="59"/>
      <c r="L81" s="59"/>
      <c r="M81" s="59"/>
      <c r="N81" s="59"/>
      <c r="O81" s="59"/>
      <c r="P81" s="59"/>
      <c r="Q81" s="59"/>
    </row>
    <row r="82" customFormat="false" ht="15" hidden="false" customHeight="false" outlineLevel="0" collapsed="false">
      <c r="B82" s="122" t="s">
        <v>54</v>
      </c>
      <c r="H82" s="62"/>
      <c r="I82" s="63"/>
      <c r="J82" s="62"/>
      <c r="K82" s="62"/>
      <c r="L82" s="62"/>
      <c r="M82" s="62" t="n">
        <f aca="false">EOMONTH(I11,12)</f>
        <v>46660</v>
      </c>
      <c r="N82" s="62" t="n">
        <f aca="false">EOMONTH(M82,12)</f>
        <v>47026</v>
      </c>
      <c r="O82" s="62" t="n">
        <f aca="false">EOMONTH(N82,12)</f>
        <v>47391</v>
      </c>
      <c r="P82" s="62" t="n">
        <f aca="false">EOMONTH(O82,12)</f>
        <v>47756</v>
      </c>
      <c r="Q82" s="62" t="n">
        <f aca="false">EOMONTH(P82,12)</f>
        <v>48121</v>
      </c>
    </row>
    <row r="83" customFormat="false" ht="15" hidden="false" customHeight="false" outlineLevel="0" collapsed="false">
      <c r="B83" s="122" t="s">
        <v>55</v>
      </c>
      <c r="I83" s="42"/>
      <c r="J83" s="65"/>
      <c r="K83" s="65"/>
      <c r="L83" s="65"/>
      <c r="M83" s="65" t="n">
        <f aca="false">1</f>
        <v>1</v>
      </c>
      <c r="N83" s="65" t="n">
        <f aca="false">M83+1</f>
        <v>2</v>
      </c>
      <c r="O83" s="65" t="n">
        <f aca="false">N83+1</f>
        <v>3</v>
      </c>
      <c r="P83" s="65" t="n">
        <f aca="false">O83+1</f>
        <v>4</v>
      </c>
      <c r="Q83" s="65" t="n">
        <f aca="false">P83+1</f>
        <v>5</v>
      </c>
    </row>
    <row r="84" customFormat="false" ht="15" hidden="false" customHeight="false" outlineLevel="0" collapsed="false">
      <c r="B84" s="122" t="s">
        <v>56</v>
      </c>
      <c r="I84" s="42"/>
      <c r="J84" s="65"/>
      <c r="K84" s="65"/>
      <c r="L84" s="65"/>
      <c r="M84" s="65" t="n">
        <f aca="false">M83/2</f>
        <v>0.5</v>
      </c>
      <c r="N84" s="65" t="n">
        <f aca="false">N83-0.5</f>
        <v>1.5</v>
      </c>
      <c r="O84" s="65" t="n">
        <f aca="false">O83-0.5</f>
        <v>2.5</v>
      </c>
      <c r="P84" s="65" t="n">
        <f aca="false">P83-0.5</f>
        <v>3.5</v>
      </c>
      <c r="Q84" s="65" t="n">
        <f aca="false">Q83-0.5</f>
        <v>4.5</v>
      </c>
    </row>
    <row r="85" customFormat="false" ht="15" hidden="false" customHeight="false" outlineLevel="0" collapsed="false">
      <c r="B85" s="122" t="s">
        <v>57</v>
      </c>
      <c r="I85" s="42"/>
      <c r="J85" s="139"/>
      <c r="K85" s="139"/>
      <c r="L85" s="139"/>
      <c r="M85" s="139" t="n">
        <f aca="false">$F$12</f>
        <v>0.149842183666927</v>
      </c>
      <c r="N85" s="139" t="n">
        <f aca="false">$F$12</f>
        <v>0.149842183666927</v>
      </c>
      <c r="O85" s="139" t="n">
        <f aca="false">$F$12</f>
        <v>0.149842183666927</v>
      </c>
      <c r="P85" s="139" t="n">
        <f aca="false">$F$12</f>
        <v>0.149842183666927</v>
      </c>
      <c r="Q85" s="139" t="n">
        <f aca="false">$F$12</f>
        <v>0.149842183666927</v>
      </c>
    </row>
    <row r="86" customFormat="false" ht="15" hidden="false" customHeight="false" outlineLevel="0" collapsed="false">
      <c r="B86" s="122" t="s">
        <v>142</v>
      </c>
      <c r="I86" s="42"/>
      <c r="J86" s="126"/>
      <c r="K86" s="126"/>
      <c r="L86" s="126"/>
      <c r="M86" s="126"/>
      <c r="N86" s="126"/>
      <c r="O86" s="126"/>
      <c r="P86" s="126"/>
      <c r="Q86" s="126"/>
    </row>
    <row r="87" customFormat="false" ht="15" hidden="false" customHeight="false" outlineLevel="0" collapsed="false">
      <c r="B87" s="133" t="s">
        <v>58</v>
      </c>
      <c r="C87" s="134"/>
      <c r="D87" s="134"/>
      <c r="E87" s="134"/>
      <c r="F87" s="134"/>
      <c r="G87" s="134"/>
      <c r="H87" s="134"/>
      <c r="I87" s="140"/>
      <c r="J87" s="137"/>
      <c r="K87" s="137"/>
      <c r="L87" s="137"/>
      <c r="M87" s="137" t="n">
        <f aca="false">M78/(1+M85)^M84</f>
        <v>103577.610173223</v>
      </c>
      <c r="N87" s="137" t="n">
        <f aca="false">N78/(1+N85)^N84</f>
        <v>91318.1709900425</v>
      </c>
      <c r="O87" s="137" t="n">
        <f aca="false">O78/(1+O85)^O84</f>
        <v>80767.5524703292</v>
      </c>
      <c r="P87" s="137" t="n">
        <f aca="false">P78/(1+P85)^P84</f>
        <v>71152.4730589497</v>
      </c>
      <c r="Q87" s="137" t="n">
        <f aca="false">Q78/(1+Q85)^Q84</f>
        <v>62477.4536344659</v>
      </c>
    </row>
    <row r="88" customFormat="false" ht="15" hidden="false" customHeight="false" outlineLevel="0" collapsed="false">
      <c r="I88" s="42"/>
      <c r="J88" s="59"/>
      <c r="K88" s="59"/>
      <c r="L88" s="59"/>
      <c r="M88" s="59"/>
      <c r="N88" s="59"/>
      <c r="O88" s="59"/>
      <c r="P88" s="59"/>
      <c r="Q88" s="59"/>
    </row>
    <row r="89" customFormat="false" ht="15" hidden="false" customHeight="false" outlineLevel="0" collapsed="false">
      <c r="B89" s="87" t="s">
        <v>143</v>
      </c>
      <c r="C89" s="88"/>
      <c r="D89" s="88"/>
      <c r="E89" s="88"/>
      <c r="F89" s="88"/>
      <c r="G89" s="88"/>
      <c r="H89" s="141" t="s">
        <v>35</v>
      </c>
      <c r="I89" s="142" t="s">
        <v>36</v>
      </c>
      <c r="J89" s="141" t="s">
        <v>37</v>
      </c>
      <c r="K89" s="141" t="s">
        <v>38</v>
      </c>
      <c r="L89" s="141" t="s">
        <v>39</v>
      </c>
      <c r="M89" s="141" t="s">
        <v>40</v>
      </c>
      <c r="N89" s="141" t="s">
        <v>41</v>
      </c>
      <c r="O89" s="141" t="s">
        <v>42</v>
      </c>
      <c r="P89" s="141" t="s">
        <v>43</v>
      </c>
      <c r="Q89" s="141" t="s">
        <v>44</v>
      </c>
    </row>
    <row r="90" customFormat="false" ht="15" hidden="false" customHeight="false" outlineLevel="0" collapsed="false">
      <c r="I90" s="42"/>
      <c r="J90" s="59"/>
      <c r="K90" s="59"/>
      <c r="L90" s="59"/>
      <c r="M90" s="59"/>
      <c r="N90" s="59"/>
      <c r="O90" s="59"/>
      <c r="P90" s="59"/>
      <c r="Q90" s="59"/>
    </row>
    <row r="91" customFormat="false" ht="15" hidden="false" customHeight="false" outlineLevel="0" collapsed="false">
      <c r="B91" s="28" t="s">
        <v>61</v>
      </c>
      <c r="I91" s="42"/>
      <c r="J91" s="59"/>
      <c r="K91" s="59"/>
      <c r="L91" s="59"/>
      <c r="M91" s="59"/>
      <c r="N91" s="59"/>
      <c r="O91" s="59"/>
      <c r="P91" s="59"/>
      <c r="Q91" s="59"/>
    </row>
    <row r="92" customFormat="false" ht="15" hidden="false" customHeight="false" outlineLevel="0" collapsed="false">
      <c r="B92" s="143" t="s">
        <v>70</v>
      </c>
      <c r="I92" s="42"/>
      <c r="J92" s="59"/>
      <c r="K92" s="59"/>
      <c r="L92" s="59"/>
      <c r="M92" s="59"/>
      <c r="N92" s="59"/>
      <c r="O92" s="59"/>
      <c r="P92" s="59"/>
      <c r="Q92" s="129" t="n">
        <f aca="false">Q54*$C$16</f>
        <v>1477314.04019991</v>
      </c>
    </row>
    <row r="93" customFormat="false" ht="15" hidden="false" customHeight="false" outlineLevel="0" collapsed="false">
      <c r="B93" s="143" t="s">
        <v>71</v>
      </c>
      <c r="I93" s="42"/>
      <c r="J93" s="59"/>
      <c r="K93" s="59"/>
      <c r="L93" s="59"/>
      <c r="M93" s="59"/>
      <c r="N93" s="59"/>
      <c r="O93" s="59"/>
      <c r="P93" s="59"/>
      <c r="Q93" s="129" t="n">
        <f aca="false">Q92/(1+Q85)^Q83</f>
        <v>734990.352607006</v>
      </c>
    </row>
    <row r="94" customFormat="false" ht="15" hidden="false" customHeight="false" outlineLevel="0" collapsed="false">
      <c r="B94" s="143" t="s">
        <v>73</v>
      </c>
      <c r="I94" s="42"/>
      <c r="J94" s="59"/>
      <c r="K94" s="59"/>
      <c r="L94" s="59"/>
      <c r="M94" s="59"/>
      <c r="N94" s="59"/>
      <c r="O94" s="59"/>
      <c r="P94" s="59"/>
      <c r="Q94" s="129" t="n">
        <f aca="false">Q93+SUM(M87:Q87)</f>
        <v>1144283.61293402</v>
      </c>
    </row>
    <row r="95" customFormat="false" ht="15" hidden="false" customHeight="false" outlineLevel="0" collapsed="false">
      <c r="B95" s="122" t="s">
        <v>74</v>
      </c>
      <c r="I95" s="42"/>
      <c r="J95" s="59"/>
      <c r="K95" s="59"/>
      <c r="L95" s="59"/>
      <c r="M95" s="59"/>
      <c r="N95" s="59"/>
      <c r="O95" s="59"/>
      <c r="P95" s="59"/>
      <c r="Q95" s="45" t="n">
        <f aca="false">-$AA$18</f>
        <v>-98657</v>
      </c>
    </row>
    <row r="96" customFormat="false" ht="15" hidden="false" customHeight="false" outlineLevel="0" collapsed="false">
      <c r="B96" s="122" t="s">
        <v>75</v>
      </c>
      <c r="I96" s="42"/>
      <c r="J96" s="59"/>
      <c r="K96" s="59"/>
      <c r="L96" s="59"/>
      <c r="M96" s="59"/>
      <c r="N96" s="59"/>
      <c r="O96" s="59"/>
      <c r="P96" s="59"/>
      <c r="Q96" s="144" t="n">
        <f aca="false">-$F$20-$F$21</f>
        <v>-0</v>
      </c>
    </row>
    <row r="97" customFormat="false" ht="15" hidden="false" customHeight="false" outlineLevel="0" collapsed="false">
      <c r="B97" s="122" t="s">
        <v>76</v>
      </c>
      <c r="I97" s="42"/>
      <c r="J97" s="59"/>
      <c r="K97" s="59"/>
      <c r="L97" s="59"/>
      <c r="M97" s="59"/>
      <c r="N97" s="59"/>
      <c r="O97" s="59"/>
      <c r="P97" s="59"/>
      <c r="Q97" s="144" t="n">
        <f aca="false">$AA$17+$AA$19</f>
        <v>132420</v>
      </c>
    </row>
    <row r="98" customFormat="false" ht="15" hidden="false" customHeight="false" outlineLevel="0" collapsed="false">
      <c r="B98" s="145" t="s">
        <v>77</v>
      </c>
      <c r="C98" s="53"/>
      <c r="D98" s="53"/>
      <c r="E98" s="53"/>
      <c r="F98" s="53"/>
      <c r="G98" s="53"/>
      <c r="H98" s="53"/>
      <c r="I98" s="54"/>
      <c r="J98" s="57"/>
      <c r="K98" s="57"/>
      <c r="L98" s="57"/>
      <c r="M98" s="57"/>
      <c r="N98" s="57"/>
      <c r="O98" s="57"/>
      <c r="P98" s="57"/>
      <c r="Q98" s="57" t="n">
        <f aca="false">SUM(Q94:Q97)</f>
        <v>1178046.61293402</v>
      </c>
    </row>
    <row r="99" customFormat="false" ht="15" hidden="false" customHeight="false" outlineLevel="0" collapsed="false">
      <c r="B99" s="143" t="s">
        <v>79</v>
      </c>
      <c r="I99" s="42"/>
      <c r="J99" s="59"/>
      <c r="K99" s="59"/>
      <c r="L99" s="59"/>
      <c r="M99" s="59"/>
      <c r="N99" s="59"/>
      <c r="O99" s="59"/>
      <c r="P99" s="59"/>
      <c r="Q99" s="45" t="n">
        <f aca="false">C11</f>
        <v>4869931.925504</v>
      </c>
    </row>
    <row r="100" customFormat="false" ht="15" hidden="false" customHeight="false" outlineLevel="0" collapsed="false">
      <c r="B100" s="111" t="s">
        <v>80</v>
      </c>
      <c r="I100" s="42"/>
      <c r="J100" s="59"/>
      <c r="K100" s="59"/>
      <c r="L100" s="59"/>
      <c r="M100" s="59"/>
      <c r="N100" s="59"/>
      <c r="O100" s="59"/>
      <c r="P100" s="59"/>
      <c r="Q100" s="126" t="n">
        <f aca="false">IFERROR(Q98/Q99 - 1,0)</f>
        <v>-0.758097930124126</v>
      </c>
    </row>
    <row r="101" customFormat="false" ht="15" hidden="false" customHeight="false" outlineLevel="0" collapsed="false">
      <c r="I101" s="42"/>
      <c r="J101" s="59"/>
      <c r="K101" s="59"/>
      <c r="L101" s="59"/>
      <c r="M101" s="59"/>
      <c r="N101" s="59"/>
      <c r="O101" s="59"/>
      <c r="P101" s="59"/>
      <c r="Q101" s="59"/>
    </row>
    <row r="102" customFormat="false" ht="15" hidden="false" customHeight="false" outlineLevel="0" collapsed="false">
      <c r="B102" s="28" t="s">
        <v>72</v>
      </c>
      <c r="I102" s="42"/>
      <c r="J102" s="59"/>
      <c r="K102" s="59"/>
      <c r="L102" s="59"/>
      <c r="M102" s="59"/>
      <c r="N102" s="59"/>
      <c r="O102" s="59"/>
      <c r="P102" s="59"/>
      <c r="Q102" s="59"/>
    </row>
    <row r="103" customFormat="false" ht="15" hidden="false" customHeight="false" outlineLevel="0" collapsed="false">
      <c r="B103" s="0" t="s">
        <v>64</v>
      </c>
      <c r="I103" s="42"/>
      <c r="J103" s="59"/>
      <c r="K103" s="59"/>
      <c r="L103" s="59"/>
      <c r="M103" s="59"/>
      <c r="N103" s="59"/>
      <c r="O103" s="59"/>
      <c r="P103" s="59"/>
      <c r="Q103" s="146" t="n">
        <v>0.02</v>
      </c>
    </row>
    <row r="104" customFormat="false" ht="15" hidden="false" customHeight="false" outlineLevel="0" collapsed="false">
      <c r="B104" s="0" t="s">
        <v>69</v>
      </c>
      <c r="I104" s="42"/>
      <c r="J104" s="59"/>
      <c r="K104" s="59"/>
      <c r="L104" s="59"/>
      <c r="M104" s="59"/>
      <c r="N104" s="59"/>
      <c r="O104" s="59"/>
      <c r="P104" s="59"/>
      <c r="Q104" s="65" t="n">
        <f aca="false">Q78*(1+Q103)</f>
        <v>119452.587252126</v>
      </c>
    </row>
    <row r="105" customFormat="false" ht="15" hidden="false" customHeight="false" outlineLevel="0" collapsed="false">
      <c r="B105" s="143" t="s">
        <v>70</v>
      </c>
      <c r="I105" s="42"/>
      <c r="J105" s="59"/>
      <c r="K105" s="59"/>
      <c r="L105" s="59"/>
      <c r="M105" s="59"/>
      <c r="N105" s="59"/>
      <c r="O105" s="59"/>
      <c r="P105" s="59"/>
      <c r="Q105" s="129" t="n">
        <f aca="false">IFERROR(IF(Q85&gt;Q103,Q104/(Q85-Q103),0),0)</f>
        <v>919982.889062823</v>
      </c>
    </row>
    <row r="106" customFormat="false" ht="15" hidden="false" customHeight="false" outlineLevel="0" collapsed="false">
      <c r="B106" s="143" t="s">
        <v>71</v>
      </c>
      <c r="I106" s="42"/>
      <c r="J106" s="59"/>
      <c r="K106" s="59"/>
      <c r="L106" s="59"/>
      <c r="M106" s="59"/>
      <c r="N106" s="59"/>
      <c r="O106" s="59"/>
      <c r="P106" s="59"/>
      <c r="Q106" s="129" t="n">
        <f aca="false">Q105/(1+Q85)^Q83</f>
        <v>457708.063163871</v>
      </c>
    </row>
    <row r="107" customFormat="false" ht="15" hidden="false" customHeight="false" outlineLevel="0" collapsed="false">
      <c r="B107" s="143" t="s">
        <v>73</v>
      </c>
      <c r="I107" s="42"/>
      <c r="J107" s="59"/>
      <c r="K107" s="59"/>
      <c r="L107" s="59"/>
      <c r="M107" s="59"/>
      <c r="N107" s="59"/>
      <c r="O107" s="59"/>
      <c r="P107" s="59"/>
      <c r="Q107" s="129" t="n">
        <f aca="false">Q106+SUM(M87:Q87)</f>
        <v>867001.323490882</v>
      </c>
    </row>
    <row r="108" customFormat="false" ht="15" hidden="false" customHeight="false" outlineLevel="0" collapsed="false">
      <c r="B108" s="122" t="s">
        <v>74</v>
      </c>
      <c r="I108" s="42"/>
      <c r="J108" s="59"/>
      <c r="K108" s="59"/>
      <c r="L108" s="59"/>
      <c r="M108" s="59"/>
      <c r="N108" s="59"/>
      <c r="O108" s="59"/>
      <c r="P108" s="59"/>
      <c r="Q108" s="45" t="n">
        <f aca="false">-$AA$18</f>
        <v>-98657</v>
      </c>
    </row>
    <row r="109" customFormat="false" ht="15" hidden="false" customHeight="false" outlineLevel="0" collapsed="false">
      <c r="B109" s="122" t="s">
        <v>75</v>
      </c>
      <c r="I109" s="42"/>
      <c r="J109" s="59"/>
      <c r="K109" s="59"/>
      <c r="L109" s="59"/>
      <c r="M109" s="59"/>
      <c r="N109" s="59"/>
      <c r="O109" s="59"/>
      <c r="P109" s="59"/>
      <c r="Q109" s="144" t="n">
        <f aca="false">-$F$20-$F$21</f>
        <v>-0</v>
      </c>
    </row>
    <row r="110" customFormat="false" ht="15" hidden="false" customHeight="false" outlineLevel="0" collapsed="false">
      <c r="B110" s="122" t="s">
        <v>76</v>
      </c>
      <c r="I110" s="42"/>
      <c r="J110" s="59"/>
      <c r="K110" s="59"/>
      <c r="L110" s="59"/>
      <c r="M110" s="59"/>
      <c r="N110" s="59"/>
      <c r="O110" s="59"/>
      <c r="P110" s="59"/>
      <c r="Q110" s="144" t="n">
        <f aca="false">$AA$17+$AA$19</f>
        <v>132420</v>
      </c>
    </row>
    <row r="111" customFormat="false" ht="15" hidden="false" customHeight="false" outlineLevel="0" collapsed="false">
      <c r="B111" s="145" t="s">
        <v>77</v>
      </c>
      <c r="C111" s="53"/>
      <c r="D111" s="53"/>
      <c r="E111" s="53"/>
      <c r="F111" s="53"/>
      <c r="G111" s="53"/>
      <c r="H111" s="53"/>
      <c r="I111" s="54"/>
      <c r="J111" s="57"/>
      <c r="K111" s="57"/>
      <c r="L111" s="57"/>
      <c r="M111" s="57"/>
      <c r="N111" s="57"/>
      <c r="O111" s="57"/>
      <c r="P111" s="57"/>
      <c r="Q111" s="57" t="n">
        <f aca="false">SUM(Q107:Q110)</f>
        <v>900764.323490882</v>
      </c>
    </row>
    <row r="112" customFormat="false" ht="15" hidden="false" customHeight="false" outlineLevel="0" collapsed="false">
      <c r="B112" s="143" t="s">
        <v>79</v>
      </c>
      <c r="I112" s="42"/>
      <c r="J112" s="59"/>
      <c r="K112" s="59"/>
      <c r="L112" s="59"/>
      <c r="M112" s="59"/>
      <c r="N112" s="59"/>
      <c r="O112" s="59"/>
      <c r="P112" s="59"/>
      <c r="Q112" s="45" t="n">
        <f aca="false">C11</f>
        <v>4869931.925504</v>
      </c>
    </row>
    <row r="113" customFormat="false" ht="15.75" hidden="false" customHeight="true" outlineLevel="0" collapsed="false">
      <c r="B113" s="147" t="s">
        <v>80</v>
      </c>
      <c r="C113" s="148"/>
      <c r="D113" s="148"/>
      <c r="E113" s="148"/>
      <c r="F113" s="148"/>
      <c r="G113" s="148"/>
      <c r="H113" s="148"/>
      <c r="I113" s="149"/>
      <c r="J113" s="150"/>
      <c r="K113" s="150"/>
      <c r="L113" s="150"/>
      <c r="M113" s="150"/>
      <c r="N113" s="150"/>
      <c r="O113" s="150"/>
      <c r="P113" s="150"/>
      <c r="Q113" s="151" t="n">
        <f aca="false">IFERROR(Q111/Q112 - 1,0)</f>
        <v>-0.815035541097906</v>
      </c>
    </row>
    <row r="114" customFormat="false" ht="15" hidden="false" customHeight="false" outlineLevel="0" collapsed="false">
      <c r="B114" s="111"/>
      <c r="K114" s="59"/>
      <c r="L114" s="59"/>
      <c r="M114" s="59"/>
      <c r="N114" s="59"/>
      <c r="O114" s="59"/>
      <c r="P114" s="59"/>
      <c r="Q114" s="126"/>
    </row>
    <row r="119" customFormat="false" ht="15" hidden="false" customHeight="false" outlineLevel="0" collapsed="false">
      <c r="D119" s="120"/>
      <c r="E119" s="120"/>
      <c r="F119" s="120"/>
      <c r="G119" s="120"/>
      <c r="H119" s="120"/>
      <c r="J119" s="120"/>
      <c r="K119" s="120"/>
      <c r="L119" s="120"/>
      <c r="M119" s="120"/>
      <c r="N119" s="120"/>
    </row>
    <row r="120" customFormat="false" ht="15" hidden="false" customHeight="false" outlineLevel="0" collapsed="false">
      <c r="C120" s="120"/>
      <c r="D120" s="163"/>
      <c r="E120" s="163"/>
      <c r="F120" s="163"/>
      <c r="G120" s="163"/>
      <c r="H120" s="163"/>
      <c r="I120" s="120"/>
      <c r="J120" s="163"/>
      <c r="K120" s="163"/>
      <c r="L120" s="163"/>
      <c r="M120" s="163"/>
      <c r="N120" s="163"/>
    </row>
    <row r="121" customFormat="false" ht="15" hidden="false" customHeight="false" outlineLevel="0" collapsed="false">
      <c r="C121" s="120"/>
      <c r="D121" s="163"/>
      <c r="E121" s="163"/>
      <c r="F121" s="163"/>
      <c r="G121" s="163"/>
      <c r="H121" s="163"/>
      <c r="I121" s="120"/>
      <c r="J121" s="163"/>
      <c r="K121" s="163"/>
      <c r="L121" s="163"/>
      <c r="M121" s="163"/>
      <c r="N121" s="163"/>
    </row>
    <row r="122" customFormat="false" ht="15" hidden="false" customHeight="false" outlineLevel="0" collapsed="false">
      <c r="C122" s="120"/>
      <c r="D122" s="163"/>
      <c r="E122" s="163"/>
      <c r="F122" s="163"/>
      <c r="G122" s="163"/>
      <c r="H122" s="163"/>
      <c r="I122" s="120"/>
      <c r="J122" s="163"/>
      <c r="K122" s="163"/>
      <c r="L122" s="163"/>
      <c r="M122" s="163"/>
      <c r="N122" s="163"/>
    </row>
    <row r="123" customFormat="false" ht="15" hidden="false" customHeight="false" outlineLevel="0" collapsed="false">
      <c r="C123" s="120"/>
      <c r="D123" s="163"/>
      <c r="E123" s="163"/>
      <c r="F123" s="163"/>
      <c r="G123" s="163"/>
      <c r="H123" s="163"/>
      <c r="I123" s="120"/>
      <c r="J123" s="163"/>
      <c r="K123" s="163"/>
      <c r="L123" s="163"/>
      <c r="M123" s="163"/>
      <c r="N123" s="163"/>
    </row>
    <row r="124" customFormat="false" ht="15" hidden="false" customHeight="false" outlineLevel="0" collapsed="false">
      <c r="C124" s="120"/>
      <c r="D124" s="163"/>
      <c r="E124" s="163"/>
      <c r="F124" s="163"/>
      <c r="G124" s="163"/>
      <c r="H124" s="163"/>
      <c r="I124" s="120"/>
      <c r="J124" s="163"/>
      <c r="K124" s="163"/>
      <c r="L124" s="163"/>
      <c r="M124" s="163"/>
      <c r="N124" s="163"/>
    </row>
    <row r="126" customFormat="false" ht="15" hidden="false" customHeight="false" outlineLevel="0" collapsed="false">
      <c r="C126" s="163"/>
      <c r="J126" s="163"/>
    </row>
    <row r="127" customFormat="false" ht="15" hidden="false" customHeight="false" outlineLevel="0" collapsed="false">
      <c r="C127" s="163"/>
      <c r="J127" s="163"/>
    </row>
    <row r="128" customFormat="false" ht="15" hidden="false" customHeight="false" outlineLevel="0" collapsed="false">
      <c r="C128" s="163"/>
      <c r="J128" s="163"/>
    </row>
    <row r="129" customFormat="false" ht="15" hidden="false" customHeight="false" outlineLevel="0" collapsed="false">
      <c r="C129" s="163"/>
      <c r="J129" s="163"/>
    </row>
    <row r="130" customFormat="false" ht="15" hidden="false" customHeight="false" outlineLevel="0" collapsed="false">
      <c r="C130" s="163"/>
      <c r="J130" s="163"/>
    </row>
  </sheetData>
  <conditionalFormatting sqref="D120:H1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0:N1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0"/>
  <sheetViews>
    <sheetView showFormulas="false" showGridLines="false" showRowColHeaders="true" showZeros="true" rightToLeft="false" tabSelected="false" showOutlineSymbols="true" defaultGridColor="true" view="normal" topLeftCell="A15" colorId="64" zoomScale="89" zoomScaleNormal="89" zoomScalePageLayoutView="100" workbookViewId="0">
      <selection pane="topLeft" activeCell="B34" activeCellId="0" sqref="B34"/>
    </sheetView>
  </sheetViews>
  <sheetFormatPr defaultColWidth="17.66796875" defaultRowHeight="15" customHeight="false" zeroHeight="false" outlineLevelRow="0" outlineLevelCol="0"/>
  <cols>
    <col collapsed="false" customWidth="true" hidden="false" outlineLevel="0" max="1" min="1" style="0" width="5.67"/>
    <col collapsed="false" customWidth="true" hidden="false" outlineLevel="0" max="7" min="7" style="0" width="34.83"/>
  </cols>
  <sheetData>
    <row r="2" customFormat="false" ht="18.75" hidden="false" customHeight="true" outlineLevel="0" collapsed="false">
      <c r="B2" s="29" t="s">
        <v>156</v>
      </c>
      <c r="C2" s="175"/>
      <c r="D2" s="176"/>
      <c r="E2" s="176"/>
      <c r="F2" s="177"/>
    </row>
    <row r="3" customFormat="false" ht="15.75" hidden="false" customHeight="true" outlineLevel="0" collapsed="false">
      <c r="B3" s="32" t="s">
        <v>32</v>
      </c>
      <c r="C3" s="32"/>
      <c r="D3" s="32"/>
      <c r="E3" s="32"/>
      <c r="F3" s="32"/>
      <c r="G3" s="32"/>
      <c r="H3" s="32"/>
      <c r="I3" s="34"/>
      <c r="J3" s="34"/>
      <c r="K3" s="34"/>
      <c r="L3" s="34"/>
      <c r="M3" s="34"/>
      <c r="N3" s="34"/>
    </row>
    <row r="4" customFormat="false" ht="15.75" hidden="false" customHeight="true" outlineLevel="0" collapsed="false">
      <c r="B4" s="35" t="s">
        <v>33</v>
      </c>
      <c r="C4" s="178"/>
      <c r="D4" s="178"/>
      <c r="E4" s="176"/>
      <c r="F4" s="177"/>
    </row>
    <row r="5" customFormat="false" ht="15" hidden="false" customHeight="false" outlineLevel="0" collapsed="false">
      <c r="F5" s="143"/>
    </row>
    <row r="6" customFormat="false" ht="15" hidden="false" customHeight="false" outlineLevel="0" collapsed="false">
      <c r="B6" s="74" t="s">
        <v>156</v>
      </c>
      <c r="C6" s="74"/>
      <c r="D6" s="74"/>
      <c r="F6" s="74" t="s">
        <v>157</v>
      </c>
      <c r="G6" s="74"/>
      <c r="H6" s="74"/>
      <c r="I6" s="74"/>
      <c r="J6" s="74"/>
      <c r="K6" s="74"/>
      <c r="L6" s="74"/>
      <c r="M6" s="74"/>
      <c r="N6" s="74"/>
    </row>
    <row r="7" customFormat="false" ht="15" hidden="false" customHeight="false" outlineLevel="0" collapsed="false">
      <c r="B7" s="41"/>
      <c r="D7" s="42"/>
      <c r="F7" s="179" t="s">
        <v>158</v>
      </c>
      <c r="G7" s="180"/>
      <c r="H7" s="180" t="s">
        <v>159</v>
      </c>
      <c r="I7" s="180" t="s">
        <v>160</v>
      </c>
      <c r="J7" s="180" t="s">
        <v>161</v>
      </c>
      <c r="K7" s="180" t="s">
        <v>162</v>
      </c>
      <c r="L7" s="180" t="s">
        <v>93</v>
      </c>
      <c r="M7" s="180" t="s">
        <v>163</v>
      </c>
      <c r="N7" s="181" t="s">
        <v>164</v>
      </c>
    </row>
    <row r="8" customFormat="false" ht="15" hidden="false" customHeight="false" outlineLevel="0" collapsed="false">
      <c r="B8" s="182" t="s">
        <v>165</v>
      </c>
      <c r="D8" s="42"/>
      <c r="F8" s="183" t="n">
        <v>1</v>
      </c>
      <c r="G8" s="0" t="str">
        <f aca="false">IF(Comps!B8="","",Comps!B8)</f>
        <v>Sony Group Corporation (SONY)</v>
      </c>
      <c r="H8" s="184" t="n">
        <f aca="false">IF(G8="","",Comps!E8)</f>
        <v>0.763</v>
      </c>
      <c r="I8" s="185" t="n">
        <v>417.3</v>
      </c>
      <c r="J8" s="186" t="n">
        <f aca="false">IF(G8="","",Comps!F8)</f>
        <v>139235.835904</v>
      </c>
      <c r="K8" s="184" t="n">
        <f aca="false">IFERROR(IF(J8&gt;0,(I8*1000)/J8,""),"")</f>
        <v>2.99707325553544</v>
      </c>
      <c r="L8" s="187" t="n">
        <v>0.265</v>
      </c>
      <c r="M8" s="184" t="n">
        <f aca="false">IF(G8="","",IFERROR(H8/(1+(1-L8)*K8),""))</f>
        <v>0.238225416635195</v>
      </c>
      <c r="N8" s="188" t="n">
        <v>0.114</v>
      </c>
    </row>
    <row r="9" customFormat="false" ht="15" hidden="false" customHeight="false" outlineLevel="0" collapsed="false">
      <c r="B9" s="189" t="s">
        <v>166</v>
      </c>
      <c r="D9" s="190" t="n">
        <v>0.0527699995040894</v>
      </c>
      <c r="F9" s="183" t="n">
        <v>2</v>
      </c>
      <c r="G9" s="0" t="str">
        <f aca="false">IF(Comps!B9="","",Comps!B9)</f>
        <v>Dell Technologies Inc. (DELL)</v>
      </c>
      <c r="H9" s="184" t="n">
        <f aca="false">IF(G9="","",Comps!E9)</f>
        <v>1.409</v>
      </c>
      <c r="I9" s="185" t="n">
        <v>23</v>
      </c>
      <c r="J9" s="186" t="n">
        <f aca="false">IF(G9="","",Comps!F9)</f>
        <v>357657.378816</v>
      </c>
      <c r="K9" s="184" t="n">
        <f aca="false">IFERROR(IF(J9&gt;0,(I9*1000)/J9,""),"")</f>
        <v>0.0643073549220204</v>
      </c>
      <c r="L9" s="187" t="n">
        <v>0.265</v>
      </c>
      <c r="M9" s="184" t="n">
        <f aca="false">IF(G9="","",IFERROR(H9/(1+(1-L9)*K9),""))</f>
        <v>1.34540806886348</v>
      </c>
      <c r="N9" s="188" t="n">
        <v>0.469</v>
      </c>
    </row>
    <row r="10" customFormat="false" ht="15" hidden="false" customHeight="false" outlineLevel="0" collapsed="false">
      <c r="B10" s="189" t="s">
        <v>167</v>
      </c>
      <c r="D10" s="190" t="n">
        <v>0.0838371068129586</v>
      </c>
      <c r="E10" s="191"/>
      <c r="F10" s="183" t="n">
        <v>3</v>
      </c>
      <c r="G10" s="0" t="str">
        <f aca="false">IF(Comps!B10="","",Comps!B10)</f>
        <v>HP Inc. (HPQ)</v>
      </c>
      <c r="H10" s="184" t="n">
        <f aca="false">IF(G10="","",Comps!E10)</f>
        <v>1.205</v>
      </c>
      <c r="I10" s="185" t="n">
        <v>2400.6</v>
      </c>
      <c r="J10" s="186" t="n">
        <f aca="false">IF(G10="","",Comps!F10)</f>
        <v>28965.525504</v>
      </c>
      <c r="K10" s="184" t="n">
        <f aca="false">IFERROR(IF(J10&gt;0,(I10*1000)/J10,""),"")</f>
        <v>82.8778335013631</v>
      </c>
      <c r="L10" s="187" t="n">
        <v>0.265</v>
      </c>
      <c r="M10" s="184" t="n">
        <f aca="false">IF(G10="","",IFERROR(H10/(1+(1-L10)*K10),""))</f>
        <v>0.0194621006090692</v>
      </c>
      <c r="N10" s="188" t="n">
        <v>0.277</v>
      </c>
    </row>
    <row r="11" customFormat="false" ht="15" hidden="false" customHeight="false" outlineLevel="0" collapsed="false">
      <c r="B11" s="189" t="s">
        <v>159</v>
      </c>
      <c r="D11" s="192" t="n">
        <v>1.085</v>
      </c>
      <c r="F11" s="183" t="n">
        <v>4</v>
      </c>
      <c r="G11" s="0" t="str">
        <f aca="false">IF(Comps!B11="","",Comps!B11)</f>
        <v>Logitech International S.A. - R (LOGI)</v>
      </c>
      <c r="H11" s="184" t="n">
        <f aca="false">IF(G11="","",Comps!E11)</f>
        <v>0.649</v>
      </c>
      <c r="I11" s="185" t="n">
        <v>14.6</v>
      </c>
      <c r="J11" s="186" t="n">
        <f aca="false">IF(G11="","",Comps!F11)</f>
        <v>14937.407488</v>
      </c>
      <c r="K11" s="184" t="n">
        <f aca="false">IFERROR(IF(J11&gt;0,(I11*1000)/J11,""),"")</f>
        <v>0.977411911118374</v>
      </c>
      <c r="L11" s="187" t="n">
        <v>0.265</v>
      </c>
      <c r="M11" s="184" t="n">
        <f aca="false">IF(G11="","",IFERROR(H11/(1+(1-L11)*K11),""))</f>
        <v>0.377677402240249</v>
      </c>
      <c r="N11" s="188" t="n">
        <v>0.258</v>
      </c>
    </row>
    <row r="12" customFormat="false" ht="15" hidden="false" customHeight="false" outlineLevel="0" collapsed="false">
      <c r="B12" s="189" t="s">
        <v>168</v>
      </c>
      <c r="D12" s="193" t="n">
        <f aca="false">N23</f>
        <v>0.2795</v>
      </c>
      <c r="F12" s="183" t="n">
        <v>5</v>
      </c>
      <c r="G12" s="0" t="str">
        <f aca="false">IF(Comps!B12="","",Comps!B12)</f>
        <v/>
      </c>
      <c r="H12" s="184" t="str">
        <f aca="false">IF(G12="","",Comps!E12)</f>
        <v/>
      </c>
      <c r="I12" s="185"/>
      <c r="J12" s="186" t="str">
        <f aca="false">IF(G12="","",Comps!F12)</f>
        <v/>
      </c>
      <c r="K12" s="184" t="str">
        <f aca="false">IFERROR(IF(J12&gt;0,(I12*1000)/J12,""),"")</f>
        <v/>
      </c>
      <c r="L12" s="187"/>
      <c r="M12" s="184" t="str">
        <f aca="false">IF(G12="","",IFERROR(H12/(1+(1-L12)*K12),""))</f>
        <v/>
      </c>
      <c r="N12" s="188"/>
    </row>
    <row r="13" customFormat="false" ht="15" hidden="false" customHeight="false" outlineLevel="0" collapsed="false">
      <c r="B13" s="189" t="s">
        <v>169</v>
      </c>
      <c r="D13" s="194" t="n">
        <f aca="false">D11/D12</f>
        <v>3.8819320214669</v>
      </c>
      <c r="F13" s="183" t="n">
        <v>6</v>
      </c>
      <c r="G13" s="0" t="str">
        <f aca="false">IF(Comps!B13="","",Comps!B13)</f>
        <v/>
      </c>
      <c r="H13" s="184" t="str">
        <f aca="false">IF(G13="","",Comps!E13)</f>
        <v/>
      </c>
      <c r="I13" s="185"/>
      <c r="J13" s="186" t="str">
        <f aca="false">IF(G13="","",Comps!F13)</f>
        <v/>
      </c>
      <c r="K13" s="184" t="str">
        <f aca="false">IFERROR(IF(J13&gt;0,(I13*1000)/J13,""),"")</f>
        <v/>
      </c>
      <c r="L13" s="187"/>
      <c r="M13" s="184" t="str">
        <f aca="false">IF(G13="","",IFERROR(H13/(1+(1-L13)*K13),""))</f>
        <v/>
      </c>
      <c r="N13" s="195"/>
    </row>
    <row r="14" customFormat="false" ht="15" hidden="false" customHeight="false" outlineLevel="0" collapsed="false">
      <c r="B14" s="189" t="s">
        <v>170</v>
      </c>
      <c r="D14" s="196" t="n">
        <v>0</v>
      </c>
      <c r="F14" s="197" t="s">
        <v>150</v>
      </c>
      <c r="G14" s="53"/>
      <c r="H14" s="198" t="n">
        <f aca="false">IFERROR(IF(COUNT(H8:H11)&gt;0,MIN(H8:H11),""),"")</f>
        <v>0.649</v>
      </c>
      <c r="I14" s="198" t="n">
        <f aca="false">IFERROR(IF(COUNT(I8:I11)&gt;0,MIN(I8:I11),""),"")</f>
        <v>14.6</v>
      </c>
      <c r="J14" s="198" t="n">
        <f aca="false">IFERROR(IF(COUNT(J8:J11)&gt;0,MIN(J8:J11),""),"")</f>
        <v>14937.407488</v>
      </c>
      <c r="K14" s="198" t="n">
        <f aca="false">IFERROR(IF(COUNT(K8:K11)&gt;0,MIN(K8:K11),""),"")</f>
        <v>0.0643073549220204</v>
      </c>
      <c r="L14" s="199" t="n">
        <f aca="false">IFERROR(IF(COUNT(L8:L11)&gt;0,MIN(L8:L11),""),"")</f>
        <v>0.265</v>
      </c>
      <c r="M14" s="198" t="n">
        <f aca="false">IFERROR(IF(COUNT(M8:M11)&gt;0,MIN(M8:M11),""),"")</f>
        <v>0.0194621006090692</v>
      </c>
      <c r="N14" s="200" t="n">
        <f aca="false">IFERROR(IF(COUNT(N8:N11)&gt;0,MIN(N8:N11),""),"")</f>
        <v>0.114</v>
      </c>
    </row>
    <row r="15" customFormat="false" ht="15" hidden="false" customHeight="false" outlineLevel="0" collapsed="false">
      <c r="B15" s="189" t="s">
        <v>171</v>
      </c>
      <c r="D15" s="201" t="n">
        <v>0</v>
      </c>
      <c r="F15" s="202" t="n">
        <v>0.25</v>
      </c>
      <c r="H15" s="184" t="n">
        <f aca="false">IFERROR(IF(COUNT(H8:H11)&gt;0,SMALL(H8:H11,INT((COUNT(H8:H11)-1)*0.25+1))+((COUNT(H8:H11)-1)*0.25+1-INT((COUNT(H8:H11)-1)*0.25+1))*(SMALL(H8:H11,MIN(COUNT(H8:H11),INT((COUNT(H8:H11)-1)*0.25+1)+1))-SMALL(H8:H11,INT((COUNT(H8:H11)-1)*0.25+1))),""),"")</f>
        <v>0.7345</v>
      </c>
      <c r="I15" s="184" t="n">
        <f aca="false">IFERROR(IF(COUNT(I8:I11)&gt;0,SMALL(I8:I11,INT((COUNT(I8:I11)-1)*0.25+1))+((COUNT(I8:I11)-1)*0.25+1-INT((COUNT(I8:I11)-1)*0.25+1))*(SMALL(I8:I11,MIN(COUNT(I8:I11),INT((COUNT(I8:I11)-1)*0.25+1)+1))-SMALL(I8:I11,INT((COUNT(I8:I11)-1)*0.25+1))),""),"")</f>
        <v>20.9</v>
      </c>
      <c r="J15" s="184" t="n">
        <f aca="false">IFERROR(IF(COUNT(J8:J11)&gt;0,SMALL(J8:J11,INT((COUNT(J8:J11)-1)*0.25+1))+((COUNT(J8:J11)-1)*0.25+1-INT((COUNT(J8:J11)-1)*0.25+1))*(SMALL(J8:J11,MIN(COUNT(J8:J11),INT((COUNT(J8:J11)-1)*0.25+1)+1))-SMALL(J8:J11,INT((COUNT(J8:J11)-1)*0.25+1))),""),"")</f>
        <v>25458.496</v>
      </c>
      <c r="K15" s="184" t="n">
        <f aca="false">IFERROR(IF(COUNT(K8:K11)&gt;0,SMALL(K8:K11,INT((COUNT(K8:K11)-1)*0.25+1))+((COUNT(K8:K11)-1)*0.25+1-INT((COUNT(K8:K11)-1)*0.25+1))*(SMALL(K8:K11,MIN(COUNT(K8:K11),INT((COUNT(K8:K11)-1)*0.25+1)+1))-SMALL(K8:K11,INT((COUNT(K8:K11)-1)*0.25+1))),""),"")</f>
        <v>0.749135772069286</v>
      </c>
      <c r="L15" s="203" t="n">
        <f aca="false">IFERROR(IF(COUNT(L8:L11)&gt;0,SMALL(L8:L11,INT((COUNT(L8:L11)-1)*0.25+1))+((COUNT(L8:L11)-1)*0.25+1-INT((COUNT(L8:L11)-1)*0.25+1))*(SMALL(L8:L11,MIN(COUNT(L8:L11),INT((COUNT(L8:L11)-1)*0.25+1)+1))-SMALL(L8:L11,INT((COUNT(L8:L11)-1)*0.25+1))),""),"")</f>
        <v>0.265</v>
      </c>
      <c r="M15" s="184" t="n">
        <f aca="false">IFERROR(IF(COUNT(M8:M11)&gt;0,SMALL(M8:M11,INT((COUNT(M8:M11)-1)*0.25+1))+((COUNT(M8:M11)-1)*0.25+1-INT((COUNT(M8:M11)-1)*0.25+1))*(SMALL(M8:M11,MIN(COUNT(M8:M11),INT((COUNT(M8:M11)-1)*0.25+1)+1))-SMALL(M8:M11,INT((COUNT(M8:M11)-1)*0.25+1))),""),"")</f>
        <v>0.183534587628663</v>
      </c>
      <c r="N15" s="194" t="n">
        <f aca="false">IFERROR(IF(COUNT(N8:N11)&gt;0,SMALL(N8:N11,INT((COUNT(N8:N11)-1)*0.25+1))+((COUNT(N8:N11)-1)*0.25+1-INT((COUNT(N8:N11)-1)*0.25+1))*(SMALL(N8:N11,MIN(COUNT(N8:N11),INT((COUNT(N8:N11)-1)*0.25+1)+1))-SMALL(N8:N11,INT((COUNT(N8:N11)-1)*0.25+1))),""),"")</f>
        <v>0.222</v>
      </c>
    </row>
    <row r="16" customFormat="false" ht="15" hidden="false" customHeight="false" outlineLevel="0" collapsed="false">
      <c r="B16" s="204" t="s">
        <v>172</v>
      </c>
      <c r="C16" s="53"/>
      <c r="D16" s="193" t="n">
        <f aca="false">D9+D11*(D10)+D14+D15</f>
        <v>0.143733260396149</v>
      </c>
      <c r="F16" s="205" t="s">
        <v>173</v>
      </c>
      <c r="G16" s="133"/>
      <c r="H16" s="206" t="n">
        <f aca="false">IFERROR(IF(COUNT(H8:H11)&gt;0,AVERAGE(H8:H11),1),1)</f>
        <v>1.0065</v>
      </c>
      <c r="I16" s="206" t="n">
        <f aca="false">IFERROR(IF(COUNT(I8:I11)&gt;0,AVERAGE(I8:I11),0),0)</f>
        <v>713.875</v>
      </c>
      <c r="J16" s="206" t="n">
        <f aca="false">IFERROR(IF(COUNT(J8:J11)&gt;0,AVERAGE(J8:J11),0),0)</f>
        <v>135199.036928</v>
      </c>
      <c r="K16" s="206" t="n">
        <f aca="false">IFERROR(IF(COUNT(K8:K11)&gt;0,AVERAGE(K8:K11),0),0)</f>
        <v>21.7291565057347</v>
      </c>
      <c r="L16" s="207" t="n">
        <f aca="false">IFERROR(IF(COUNT(L8:L11)&gt;0,AVERAGE(L8:L11),0.25),0.25)</f>
        <v>0.265</v>
      </c>
      <c r="M16" s="206" t="n">
        <f aca="false">IFERROR(IF(COUNT(M8:M11)&gt;0,AVERAGE(M8:M11),1),1)</f>
        <v>0.495193247086997</v>
      </c>
      <c r="N16" s="208" t="n">
        <f aca="false">IFERROR(IF(COUNT(N8:N11)&gt;0,AVERAGE(N8:N11),1),1)</f>
        <v>0.2795</v>
      </c>
    </row>
    <row r="17" customFormat="false" ht="15" hidden="false" customHeight="false" outlineLevel="0" collapsed="false">
      <c r="B17" s="209"/>
      <c r="D17" s="210"/>
      <c r="F17" s="211" t="s">
        <v>152</v>
      </c>
      <c r="G17" s="212"/>
      <c r="H17" s="213" t="n">
        <f aca="false">IFERROR(IF(COUNT(H8:H11)&gt;0,MEDIAN(H8:H11),1),1)</f>
        <v>0.984</v>
      </c>
      <c r="I17" s="213" t="n">
        <f aca="false">IFERROR(IF(COUNT(I8:I11)&gt;0,MEDIAN(I8:I11),0),0)</f>
        <v>220.15</v>
      </c>
      <c r="J17" s="213" t="n">
        <f aca="false">IFERROR(IF(COUNT(J8:J11)&gt;0,MEDIAN(J8:J11),0),0)</f>
        <v>84100.680704</v>
      </c>
      <c r="K17" s="213" t="n">
        <f aca="false">IFERROR(IF(COUNT(K8:K11)&gt;0,MEDIAN(K8:K11),0),0)</f>
        <v>1.98724258332691</v>
      </c>
      <c r="L17" s="214" t="n">
        <f aca="false">IFERROR(IF(COUNT(L8:L11)&gt;0,MEDIAN(L8:L11),0.25),0.25)</f>
        <v>0.265</v>
      </c>
      <c r="M17" s="213" t="n">
        <f aca="false">IFERROR(IF(COUNT(M8:M11)&gt;0,MEDIAN(M8:M11),1),1)</f>
        <v>0.307951409437722</v>
      </c>
      <c r="N17" s="215" t="n">
        <f aca="false">IFERROR(IF(COUNT(N8:N11)&gt;0,MEDIAN(N8:N11),1),1)</f>
        <v>0.2675</v>
      </c>
    </row>
    <row r="18" customFormat="false" ht="15" hidden="false" customHeight="false" outlineLevel="0" collapsed="false">
      <c r="B18" s="182" t="s">
        <v>174</v>
      </c>
      <c r="D18" s="216"/>
      <c r="F18" s="217" t="n">
        <v>0.75</v>
      </c>
      <c r="H18" s="184" t="n">
        <f aca="false">IFERROR(IF(COUNT(H8:H11)&gt;0,SMALL(H8:H11,INT((COUNT(H8:H11)-1)*0.75+1))+((COUNT(H8:H11)-1)*0.75+1-INT((COUNT(H8:H11)-1)*0.75+1))*(SMALL(H8:H11,MIN(COUNT(H8:H11),INT((COUNT(H8:H11)-1)*0.75+1)+1))-SMALL(H8:H11,INT((COUNT(H8:H11)-1)*0.75+1))),""),"")</f>
        <v>1.256</v>
      </c>
      <c r="I18" s="184" t="n">
        <f aca="false">IFERROR(IF(COUNT(I8:I11)&gt;0,SMALL(I8:I11,INT((COUNT(I8:I11)-1)*0.75+1))+((COUNT(I8:I11)-1)*0.75+1-INT((COUNT(I8:I11)-1)*0.75+1))*(SMALL(I8:I11,MIN(COUNT(I8:I11),INT((COUNT(I8:I11)-1)*0.75+1)+1))-SMALL(I8:I11,INT((COUNT(I8:I11)-1)*0.75+1))),""),"")</f>
        <v>913.125</v>
      </c>
      <c r="J18" s="184" t="n">
        <f aca="false">IFERROR(IF(COUNT(J8:J11)&gt;0,SMALL(J8:J11,INT((COUNT(J8:J11)-1)*0.75+1))+((COUNT(J8:J11)-1)*0.75+1-INT((COUNT(J8:J11)-1)*0.75+1))*(SMALL(J8:J11,MIN(COUNT(J8:J11),INT((COUNT(J8:J11)-1)*0.75+1)+1))-SMALL(J8:J11,INT((COUNT(J8:J11)-1)*0.75+1))),""),"")</f>
        <v>193841.221632</v>
      </c>
      <c r="K18" s="184" t="n">
        <f aca="false">IFERROR(IF(COUNT(K8:K11)&gt;0,SMALL(K8:K11,INT((COUNT(K8:K11)-1)*0.75+1))+((COUNT(K8:K11)-1)*0.75+1-INT((COUNT(K8:K11)-1)*0.75+1))*(SMALL(K8:K11,MIN(COUNT(K8:K11),INT((COUNT(K8:K11)-1)*0.75+1)+1))-SMALL(K8:K11,INT((COUNT(K8:K11)-1)*0.75+1))),""),"")</f>
        <v>22.9672633169924</v>
      </c>
      <c r="L18" s="203" t="n">
        <f aca="false">IFERROR(IF(COUNT(L8:L11)&gt;0,SMALL(L8:L11,INT((COUNT(L8:L11)-1)*0.75+1))+((COUNT(L8:L11)-1)*0.75+1-INT((COUNT(L8:L11)-1)*0.75+1))*(SMALL(L8:L11,MIN(COUNT(L8:L11),INT((COUNT(L8:L11)-1)*0.75+1)+1))-SMALL(L8:L11,INT((COUNT(L8:L11)-1)*0.75+1))),""),"")</f>
        <v>0.265</v>
      </c>
      <c r="M18" s="184" t="n">
        <f aca="false">IFERROR(IF(COUNT(M8:M11)&gt;0,SMALL(M8:M11,INT((COUNT(M8:M11)-1)*0.75+1))+((COUNT(M8:M11)-1)*0.75+1-INT((COUNT(M8:M11)-1)*0.75+1))*(SMALL(M8:M11,MIN(COUNT(M8:M11),INT((COUNT(M8:M11)-1)*0.75+1)+1))-SMALL(M8:M11,INT((COUNT(M8:M11)-1)*0.75+1))),""),"")</f>
        <v>0.619610068896056</v>
      </c>
      <c r="N18" s="194" t="n">
        <f aca="false">IFERROR(IF(COUNT(N8:N11)&gt;0,SMALL(N8:N11,INT((COUNT(N8:N11)-1)*0.75+1))+((COUNT(N8:N11)-1)*0.75+1-INT((COUNT(N8:N11)-1)*0.75+1))*(SMALL(N8:N11,MIN(COUNT(N8:N11),INT((COUNT(N8:N11)-1)*0.75+1)+1))-SMALL(N8:N11,INT((COUNT(N8:N11)-1)*0.75+1))),""),"")</f>
        <v>0.325</v>
      </c>
    </row>
    <row r="19" customFormat="false" ht="15" hidden="false" customHeight="false" outlineLevel="0" collapsed="false">
      <c r="B19" s="189" t="s">
        <v>175</v>
      </c>
      <c r="D19" s="210" t="n">
        <v>0.0445</v>
      </c>
      <c r="F19" s="218" t="s">
        <v>154</v>
      </c>
      <c r="G19" s="49"/>
      <c r="H19" s="219" t="n">
        <f aca="false">IFERROR(IF(COUNT(H8:H11)&gt;0,MAX(H8:H11),""),"")</f>
        <v>1.409</v>
      </c>
      <c r="I19" s="219" t="n">
        <f aca="false">IFERROR(IF(COUNT(I8:I11)&gt;0,MAX(I8:I11),""),"")</f>
        <v>2400.6</v>
      </c>
      <c r="J19" s="219" t="n">
        <f aca="false">IFERROR(IF(COUNT(J8:J11)&gt;0,MAX(J8:J11),""),"")</f>
        <v>357657.378816</v>
      </c>
      <c r="K19" s="219" t="n">
        <f aca="false">IFERROR(IF(COUNT(K8:K11)&gt;0,MAX(K8:K11),""),"")</f>
        <v>82.8778335013631</v>
      </c>
      <c r="L19" s="220" t="n">
        <f aca="false">IFERROR(IF(COUNT(L8:L11)&gt;0,MAX(L8:L11),""),"")</f>
        <v>0.265</v>
      </c>
      <c r="M19" s="219" t="n">
        <f aca="false">IFERROR(IF(COUNT(M8:M11)&gt;0,MAX(M8:M11),""),"")</f>
        <v>1.34540806886348</v>
      </c>
      <c r="N19" s="221" t="n">
        <f aca="false">IFERROR(IF(COUNT(N8:N11)&gt;0,MAX(N8:N11),""),"")</f>
        <v>0.469</v>
      </c>
    </row>
    <row r="20" customFormat="false" ht="15" hidden="false" customHeight="false" outlineLevel="0" collapsed="false">
      <c r="B20" s="189" t="s">
        <v>93</v>
      </c>
      <c r="D20" s="222" t="n">
        <f aca="false">IFERROR('DCF Model - Base (1)'!$F$11,0.21)</f>
        <v>0.15610002335586</v>
      </c>
      <c r="F20" s="143"/>
    </row>
    <row r="21" customFormat="false" ht="15" hidden="false" customHeight="false" outlineLevel="0" collapsed="false">
      <c r="B21" s="204" t="s">
        <v>176</v>
      </c>
      <c r="C21" s="53"/>
      <c r="D21" s="223" t="n">
        <f aca="false">IFERROR(D19*(1-D20),D19*0.79)</f>
        <v>0.0375535489606642</v>
      </c>
      <c r="F21" s="74" t="s">
        <v>177</v>
      </c>
      <c r="G21" s="74"/>
      <c r="H21" s="74"/>
      <c r="I21" s="74"/>
      <c r="J21" s="74"/>
      <c r="K21" s="74"/>
      <c r="L21" s="74"/>
      <c r="M21" s="74"/>
      <c r="N21" s="74"/>
    </row>
    <row r="22" customFormat="false" ht="15" hidden="false" customHeight="false" outlineLevel="0" collapsed="false">
      <c r="B22" s="41"/>
      <c r="D22" s="224"/>
      <c r="F22" s="179" t="s">
        <v>158</v>
      </c>
      <c r="G22" s="180"/>
      <c r="H22" s="180" t="s">
        <v>159</v>
      </c>
      <c r="I22" s="180" t="s">
        <v>178</v>
      </c>
      <c r="J22" s="180" t="s">
        <v>179</v>
      </c>
      <c r="K22" s="180" t="s">
        <v>180</v>
      </c>
      <c r="L22" s="180" t="s">
        <v>93</v>
      </c>
      <c r="M22" s="180" t="s">
        <v>163</v>
      </c>
      <c r="N22" s="181" t="s">
        <v>164</v>
      </c>
    </row>
    <row r="23" customFormat="false" ht="15" hidden="false" customHeight="false" outlineLevel="0" collapsed="false">
      <c r="B23" s="189" t="s">
        <v>181</v>
      </c>
      <c r="D23" s="46" t="n">
        <f aca="false">'DCF Model - Base (1)'!C11</f>
        <v>4869931.925504</v>
      </c>
      <c r="F23" s="225" t="s">
        <v>182</v>
      </c>
      <c r="G23" s="49"/>
      <c r="H23" s="226" t="n">
        <f aca="false">M23*(1+(1-L23)*K23)</f>
        <v>0.757752412943905</v>
      </c>
      <c r="I23" s="227" t="n">
        <f aca="false">IFERROR(D23+D24-J23,D24)</f>
        <v>3305319.61043871</v>
      </c>
      <c r="J23" s="227" t="n">
        <f aca="false">IFERROR((D23+D24)/(1+K23),D23)</f>
        <v>1663269.31506529</v>
      </c>
      <c r="K23" s="226" t="n">
        <f aca="false">IFERROR(IF(K17&gt;0,K17,IF(D23&gt;0,D24/D23,0.15)),0.15)</f>
        <v>1.98724258332691</v>
      </c>
      <c r="L23" s="228" t="n">
        <f aca="false">L16</f>
        <v>0.265</v>
      </c>
      <c r="M23" s="229" t="n">
        <f aca="false">M17</f>
        <v>0.307951409437722</v>
      </c>
      <c r="N23" s="230" t="n">
        <f aca="false">N16</f>
        <v>0.2795</v>
      </c>
    </row>
    <row r="24" customFormat="false" ht="15" hidden="false" customHeight="false" outlineLevel="0" collapsed="false">
      <c r="B24" s="189" t="s">
        <v>183</v>
      </c>
      <c r="D24" s="46" t="n">
        <f aca="false">'DCF Model - Base (1)'!AA18</f>
        <v>98657</v>
      </c>
      <c r="F24" s="143"/>
      <c r="M24" s="53"/>
      <c r="N24" s="53"/>
    </row>
    <row r="25" customFormat="false" ht="15" hidden="false" customHeight="false" outlineLevel="0" collapsed="false">
      <c r="B25" s="189"/>
      <c r="D25" s="46"/>
      <c r="F25" s="143"/>
      <c r="K25" s="231"/>
    </row>
    <row r="26" customFormat="false" ht="15" hidden="false" customHeight="false" outlineLevel="0" collapsed="false">
      <c r="B26" s="189" t="s">
        <v>184</v>
      </c>
      <c r="D26" s="193" t="n">
        <f aca="false">D28/D27</f>
        <v>0.0202583940615946</v>
      </c>
      <c r="F26" s="143"/>
    </row>
    <row r="27" customFormat="false" ht="15" hidden="false" customHeight="false" outlineLevel="0" collapsed="false">
      <c r="B27" s="189" t="s">
        <v>185</v>
      </c>
      <c r="C27" s="28"/>
      <c r="D27" s="193" t="n">
        <f aca="false">IFERROR(D23/(D23+D24),0.85)</f>
        <v>0.980143859458047</v>
      </c>
    </row>
    <row r="28" customFormat="false" ht="15" hidden="false" customHeight="false" outlineLevel="0" collapsed="false">
      <c r="B28" s="189" t="s">
        <v>186</v>
      </c>
      <c r="D28" s="193" t="n">
        <f aca="false">IFERROR(D24/(D23+D24),0.15)</f>
        <v>0.0198561405419533</v>
      </c>
    </row>
    <row r="29" customFormat="false" ht="15" hidden="false" customHeight="false" outlineLevel="0" collapsed="false">
      <c r="B29" s="41"/>
      <c r="D29" s="42"/>
      <c r="E29" s="139"/>
    </row>
    <row r="30" customFormat="false" ht="15" hidden="false" customHeight="false" outlineLevel="0" collapsed="false">
      <c r="B30" s="189" t="s">
        <v>187</v>
      </c>
      <c r="D30" s="193" t="n">
        <f aca="false">D32/D31</f>
        <v>1.98724258332691</v>
      </c>
    </row>
    <row r="31" customFormat="false" ht="15" hidden="false" customHeight="false" outlineLevel="0" collapsed="false">
      <c r="B31" s="189" t="s">
        <v>188</v>
      </c>
      <c r="D31" s="193" t="n">
        <f aca="false">IFERROR(J23/(I23+J23),0.85)</f>
        <v>0.334756877657487</v>
      </c>
    </row>
    <row r="32" customFormat="false" ht="15" hidden="false" customHeight="false" outlineLevel="0" collapsed="false">
      <c r="B32" s="189" t="s">
        <v>189</v>
      </c>
      <c r="D32" s="193" t="n">
        <f aca="false">IFERROR(I23/(I23+J23),0.15)</f>
        <v>0.665243122342513</v>
      </c>
    </row>
    <row r="33" customFormat="false" ht="15" hidden="false" customHeight="false" outlineLevel="0" collapsed="false">
      <c r="B33" s="189"/>
      <c r="D33" s="42"/>
    </row>
    <row r="34" customFormat="false" ht="15" hidden="false" customHeight="false" outlineLevel="0" collapsed="false">
      <c r="B34" s="232" t="s">
        <v>190</v>
      </c>
      <c r="C34" s="70"/>
      <c r="D34" s="233" t="n">
        <f aca="false">(D27*D16)+(D28*D21)</f>
        <v>0.141624941123182</v>
      </c>
    </row>
    <row r="35" customFormat="false" ht="15" hidden="false" customHeight="false" outlineLevel="0" collapsed="false">
      <c r="B35" s="232" t="s">
        <v>191</v>
      </c>
      <c r="C35" s="70"/>
      <c r="D35" s="233" t="n">
        <f aca="false">(D27*D39)+(D28*D21)</f>
        <v>0.133407698579437</v>
      </c>
    </row>
    <row r="36" customFormat="false" ht="15" hidden="false" customHeight="false" outlineLevel="0" collapsed="false">
      <c r="B36" s="232" t="s">
        <v>192</v>
      </c>
      <c r="C36" s="70"/>
      <c r="D36" s="233" t="n">
        <f aca="false">(D27*D40)+(D28*D21)</f>
        <v>0.149842183666927</v>
      </c>
    </row>
    <row r="37" customFormat="false" ht="15" hidden="false" customHeight="false" outlineLevel="0" collapsed="false">
      <c r="B37" s="0" t="s">
        <v>193</v>
      </c>
      <c r="D37" s="65" t="n">
        <v>0.985</v>
      </c>
    </row>
    <row r="38" customFormat="false" ht="15" hidden="false" customHeight="false" outlineLevel="0" collapsed="false">
      <c r="B38" s="0" t="s">
        <v>194</v>
      </c>
      <c r="D38" s="65" t="n">
        <v>1.185</v>
      </c>
    </row>
    <row r="39" customFormat="false" ht="15" hidden="false" customHeight="false" outlineLevel="0" collapsed="false">
      <c r="B39" s="0" t="s">
        <v>195</v>
      </c>
      <c r="D39" s="139" t="n">
        <f aca="false">D9+D37*(D10)+D14+D15</f>
        <v>0.135349549714854</v>
      </c>
    </row>
    <row r="40" customFormat="false" ht="15" hidden="false" customHeight="false" outlineLevel="0" collapsed="false">
      <c r="B40" s="0" t="s">
        <v>196</v>
      </c>
      <c r="D40" s="139" t="n">
        <f aca="false">D9+D38*(D10)+D14+D15</f>
        <v>0.152116971077445</v>
      </c>
    </row>
  </sheetData>
  <mergeCells count="3">
    <mergeCell ref="B6:D6"/>
    <mergeCell ref="F6:N6"/>
    <mergeCell ref="F21:N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0" activeCellId="0" sqref="P20"/>
    </sheetView>
  </sheetViews>
  <sheetFormatPr defaultColWidth="17.66796875" defaultRowHeight="15" customHeight="false" zeroHeight="false" outlineLevelRow="0" outlineLevelCol="0"/>
  <sheetData>
    <row r="2" customFormat="false" ht="18.75" hidden="false" customHeight="true" outlineLevel="0" collapsed="false">
      <c r="B2" s="234" t="s">
        <v>197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</row>
    <row r="3" customFormat="false" ht="15.75" hidden="false" customHeight="true" outlineLevel="0" collapsed="false">
      <c r="B3" s="32" t="s">
        <v>32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4" customFormat="false" ht="15.75" hidden="false" customHeight="true" outlineLevel="0" collapsed="false">
      <c r="B4" s="35" t="s">
        <v>33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</row>
    <row r="5" customFormat="false" ht="15" hidden="false" customHeight="false" outlineLevel="0" collapsed="false"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</row>
    <row r="6" customFormat="false" ht="18" hidden="false" customHeight="true" outlineLevel="0" collapsed="false">
      <c r="B6" s="235"/>
      <c r="C6" s="236" t="s">
        <v>198</v>
      </c>
      <c r="D6" s="236" t="s">
        <v>199</v>
      </c>
      <c r="E6" s="236" t="s">
        <v>200</v>
      </c>
      <c r="F6" s="236" t="s">
        <v>201</v>
      </c>
      <c r="G6" s="236" t="s">
        <v>202</v>
      </c>
      <c r="H6" s="237" t="s">
        <v>203</v>
      </c>
      <c r="I6" s="238" t="s">
        <v>204</v>
      </c>
      <c r="J6" s="238"/>
      <c r="K6" s="238" t="s">
        <v>205</v>
      </c>
      <c r="L6" s="238"/>
      <c r="M6" s="239" t="s">
        <v>206</v>
      </c>
      <c r="N6" s="240"/>
      <c r="O6" s="241"/>
      <c r="P6" s="238" t="s">
        <v>47</v>
      </c>
      <c r="Q6" s="238"/>
      <c r="R6" s="239" t="s">
        <v>207</v>
      </c>
      <c r="S6" s="239"/>
    </row>
    <row r="7" customFormat="false" ht="18" hidden="false" customHeight="true" outlineLevel="0" collapsed="false">
      <c r="B7" s="242" t="s">
        <v>158</v>
      </c>
      <c r="C7" s="237" t="s">
        <v>208</v>
      </c>
      <c r="D7" s="237" t="s">
        <v>209</v>
      </c>
      <c r="E7" s="237" t="s">
        <v>210</v>
      </c>
      <c r="F7" s="237" t="s">
        <v>211</v>
      </c>
      <c r="G7" s="237" t="s">
        <v>212</v>
      </c>
      <c r="H7" s="237" t="s">
        <v>213</v>
      </c>
      <c r="I7" s="237" t="s">
        <v>213</v>
      </c>
      <c r="J7" s="237" t="s">
        <v>214</v>
      </c>
      <c r="K7" s="238" t="s">
        <v>213</v>
      </c>
      <c r="L7" s="238"/>
      <c r="M7" s="239" t="s">
        <v>215</v>
      </c>
      <c r="N7" s="240"/>
      <c r="O7" s="242" t="s">
        <v>216</v>
      </c>
      <c r="P7" s="237" t="s">
        <v>213</v>
      </c>
      <c r="Q7" s="237" t="s">
        <v>214</v>
      </c>
      <c r="R7" s="237" t="s">
        <v>213</v>
      </c>
      <c r="S7" s="239" t="s">
        <v>214</v>
      </c>
    </row>
    <row r="8" customFormat="false" ht="15" hidden="false" customHeight="false" outlineLevel="0" collapsed="false">
      <c r="B8" s="243" t="s">
        <v>217</v>
      </c>
      <c r="C8" s="244" t="n">
        <v>23.82</v>
      </c>
      <c r="D8" s="245" t="n">
        <v>5845.33316137699</v>
      </c>
      <c r="E8" s="246" t="n">
        <v>0.763</v>
      </c>
      <c r="F8" s="247" t="n">
        <f aca="false">IFERROR(IF(AND(C8&gt;0,D8&gt;0),C8*D8,""),"")</f>
        <v>139235.835904</v>
      </c>
      <c r="G8" s="245" t="n">
        <v>246140.043264</v>
      </c>
      <c r="H8" s="248" t="n">
        <f aca="false">IFERROR(P8/R8,"")</f>
        <v>0.16377369527575</v>
      </c>
      <c r="I8" s="249" t="n">
        <f aca="false">IFERROR($G8/P8,"")</f>
        <v>0.118380151364499</v>
      </c>
      <c r="J8" s="249" t="n">
        <f aca="false">IFERROR($G8/Q8,"")</f>
        <v>0.114620595821552</v>
      </c>
      <c r="K8" s="250" t="n">
        <f aca="false">IFERROR($G8/R8,"")</f>
        <v>0.0193875548362665</v>
      </c>
      <c r="L8" s="250" t="n">
        <f aca="false">IFERROR($G8/S8,"")</f>
        <v>0.0187718385324037</v>
      </c>
      <c r="M8" s="251" t="n">
        <v>13.4347452149441</v>
      </c>
      <c r="N8" s="240"/>
      <c r="O8" s="252" t="s">
        <v>218</v>
      </c>
      <c r="P8" s="253" t="n">
        <v>2079234.064384</v>
      </c>
      <c r="Q8" s="245" t="n">
        <v>2147432.9416958</v>
      </c>
      <c r="R8" s="245" t="n">
        <v>12695775.47776</v>
      </c>
      <c r="S8" s="254" t="n">
        <v>13112196.9134305</v>
      </c>
    </row>
    <row r="9" customFormat="false" ht="15" hidden="false" customHeight="false" outlineLevel="0" collapsed="false">
      <c r="B9" s="243" t="s">
        <v>219</v>
      </c>
      <c r="C9" s="246" t="n">
        <v>562.52</v>
      </c>
      <c r="D9" s="245" t="n">
        <v>635.812733442367</v>
      </c>
      <c r="E9" s="246" t="n">
        <v>1.409</v>
      </c>
      <c r="F9" s="247" t="n">
        <f aca="false">IFERROR(IF(AND(C9&gt;0,D9&gt;0),C9*D9,""),"")</f>
        <v>357657.378816</v>
      </c>
      <c r="G9" s="245" t="n">
        <v>381371.383808</v>
      </c>
      <c r="H9" s="248" t="n">
        <f aca="false">IFERROR(P9/R9,"")</f>
        <v>0.117237763851825</v>
      </c>
      <c r="I9" s="249" t="n">
        <f aca="false">IFERROR($G9/P9,"")</f>
        <v>21.5148032881227</v>
      </c>
      <c r="J9" s="249" t="n">
        <f aca="false">IFERROR($G9/Q9,"")</f>
        <v>20.8315291325743</v>
      </c>
      <c r="K9" s="250" t="n">
        <f aca="false">IFERROR($G9/R9,"")</f>
        <v>2.52234742721139</v>
      </c>
      <c r="L9" s="250" t="n">
        <f aca="false">IFERROR($G9/S9,"")</f>
        <v>2.44224189311715</v>
      </c>
      <c r="M9" s="251" t="n">
        <v>0.098653076541592</v>
      </c>
      <c r="N9" s="240"/>
      <c r="O9" s="252" t="s">
        <v>220</v>
      </c>
      <c r="P9" s="245" t="n">
        <v>17725.999104</v>
      </c>
      <c r="Q9" s="245" t="n">
        <v>18307.4118746112</v>
      </c>
      <c r="R9" s="245" t="n">
        <v>151197.007872</v>
      </c>
      <c r="S9" s="254" t="n">
        <v>156156.269730202</v>
      </c>
    </row>
    <row r="10" customFormat="false" ht="15" hidden="false" customHeight="false" outlineLevel="0" collapsed="false">
      <c r="B10" s="243" t="s">
        <v>221</v>
      </c>
      <c r="C10" s="246" t="n">
        <v>32.12</v>
      </c>
      <c r="D10" s="245" t="n">
        <v>901.790955915318</v>
      </c>
      <c r="E10" s="246" t="n">
        <v>1.205</v>
      </c>
      <c r="F10" s="247" t="n">
        <f aca="false">IFERROR(IF(AND(C10&gt;0,D10&gt;0),C10*D10,""),"")</f>
        <v>28965.525504</v>
      </c>
      <c r="G10" s="245" t="n">
        <v>35135.524864</v>
      </c>
      <c r="H10" s="248" t="n">
        <f aca="false">IFERROR(P10/R10,"")</f>
        <v>0.0783611126342509</v>
      </c>
      <c r="I10" s="249" t="n">
        <f aca="false">IFERROR($G10/P10,"")</f>
        <v>7.5788444615651</v>
      </c>
      <c r="J10" s="249" t="n">
        <f aca="false">IFERROR($G10/Q10,"")</f>
        <v>7.33815304179425</v>
      </c>
      <c r="K10" s="250" t="n">
        <f aca="false">IFERROR($G10/R10,"")</f>
        <v>0.593886684490172</v>
      </c>
      <c r="L10" s="250" t="n">
        <f aca="false">IFERROR($G10/S10,"")</f>
        <v>0.57502583703541</v>
      </c>
      <c r="M10" s="251" t="n">
        <v>0.356941575894152</v>
      </c>
      <c r="N10" s="240"/>
      <c r="O10" s="252" t="s">
        <v>222</v>
      </c>
      <c r="P10" s="245" t="n">
        <v>4636.000256</v>
      </c>
      <c r="Q10" s="245" t="n">
        <v>4788.0610643968</v>
      </c>
      <c r="R10" s="245" t="n">
        <v>59162.001408</v>
      </c>
      <c r="S10" s="254" t="n">
        <v>61102.5150541824</v>
      </c>
    </row>
    <row r="11" customFormat="false" ht="15" hidden="false" customHeight="false" outlineLevel="0" collapsed="false">
      <c r="B11" s="243" t="s">
        <v>223</v>
      </c>
      <c r="C11" s="246" t="n">
        <v>104.32</v>
      </c>
      <c r="D11" s="245" t="n">
        <v>143.188338650307</v>
      </c>
      <c r="E11" s="246" t="n">
        <v>0.649</v>
      </c>
      <c r="F11" s="247" t="n">
        <f aca="false">IFERROR(IF(AND(C11&gt;0,D11&gt;0),C11*D11,""),"")</f>
        <v>14937.407488</v>
      </c>
      <c r="G11" s="245" t="n">
        <v>13272.116224</v>
      </c>
      <c r="H11" s="248" t="n">
        <f aca="false">IFERROR(P11/R11,"")</f>
        <v>0.19519045114202</v>
      </c>
      <c r="I11" s="249" t="n">
        <f aca="false">IFERROR($G11/P11,"")</f>
        <v>13.8194495645654</v>
      </c>
      <c r="J11" s="249" t="n">
        <f aca="false">IFERROR($G11/Q11,"")</f>
        <v>13.3805669680145</v>
      </c>
      <c r="K11" s="250" t="n">
        <f aca="false">IFERROR($G11/R11,"")</f>
        <v>2.69742459504191</v>
      </c>
      <c r="L11" s="250" t="n">
        <f aca="false">IFERROR($G11/S11,"")</f>
        <v>2.61175890302276</v>
      </c>
      <c r="M11" s="251" t="n">
        <v>0.00564944084626421</v>
      </c>
      <c r="N11" s="240"/>
      <c r="O11" s="252" t="s">
        <v>224</v>
      </c>
      <c r="P11" s="245" t="n">
        <v>960.393984</v>
      </c>
      <c r="Q11" s="245" t="n">
        <v>991.8949066752</v>
      </c>
      <c r="R11" s="245" t="n">
        <v>4920.29184</v>
      </c>
      <c r="S11" s="254" t="n">
        <v>5081.677412352</v>
      </c>
    </row>
    <row r="12" customFormat="false" ht="15" hidden="false" customHeight="false" outlineLevel="0" collapsed="false">
      <c r="B12" s="243"/>
      <c r="C12" s="246"/>
      <c r="D12" s="245"/>
      <c r="E12" s="246"/>
      <c r="F12" s="247" t="str">
        <f aca="false">IFERROR(IF(AND(C12&gt;0,D12&gt;0),C12*D12,""),"")</f>
        <v/>
      </c>
      <c r="G12" s="245"/>
      <c r="H12" s="248" t="str">
        <f aca="false">IFERROR(P12/R12,"")</f>
        <v/>
      </c>
      <c r="I12" s="249" t="str">
        <f aca="false">IFERROR($G12/P12,"")</f>
        <v/>
      </c>
      <c r="J12" s="249" t="str">
        <f aca="false">IFERROR($G12/Q12,"")</f>
        <v/>
      </c>
      <c r="K12" s="250" t="str">
        <f aca="false">IFERROR($G12/R12,"")</f>
        <v/>
      </c>
      <c r="L12" s="250" t="str">
        <f aca="false">IFERROR($G12/S12,"")</f>
        <v/>
      </c>
      <c r="M12" s="251"/>
      <c r="N12" s="240"/>
      <c r="O12" s="252"/>
      <c r="P12" s="245"/>
      <c r="Q12" s="245"/>
      <c r="R12" s="245"/>
      <c r="S12" s="254"/>
    </row>
    <row r="13" customFormat="false" ht="15" hidden="false" customHeight="false" outlineLevel="0" collapsed="false">
      <c r="B13" s="255"/>
      <c r="C13" s="256"/>
      <c r="D13" s="257"/>
      <c r="E13" s="256"/>
      <c r="F13" s="258" t="str">
        <f aca="false">IFERROR(IF(AND(C13&gt;0,D13&gt;0),C13*D13,""),"")</f>
        <v/>
      </c>
      <c r="G13" s="257"/>
      <c r="H13" s="259" t="str">
        <f aca="false">IFERROR(P13/R13,"")</f>
        <v/>
      </c>
      <c r="I13" s="260" t="str">
        <f aca="false">IFERROR($G13/P13,"")</f>
        <v/>
      </c>
      <c r="J13" s="260" t="str">
        <f aca="false">IFERROR($G13/Q13,"")</f>
        <v/>
      </c>
      <c r="K13" s="261" t="str">
        <f aca="false">IFERROR($G13/R13,"")</f>
        <v/>
      </c>
      <c r="L13" s="261" t="str">
        <f aca="false">IFERROR($G13/S13,"")</f>
        <v/>
      </c>
      <c r="M13" s="262"/>
      <c r="N13" s="240"/>
      <c r="O13" s="263"/>
      <c r="P13" s="257"/>
      <c r="Q13" s="257"/>
      <c r="R13" s="257"/>
      <c r="S13" s="264"/>
    </row>
    <row r="14" customFormat="false" ht="15" hidden="false" customHeight="false" outlineLevel="0" collapsed="false">
      <c r="B14" s="265"/>
      <c r="C14" s="246"/>
      <c r="D14" s="245"/>
      <c r="E14" s="245"/>
      <c r="F14" s="247"/>
      <c r="G14" s="247"/>
      <c r="H14" s="248"/>
      <c r="I14" s="249"/>
      <c r="J14" s="249"/>
      <c r="K14" s="250"/>
      <c r="L14" s="250"/>
      <c r="M14" s="250"/>
      <c r="N14" s="240"/>
      <c r="O14" s="266"/>
      <c r="P14" s="245"/>
      <c r="Q14" s="245"/>
      <c r="R14" s="245"/>
      <c r="S14" s="245"/>
    </row>
    <row r="15" customFormat="false" ht="15" hidden="false" customHeight="false" outlineLevel="0" collapsed="false">
      <c r="B15" s="267" t="s">
        <v>225</v>
      </c>
      <c r="C15" s="268"/>
      <c r="D15" s="269"/>
      <c r="E15" s="269"/>
      <c r="F15" s="270" t="n">
        <f aca="false">IFERROR(IF(COUNT(F8:F11)&gt;0,MIN(F8:F11),""),"")</f>
        <v>14937.407488</v>
      </c>
      <c r="G15" s="270" t="n">
        <f aca="false">IFERROR(IF(COUNT(G8:G11)&gt;0,MIN(G8:G11),""),"")</f>
        <v>13272.116224</v>
      </c>
      <c r="H15" s="271" t="n">
        <f aca="false">IFERROR(IF(COUNT(H8:H11)&gt;0,MIN(H8:H11),""),"")</f>
        <v>0.0783611126342509</v>
      </c>
      <c r="I15" s="272" t="n">
        <f aca="false">IFERROR(IF(COUNT(I8:I11)&gt;0,MIN(I8:I11),""),"")</f>
        <v>0.118380151364499</v>
      </c>
      <c r="J15" s="272" t="n">
        <f aca="false">IFERROR(IF(COUNT(J8:J11)&gt;0,MIN(J8:J11),""),"")</f>
        <v>0.114620595821552</v>
      </c>
      <c r="K15" s="272" t="n">
        <f aca="false">IFERROR(IF(COUNT(K8:K11)&gt;0,MIN(K8:K11),""),"")</f>
        <v>0.0193875548362665</v>
      </c>
      <c r="L15" s="272" t="n">
        <f aca="false">IFERROR(IF(COUNT(L8:L11)&gt;0,MIN(L8:L11),""),"")</f>
        <v>0.0187718385324037</v>
      </c>
      <c r="M15" s="273" t="n">
        <f aca="false">IFERROR(IF(COUNT(M8:M11)&gt;0,MIN(M8:M11),""),"")</f>
        <v>0.00564944084626421</v>
      </c>
      <c r="N15" s="240"/>
      <c r="O15" s="240"/>
      <c r="P15" s="245"/>
      <c r="Q15" s="245"/>
      <c r="R15" s="245"/>
      <c r="S15" s="245"/>
    </row>
    <row r="16" customFormat="false" ht="15" hidden="false" customHeight="false" outlineLevel="0" collapsed="false">
      <c r="B16" s="274" t="n">
        <v>0.25</v>
      </c>
      <c r="C16" s="275"/>
      <c r="D16" s="276"/>
      <c r="E16" s="276"/>
      <c r="F16" s="247" t="n">
        <f aca="false">IFERROR(IF(COUNT(F8:F11)&gt;0,SMALL(F8:F11,INT((COUNT(F8:F11)-1)*0.25+1))+((COUNT(F8:F11)-1)*0.25+1-INT((COUNT(F8:F11)-1)*0.25+1))*(SMALL(F8:F11,MIN(COUNT(F8:F11),INT((COUNT(F8:F11)-1)*0.25+1)+1))-SMALL(F8:F11,INT((COUNT(F8:F11)-1)*0.25+1))),""),"")</f>
        <v>25458.496</v>
      </c>
      <c r="G16" s="247" t="n">
        <f aca="false">IFERROR(IF(COUNT(G8:G11)&gt;0,SMALL(G8:G11,INT((COUNT(G8:G11)-1)*0.25+1))+((COUNT(G8:G11)-1)*0.25+1-INT((COUNT(G8:G11)-1)*0.25+1))*(SMALL(G8:G11,MIN(COUNT(G8:G11),INT((COUNT(G8:G11)-1)*0.25+1)+1))-SMALL(G8:G11,INT((COUNT(G8:G11)-1)*0.25+1))),""),"")</f>
        <v>29669.672704</v>
      </c>
      <c r="H16" s="277" t="n">
        <f aca="false">IFERROR(IF(COUNT(H8:H11)&gt;0,SMALL(H8:H11,INT((COUNT(H8:H11)-1)*0.25+1))+((COUNT(H8:H11)-1)*0.25+1-INT((COUNT(H8:H11)-1)*0.25+1))*(SMALL(H8:H11,MIN(COUNT(H8:H11),INT((COUNT(H8:H11)-1)*0.25+1)+1))-SMALL(H8:H11,INT((COUNT(H8:H11)-1)*0.25+1))),""),"")</f>
        <v>0.107518601047431</v>
      </c>
      <c r="I16" s="250" t="n">
        <f aca="false">IFERROR(IF(COUNT(I8:I11)&gt;0,SMALL(I8:I11,INT((COUNT(I8:I11)-1)*0.25+1))+((COUNT(I8:I11)-1)*0.25+1-INT((COUNT(I8:I11)-1)*0.25+1))*(SMALL(I8:I11,MIN(COUNT(I8:I11),INT((COUNT(I8:I11)-1)*0.25+1)+1))-SMALL(I8:I11,INT((COUNT(I8:I11)-1)*0.25+1))),""),"")</f>
        <v>5.71372838401495</v>
      </c>
      <c r="J16" s="250" t="n">
        <f aca="false">IFERROR(IF(COUNT(J8:J11)&gt;0,SMALL(J8:J11,INT((COUNT(J8:J11)-1)*0.25+1))+((COUNT(J8:J11)-1)*0.25+1-INT((COUNT(J8:J11)-1)*0.25+1))*(SMALL(J8:J11,MIN(COUNT(J8:J11),INT((COUNT(J8:J11)-1)*0.25+1)+1))-SMALL(J8:J11,INT((COUNT(J8:J11)-1)*0.25+1))),""),"")</f>
        <v>5.53226993030108</v>
      </c>
      <c r="K16" s="250" t="n">
        <f aca="false">IFERROR(IF(COUNT(K8:K11)&gt;0,SMALL(K8:K11,INT((COUNT(K8:K11)-1)*0.25+1))+((COUNT(K8:K11)-1)*0.25+1-INT((COUNT(K8:K11)-1)*0.25+1))*(SMALL(K8:K11,MIN(COUNT(K8:K11),INT((COUNT(K8:K11)-1)*0.25+1)+1))-SMALL(K8:K11,INT((COUNT(K8:K11)-1)*0.25+1))),""),"")</f>
        <v>0.450261902076696</v>
      </c>
      <c r="L16" s="250" t="n">
        <f aca="false">IFERROR(IF(COUNT(L8:L11)&gt;0,SMALL(L8:L11,INT((COUNT(L8:L11)-1)*0.25+1))+((COUNT(L8:L11)-1)*0.25+1-INT((COUNT(L8:L11)-1)*0.25+1))*(SMALL(L8:L11,MIN(COUNT(L8:L11),INT((COUNT(L8:L11)-1)*0.25+1)+1))-SMALL(L8:L11,INT((COUNT(L8:L11)-1)*0.25+1))),""),"")</f>
        <v>0.435962337409659</v>
      </c>
      <c r="M16" s="278" t="n">
        <f aca="false">IFERROR(IF(COUNT(M8:M11)&gt;0,SMALL(M8:M11,INT((COUNT(M8:M11)-1)*0.25+1))+((COUNT(M8:M11)-1)*0.25+1-INT((COUNT(M8:M11)-1)*0.25+1))*(SMALL(M8:M11,MIN(COUNT(M8:M11),INT((COUNT(M8:M11)-1)*0.25+1)+1))-SMALL(M8:M11,INT((COUNT(M8:M11)-1)*0.25+1))),""),"")</f>
        <v>0.07540216761776</v>
      </c>
      <c r="N16" s="240"/>
      <c r="P16" s="279"/>
      <c r="Q16" s="279"/>
      <c r="R16" s="245"/>
      <c r="S16" s="245"/>
    </row>
    <row r="17" customFormat="false" ht="15" hidden="false" customHeight="false" outlineLevel="0" collapsed="false">
      <c r="B17" s="280" t="s">
        <v>226</v>
      </c>
      <c r="C17" s="281"/>
      <c r="D17" s="282"/>
      <c r="E17" s="282"/>
      <c r="F17" s="283" t="n">
        <f aca="false">IFERROR(IF(COUNT(F8:F11)&gt;0,AVERAGE(F8:F11),""),"")</f>
        <v>135199.036928</v>
      </c>
      <c r="G17" s="283" t="n">
        <f aca="false">IFERROR(IF(COUNT(G8:G11)&gt;0,AVERAGE(G8:G11),""),"")</f>
        <v>168979.76704</v>
      </c>
      <c r="H17" s="284" t="n">
        <f aca="false">IFERROR(IF(COUNT(H8:H11)&gt;0,AVERAGE(H8:H11),""),"")</f>
        <v>0.138640755725961</v>
      </c>
      <c r="I17" s="285" t="n">
        <f aca="false">IFERROR(IF(COUNT(I8:I11)&gt;0,AVERAGE(I8:I11),""),"")</f>
        <v>10.7578693664044</v>
      </c>
      <c r="J17" s="285" t="n">
        <f aca="false">IFERROR(IF(COUNT(J8:J11)&gt;0,AVERAGE(J8:J11),""),"")</f>
        <v>10.4162174345512</v>
      </c>
      <c r="K17" s="285" t="n">
        <f aca="false">IFERROR(IF(COUNT(K8:K11)&gt;0,AVERAGE(K8:K11),""),"")</f>
        <v>1.45826156539494</v>
      </c>
      <c r="L17" s="285" t="n">
        <f aca="false">IFERROR(IF(COUNT(L8:L11)&gt;0,AVERAGE(L8:L11),""),"")</f>
        <v>1.41194961792693</v>
      </c>
      <c r="M17" s="286" t="n">
        <f aca="false">IFERROR(IF(COUNT(M8:M11)&gt;0,AVERAGE(M8:M11),""),"")</f>
        <v>3.47399732705652</v>
      </c>
      <c r="N17" s="240"/>
      <c r="O17" s="240"/>
      <c r="P17" s="287"/>
      <c r="Q17" s="287"/>
      <c r="R17" s="245"/>
      <c r="S17" s="245"/>
    </row>
    <row r="18" customFormat="false" ht="15" hidden="false" customHeight="false" outlineLevel="0" collapsed="false">
      <c r="B18" s="288" t="s">
        <v>152</v>
      </c>
      <c r="C18" s="289"/>
      <c r="D18" s="290"/>
      <c r="E18" s="290"/>
      <c r="F18" s="291" t="n">
        <f aca="false">IFERROR(IF(COUNT(F8:F11)&gt;0,MEDIAN(F8:F11),""),"")</f>
        <v>84100.680704</v>
      </c>
      <c r="G18" s="291" t="n">
        <f aca="false">IFERROR(IF(COUNT(G8:G11)&gt;0,MEDIAN(G8:G11),""),"")</f>
        <v>140637.784064</v>
      </c>
      <c r="H18" s="292" t="n">
        <f aca="false">IFERROR(IF(COUNT(H8:H11)&gt;0,MEDIAN(H8:H11),""),"")</f>
        <v>0.140505729563787</v>
      </c>
      <c r="I18" s="293" t="n">
        <f aca="false">IFERROR(IF(COUNT(I8:I11)&gt;0,MEDIAN(I8:I11),""),"")</f>
        <v>10.6991470130652</v>
      </c>
      <c r="J18" s="293" t="n">
        <f aca="false">IFERROR(IF(COUNT(J8:J11)&gt;0,MEDIAN(J8:J11),""),"")</f>
        <v>10.3593600049044</v>
      </c>
      <c r="K18" s="293" t="n">
        <f aca="false">IFERROR(IF(COUNT(K8:K11)&gt;0,MEDIAN(K8:K11),""),"")</f>
        <v>1.55811705585078</v>
      </c>
      <c r="L18" s="293" t="n">
        <f aca="false">IFERROR(IF(COUNT(L8:L11)&gt;0,MEDIAN(L8:L11),""),"")</f>
        <v>1.50863386507628</v>
      </c>
      <c r="M18" s="294" t="n">
        <f aca="false">IFERROR(IF(COUNT(M8:M11)&gt;0,MEDIAN(M8:M11),""),"")</f>
        <v>0.227797326217872</v>
      </c>
      <c r="N18" s="240"/>
      <c r="O18" s="240"/>
      <c r="P18" s="287"/>
      <c r="Q18" s="287"/>
      <c r="R18" s="245"/>
      <c r="S18" s="245"/>
    </row>
    <row r="19" customFormat="false" ht="15" hidden="false" customHeight="false" outlineLevel="0" collapsed="false">
      <c r="B19" s="295" t="n">
        <v>0.75</v>
      </c>
      <c r="C19" s="296"/>
      <c r="D19" s="297"/>
      <c r="E19" s="297"/>
      <c r="F19" s="298" t="n">
        <f aca="false">IFERROR(IF(COUNT(F8:F11)&gt;0,SMALL(F8:F11,INT((COUNT(F8:F11)-1)*0.75+1))+((COUNT(F8:F11)-1)*0.75+1-INT((COUNT(F8:F11)-1)*0.75+1))*(SMALL(F8:F11,MIN(COUNT(F8:F11),INT((COUNT(F8:F11)-1)*0.75+1)+1))-SMALL(F8:F11,INT((COUNT(F8:F11)-1)*0.75+1))),""),"")</f>
        <v>193841.221632</v>
      </c>
      <c r="G19" s="298" t="n">
        <f aca="false">IFERROR(IF(COUNT(G8:G11)&gt;0,SMALL(G8:G11,INT((COUNT(G8:G11)-1)*0.75+1))+((COUNT(G8:G11)-1)*0.75+1-INT((COUNT(G8:G11)-1)*0.75+1))*(SMALL(G8:G11,MIN(COUNT(G8:G11),INT((COUNT(G8:G11)-1)*0.75+1)+1))-SMALL(G8:G11,INT((COUNT(G8:G11)-1)*0.75+1))),""),"")</f>
        <v>279947.8784</v>
      </c>
      <c r="H19" s="299" t="n">
        <f aca="false">IFERROR(IF(COUNT(H8:H11)&gt;0,SMALL(H8:H11,INT((COUNT(H8:H11)-1)*0.75+1))+((COUNT(H8:H11)-1)*0.75+1-INT((COUNT(H8:H11)-1)*0.75+1))*(SMALL(H8:H11,MIN(COUNT(H8:H11),INT((COUNT(H8:H11)-1)*0.75+1)+1))-SMALL(H8:H11,INT((COUNT(H8:H11)-1)*0.75+1))),""),"")</f>
        <v>0.171627884242317</v>
      </c>
      <c r="I19" s="300" t="n">
        <f aca="false">IFERROR(IF(COUNT(I8:I11)&gt;0,SMALL(I8:I11,INT((COUNT(I8:I11)-1)*0.75+1))+((COUNT(I8:I11)-1)*0.75+1-INT((COUNT(I8:I11)-1)*0.75+1))*(SMALL(I8:I11,MIN(COUNT(I8:I11),INT((COUNT(I8:I11)-1)*0.75+1)+1))-SMALL(I8:I11,INT((COUNT(I8:I11)-1)*0.75+1))),""),"")</f>
        <v>15.7432879954547</v>
      </c>
      <c r="J19" s="300" t="n">
        <f aca="false">IFERROR(IF(COUNT(J8:J11)&gt;0,SMALL(J8:J11,INT((COUNT(J8:J11)-1)*0.75+1))+((COUNT(J8:J11)-1)*0.75+1-INT((COUNT(J8:J11)-1)*0.75+1))*(SMALL(J8:J11,MIN(COUNT(J8:J11),INT((COUNT(J8:J11)-1)*0.75+1)+1))-SMALL(J8:J11,INT((COUNT(J8:J11)-1)*0.75+1))),""),"")</f>
        <v>15.2433075091544</v>
      </c>
      <c r="K19" s="300" t="n">
        <f aca="false">IFERROR(IF(COUNT(K8:K11)&gt;0,SMALL(K8:K11,INT((COUNT(K8:K11)-1)*0.75+1))+((COUNT(K8:K11)-1)*0.75+1-INT((COUNT(K8:K11)-1)*0.75+1))*(SMALL(K8:K11,MIN(COUNT(K8:K11),INT((COUNT(K8:K11)-1)*0.75+1)+1))-SMALL(K8:K11,INT((COUNT(K8:K11)-1)*0.75+1))),""),"")</f>
        <v>2.56611671916902</v>
      </c>
      <c r="L19" s="300" t="n">
        <f aca="false">IFERROR(IF(COUNT(L8:L11)&gt;0,SMALL(L8:L11,INT((COUNT(L8:L11)-1)*0.75+1))+((COUNT(L8:L11)-1)*0.75+1-INT((COUNT(L8:L11)-1)*0.75+1))*(SMALL(L8:L11,MIN(COUNT(L8:L11),INT((COUNT(L8:L11)-1)*0.75+1)+1))-SMALL(L8:L11,INT((COUNT(L8:L11)-1)*0.75+1))),""),"")</f>
        <v>2.48462114559355</v>
      </c>
      <c r="M19" s="301" t="n">
        <f aca="false">IFERROR(IF(COUNT(M8:M11)&gt;0,SMALL(M8:M11,INT((COUNT(M8:M11)-1)*0.75+1))+((COUNT(M8:M11)-1)*0.75+1-INT((COUNT(M8:M11)-1)*0.75+1))*(SMALL(M8:M11,MIN(COUNT(M8:M11),INT((COUNT(M8:M11)-1)*0.75+1)+1))-SMALL(M8:M11,INT((COUNT(M8:M11)-1)*0.75+1))),""),"")</f>
        <v>3.62639248565663</v>
      </c>
      <c r="N19" s="240"/>
      <c r="O19" s="240"/>
      <c r="P19" s="287"/>
      <c r="Q19" s="287"/>
      <c r="R19" s="245"/>
      <c r="S19" s="245"/>
    </row>
    <row r="20" customFormat="false" ht="15" hidden="false" customHeight="false" outlineLevel="0" collapsed="false">
      <c r="B20" s="302" t="s">
        <v>154</v>
      </c>
      <c r="C20" s="303"/>
      <c r="D20" s="304"/>
      <c r="E20" s="304"/>
      <c r="F20" s="305" t="n">
        <f aca="false">IFERROR(IF(COUNT(F8:F11)&gt;0,MAX(F8:F11),""),"")</f>
        <v>357657.378816</v>
      </c>
      <c r="G20" s="305" t="n">
        <f aca="false">IFERROR(IF(COUNT(G8:G11)&gt;0,MAX(G8:G11),""),"")</f>
        <v>381371.383808</v>
      </c>
      <c r="H20" s="306" t="n">
        <f aca="false">IFERROR(IF(COUNT(H8:H11)&gt;0,MAX(H8:H11),""),"")</f>
        <v>0.19519045114202</v>
      </c>
      <c r="I20" s="307" t="n">
        <f aca="false">IFERROR(IF(COUNT(I8:I11)&gt;0,MAX(I8:I11),""),"")</f>
        <v>21.5148032881227</v>
      </c>
      <c r="J20" s="307" t="n">
        <f aca="false">IFERROR(IF(COUNT(J8:J11)&gt;0,MAX(J8:J11),""),"")</f>
        <v>20.8315291325743</v>
      </c>
      <c r="K20" s="307" t="n">
        <f aca="false">IFERROR(IF(COUNT(K8:K11)&gt;0,MAX(K8:K11),""),"")</f>
        <v>2.69742459504191</v>
      </c>
      <c r="L20" s="307" t="n">
        <f aca="false">IFERROR(IF(COUNT(L8:L11)&gt;0,MAX(L8:L11),""),"")</f>
        <v>2.61175890302276</v>
      </c>
      <c r="M20" s="308" t="n">
        <f aca="false">IFERROR(IF(COUNT(M8:M11)&gt;0,MAX(M8:M11),""),"")</f>
        <v>13.4347452149441</v>
      </c>
      <c r="N20" s="240"/>
      <c r="O20" s="240"/>
      <c r="P20" s="287"/>
      <c r="Q20" s="287"/>
      <c r="R20" s="245"/>
      <c r="S20" s="245"/>
    </row>
    <row r="21" customFormat="false" ht="15" hidden="false" customHeight="false" outlineLevel="0" collapsed="false">
      <c r="B21" s="309"/>
      <c r="C21" s="240"/>
      <c r="D21" s="310"/>
      <c r="E21" s="310"/>
      <c r="F21" s="247"/>
      <c r="G21" s="247"/>
      <c r="H21" s="247"/>
      <c r="I21" s="240"/>
      <c r="J21" s="240"/>
      <c r="K21" s="240"/>
      <c r="L21" s="240"/>
      <c r="M21" s="240"/>
      <c r="N21" s="240"/>
      <c r="O21" s="240"/>
      <c r="P21" s="240"/>
      <c r="Q21" s="240"/>
      <c r="R21" s="245"/>
      <c r="S21" s="245"/>
    </row>
  </sheetData>
  <mergeCells count="5">
    <mergeCell ref="I6:J6"/>
    <mergeCell ref="K6:L6"/>
    <mergeCell ref="P6:Q6"/>
    <mergeCell ref="R6:S6"/>
    <mergeCell ref="K7:L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A84"/>
    <pageSetUpPr fitToPage="false"/>
  </sheetPr>
  <dimension ref="A1:P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1" activeCellId="0" sqref="G51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29.67"/>
    <col collapsed="false" customWidth="true" hidden="false" outlineLevel="0" max="3" min="3" style="0" width="31.5"/>
    <col collapsed="false" customWidth="true" hidden="true" outlineLevel="0" max="6" min="5" style="0" width="12.55"/>
  </cols>
  <sheetData>
    <row r="1" customFormat="false" ht="15" hidden="false" customHeight="false" outlineLevel="0" collapsed="false">
      <c r="A1" s="311"/>
      <c r="B1" s="312" t="s">
        <v>227</v>
      </c>
      <c r="C1" s="313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</row>
    <row r="2" customFormat="false" ht="15.75" hidden="false" customHeight="true" outlineLevel="0" collapsed="false">
      <c r="A2" s="311"/>
      <c r="B2" s="314" t="s">
        <v>228</v>
      </c>
      <c r="C2" s="315"/>
      <c r="D2" s="311"/>
      <c r="E2" s="311"/>
      <c r="F2" s="311"/>
      <c r="G2" s="311"/>
      <c r="H2" s="311"/>
      <c r="I2" s="311"/>
      <c r="J2" s="311"/>
      <c r="K2" s="311"/>
      <c r="L2" s="311"/>
      <c r="M2" s="311"/>
      <c r="N2" s="311"/>
      <c r="O2" s="311"/>
      <c r="P2" s="311"/>
    </row>
    <row r="3" customFormat="false" ht="15.75" hidden="false" customHeight="true" outlineLevel="0" collapsed="false">
      <c r="A3" s="311"/>
      <c r="B3" s="316"/>
      <c r="C3" s="315"/>
      <c r="D3" s="311"/>
      <c r="E3" s="317"/>
      <c r="F3" s="317"/>
      <c r="G3" s="318" t="s">
        <v>229</v>
      </c>
      <c r="H3" s="318"/>
      <c r="I3" s="318" t="s">
        <v>229</v>
      </c>
      <c r="J3" s="318"/>
      <c r="K3" s="318"/>
      <c r="L3" s="318"/>
      <c r="M3" s="318"/>
      <c r="N3" s="318"/>
      <c r="O3" s="318"/>
      <c r="P3" s="318"/>
    </row>
    <row r="4" customFormat="false" ht="15" hidden="false" customHeight="false" outlineLevel="0" collapsed="false">
      <c r="A4" s="311"/>
      <c r="B4" s="319" t="s">
        <v>230</v>
      </c>
      <c r="C4" s="315"/>
      <c r="D4" s="311"/>
      <c r="E4" s="320" t="n">
        <v>43101</v>
      </c>
      <c r="F4" s="320" t="n">
        <v>42736</v>
      </c>
      <c r="G4" s="320" t="n">
        <v>44197</v>
      </c>
      <c r="H4" s="320" t="n">
        <v>44562</v>
      </c>
      <c r="I4" s="320" t="n">
        <v>44927</v>
      </c>
      <c r="J4" s="320" t="n">
        <v>45292</v>
      </c>
      <c r="K4" s="320" t="n">
        <v>45658</v>
      </c>
      <c r="L4" s="320" t="n">
        <v>46023</v>
      </c>
      <c r="M4" s="320" t="n">
        <v>46388</v>
      </c>
      <c r="N4" s="320" t="n">
        <v>46753</v>
      </c>
      <c r="O4" s="320" t="n">
        <v>47119</v>
      </c>
      <c r="P4" s="320" t="n">
        <v>47484</v>
      </c>
    </row>
    <row r="5" customFormat="false" ht="15" hidden="false" customHeight="false" outlineLevel="0" collapsed="false">
      <c r="A5" s="311"/>
      <c r="B5" s="319" t="s">
        <v>231</v>
      </c>
      <c r="C5" s="321" t="s">
        <v>232</v>
      </c>
      <c r="D5" s="322"/>
      <c r="E5" s="320" t="n">
        <v>42735</v>
      </c>
      <c r="F5" s="320" t="n">
        <v>43100</v>
      </c>
      <c r="G5" s="320" t="n">
        <v>44465</v>
      </c>
      <c r="H5" s="320" t="n">
        <v>44830</v>
      </c>
      <c r="I5" s="320" t="n">
        <v>45195</v>
      </c>
      <c r="J5" s="320" t="n">
        <v>45561</v>
      </c>
      <c r="K5" s="320" t="n">
        <v>45926</v>
      </c>
      <c r="L5" s="320" t="n">
        <v>46291</v>
      </c>
      <c r="M5" s="320" t="n">
        <v>46656</v>
      </c>
      <c r="N5" s="320" t="n">
        <v>47022</v>
      </c>
      <c r="O5" s="320" t="n">
        <v>47387</v>
      </c>
      <c r="P5" s="320" t="n">
        <v>47752</v>
      </c>
    </row>
    <row r="6" customFormat="false" ht="15" hidden="false" customHeight="false" outlineLevel="0" collapsed="false">
      <c r="A6" s="323"/>
      <c r="B6" s="323" t="s">
        <v>233</v>
      </c>
      <c r="C6" s="324"/>
      <c r="D6" s="323"/>
      <c r="E6" s="325" t="n">
        <f aca="false">YEAR(E5)</f>
        <v>2016</v>
      </c>
      <c r="F6" s="325" t="n">
        <f aca="false">YEAR(F5)</f>
        <v>2017</v>
      </c>
      <c r="G6" s="326" t="s">
        <v>35</v>
      </c>
      <c r="H6" s="326" t="s">
        <v>36</v>
      </c>
      <c r="I6" s="326" t="s">
        <v>37</v>
      </c>
      <c r="J6" s="326" t="s">
        <v>38</v>
      </c>
      <c r="K6" s="326" t="s">
        <v>39</v>
      </c>
      <c r="L6" s="326" t="s">
        <v>40</v>
      </c>
      <c r="M6" s="326" t="s">
        <v>41</v>
      </c>
      <c r="N6" s="326" t="s">
        <v>42</v>
      </c>
      <c r="O6" s="326" t="s">
        <v>43</v>
      </c>
      <c r="P6" s="326" t="s">
        <v>44</v>
      </c>
    </row>
    <row r="7" customFormat="false" ht="15" hidden="false" customHeight="false" outlineLevel="0" collapsed="false">
      <c r="A7" s="323"/>
      <c r="B7" s="323" t="s">
        <v>234</v>
      </c>
      <c r="C7" s="324"/>
      <c r="D7" s="323"/>
      <c r="E7" s="327" t="n">
        <f aca="false">+E5-E4+1</f>
        <v>-365</v>
      </c>
      <c r="F7" s="327" t="n">
        <f aca="false">+F5-F4+1</f>
        <v>365</v>
      </c>
      <c r="G7" s="327" t="n">
        <f aca="false">+G5-G4+1</f>
        <v>269</v>
      </c>
      <c r="H7" s="327" t="n">
        <f aca="false">+H5-H4+1</f>
        <v>269</v>
      </c>
      <c r="I7" s="327" t="n">
        <f aca="false">+I5-I4+1</f>
        <v>269</v>
      </c>
      <c r="J7" s="327" t="n">
        <f aca="false">+J5-J4+1</f>
        <v>270</v>
      </c>
      <c r="K7" s="327" t="n">
        <f aca="false">+K5-K4+1</f>
        <v>269</v>
      </c>
      <c r="L7" s="327" t="n">
        <f aca="false">+L5-L4+1</f>
        <v>269</v>
      </c>
      <c r="M7" s="327" t="n">
        <f aca="false">+M5-M4+1</f>
        <v>269</v>
      </c>
      <c r="N7" s="327" t="n">
        <f aca="false">+N5-N4+1</f>
        <v>270</v>
      </c>
      <c r="O7" s="327" t="n">
        <f aca="false">+O5-O4+1</f>
        <v>269</v>
      </c>
      <c r="P7" s="327" t="n">
        <f aca="false">+P5-P4+1</f>
        <v>269</v>
      </c>
    </row>
    <row r="8" customFormat="false" ht="15" hidden="false" customHeight="false" outlineLevel="0" collapsed="false">
      <c r="A8" s="323"/>
      <c r="B8" s="323" t="s">
        <v>235</v>
      </c>
      <c r="C8" s="324"/>
      <c r="D8" s="323"/>
      <c r="E8" s="327" t="n">
        <f aca="false">+E7</f>
        <v>-365</v>
      </c>
      <c r="F8" s="327" t="n">
        <f aca="false">+F7</f>
        <v>365</v>
      </c>
      <c r="G8" s="327" t="n">
        <f aca="false">+G7</f>
        <v>269</v>
      </c>
      <c r="H8" s="327" t="n">
        <f aca="false">+H7</f>
        <v>269</v>
      </c>
      <c r="I8" s="327" t="n">
        <f aca="false">+I7</f>
        <v>269</v>
      </c>
      <c r="J8" s="327" t="n">
        <f aca="false">+J7</f>
        <v>270</v>
      </c>
      <c r="K8" s="327" t="n">
        <f aca="false">+K7</f>
        <v>269</v>
      </c>
      <c r="L8" s="327" t="n">
        <f aca="false">+L7</f>
        <v>269</v>
      </c>
      <c r="M8" s="327" t="n">
        <f aca="false">+M7</f>
        <v>269</v>
      </c>
      <c r="N8" s="327" t="n">
        <f aca="false">+N7</f>
        <v>270</v>
      </c>
      <c r="O8" s="327" t="n">
        <f aca="false">+O7</f>
        <v>269</v>
      </c>
      <c r="P8" s="327" t="n">
        <f aca="false">+P7</f>
        <v>269</v>
      </c>
    </row>
    <row r="9" customFormat="false" ht="15" hidden="false" customHeight="false" outlineLevel="0" collapsed="false">
      <c r="A9" s="323"/>
      <c r="B9" s="323"/>
      <c r="C9" s="324"/>
      <c r="D9" s="323"/>
      <c r="E9" s="323"/>
      <c r="F9" s="323"/>
      <c r="G9" s="323"/>
      <c r="H9" s="323"/>
      <c r="I9" s="323"/>
      <c r="J9" s="323"/>
      <c r="K9" s="323"/>
      <c r="L9" s="323"/>
      <c r="M9" s="323"/>
      <c r="N9" s="323"/>
      <c r="O9" s="323"/>
      <c r="P9" s="323"/>
    </row>
    <row r="10" customFormat="false" ht="15" hidden="false" customHeight="false" outlineLevel="0" collapsed="false">
      <c r="A10" s="328" t="s">
        <v>236</v>
      </c>
      <c r="B10" s="328"/>
      <c r="C10" s="329"/>
      <c r="D10" s="330"/>
      <c r="E10" s="330"/>
      <c r="F10" s="330"/>
      <c r="G10" s="330"/>
      <c r="H10" s="330"/>
      <c r="I10" s="330"/>
      <c r="J10" s="330"/>
      <c r="K10" s="330"/>
      <c r="L10" s="330"/>
      <c r="M10" s="330"/>
      <c r="N10" s="330"/>
      <c r="O10" s="330"/>
      <c r="P10" s="330"/>
    </row>
    <row r="11" customFormat="false" ht="15" hidden="false" customHeight="false" outlineLevel="0" collapsed="false">
      <c r="A11" s="323"/>
      <c r="B11" s="323"/>
      <c r="C11" s="324"/>
      <c r="D11" s="323"/>
      <c r="E11" s="323"/>
      <c r="F11" s="323"/>
      <c r="G11" s="323"/>
      <c r="H11" s="323"/>
      <c r="I11" s="323"/>
      <c r="J11" s="323"/>
      <c r="K11" s="323"/>
      <c r="L11" s="323"/>
      <c r="M11" s="323"/>
      <c r="N11" s="323"/>
      <c r="O11" s="323"/>
      <c r="P11" s="323"/>
    </row>
    <row r="12" customFormat="false" ht="15" hidden="false" customHeight="false" outlineLevel="0" collapsed="false">
      <c r="A12" s="331"/>
      <c r="B12" s="331" t="s">
        <v>114</v>
      </c>
      <c r="C12" s="332" t="s">
        <v>237</v>
      </c>
      <c r="D12" s="331"/>
      <c r="E12" s="333" t="n">
        <v>0</v>
      </c>
      <c r="F12" s="333" t="n">
        <v>0</v>
      </c>
      <c r="G12" s="333" t="n">
        <v>365817</v>
      </c>
      <c r="H12" s="334" t="n">
        <v>394328</v>
      </c>
      <c r="I12" s="335" t="n">
        <v>383285</v>
      </c>
      <c r="J12" s="335" t="n">
        <v>391035</v>
      </c>
      <c r="K12" s="335" t="n">
        <v>416161</v>
      </c>
      <c r="L12" s="335" t="n">
        <f aca="false">'DCF Model - Base (1)'!M20</f>
        <v>429811.0808</v>
      </c>
      <c r="M12" s="335" t="n">
        <f aca="false">'DCF Model - Base (1)'!N20</f>
        <v>443908.88425024</v>
      </c>
      <c r="N12" s="335" t="n">
        <f aca="false">'DCF Model - Base (1)'!O20</f>
        <v>458469.095653648</v>
      </c>
      <c r="O12" s="335" t="n">
        <f aca="false">'DCF Model - Base (1)'!P20</f>
        <v>472003.103357344</v>
      </c>
      <c r="P12" s="335" t="n">
        <f aca="false">'DCF Model - Base (1)'!Q20</f>
        <v>484388.46478944</v>
      </c>
    </row>
    <row r="13" customFormat="false" ht="15" hidden="false" customHeight="false" outlineLevel="0" collapsed="false">
      <c r="A13" s="35"/>
      <c r="B13" s="336" t="s">
        <v>238</v>
      </c>
      <c r="C13" s="337" t="s">
        <v>239</v>
      </c>
      <c r="D13" s="35"/>
      <c r="E13" s="338"/>
      <c r="F13" s="338"/>
      <c r="G13" s="338" t="str">
        <f aca="false">""</f>
        <v/>
      </c>
      <c r="H13" s="339" t="n">
        <f aca="false">IFERROR(H12/G12-1,"")</f>
        <v>0.0779378760418461</v>
      </c>
      <c r="I13" s="340" t="n">
        <f aca="false">IFERROR(I12/H12-1,"")</f>
        <v>-0.0280046053031994</v>
      </c>
      <c r="J13" s="340" t="n">
        <f aca="false">IFERROR(J12/I12-1,"")</f>
        <v>0.0202199407751411</v>
      </c>
      <c r="K13" s="340" t="n">
        <f aca="false">IFERROR(K12/J12-1,"")</f>
        <v>0.0642551178283275</v>
      </c>
      <c r="L13" s="340" t="n">
        <f aca="false">IFERROR(L12/K12-1,"")</f>
        <v>0.0327999999999999</v>
      </c>
      <c r="M13" s="340" t="n">
        <f aca="false">IFERROR(M12/L12-1,"")</f>
        <v>0.0327999999999999</v>
      </c>
      <c r="N13" s="340" t="n">
        <f aca="false">IFERROR(N12/M12-1,"")</f>
        <v>0.0327999999999999</v>
      </c>
      <c r="O13" s="340" t="n">
        <f aca="false">IFERROR(O12/N12-1,"")</f>
        <v>0.02952</v>
      </c>
      <c r="P13" s="340" t="n">
        <f aca="false">IFERROR(P12/O12-1,"")</f>
        <v>0.02624</v>
      </c>
    </row>
    <row r="14" customFormat="false" ht="15" hidden="false" customHeight="false" outlineLevel="0" collapsed="false">
      <c r="A14" s="323"/>
      <c r="B14" s="323"/>
      <c r="C14" s="324"/>
      <c r="D14" s="323"/>
      <c r="E14" s="341"/>
      <c r="F14" s="341"/>
      <c r="G14" s="341"/>
      <c r="H14" s="342"/>
      <c r="I14" s="343"/>
      <c r="J14" s="343"/>
      <c r="K14" s="343"/>
      <c r="L14" s="343"/>
      <c r="M14" s="343"/>
      <c r="N14" s="343"/>
      <c r="O14" s="343"/>
      <c r="P14" s="343"/>
    </row>
    <row r="15" customFormat="false" ht="15" hidden="false" customHeight="false" outlineLevel="0" collapsed="false">
      <c r="A15" s="323"/>
      <c r="B15" s="331" t="s">
        <v>118</v>
      </c>
      <c r="C15" s="324"/>
      <c r="D15" s="323"/>
      <c r="E15" s="341"/>
      <c r="F15" s="341"/>
      <c r="G15" s="341"/>
      <c r="H15" s="342"/>
      <c r="I15" s="344"/>
      <c r="J15" s="343"/>
      <c r="K15" s="343"/>
      <c r="L15" s="343"/>
      <c r="M15" s="343"/>
      <c r="N15" s="343"/>
      <c r="O15" s="343"/>
      <c r="P15" s="343"/>
    </row>
    <row r="16" customFormat="false" ht="15" hidden="false" customHeight="false" outlineLevel="0" collapsed="false">
      <c r="A16" s="323"/>
      <c r="B16" s="323" t="s">
        <v>118</v>
      </c>
      <c r="C16" s="324" t="s">
        <v>237</v>
      </c>
      <c r="D16" s="323"/>
      <c r="E16" s="345" t="n">
        <v>0</v>
      </c>
      <c r="F16" s="345" t="n">
        <v>0</v>
      </c>
      <c r="G16" s="345" t="n">
        <v>212981</v>
      </c>
      <c r="H16" s="346" t="n">
        <v>223546</v>
      </c>
      <c r="I16" s="343" t="n">
        <v>214137</v>
      </c>
      <c r="J16" s="343" t="n">
        <v>210352</v>
      </c>
      <c r="K16" s="343" t="n">
        <v>201436</v>
      </c>
      <c r="L16" s="343" t="n">
        <f aca="false">'DCF Model - Base (1)'!M24</f>
        <v>213018.663818623</v>
      </c>
      <c r="M16" s="343" t="n">
        <f aca="false">'DCF Model - Base (1)'!N24</f>
        <v>220005.675991874</v>
      </c>
      <c r="N16" s="343" t="n">
        <f aca="false">'DCF Model - Base (1)'!O24</f>
        <v>227221.862164408</v>
      </c>
      <c r="O16" s="343" t="n">
        <f aca="false">'DCF Model - Base (1)'!P24</f>
        <v>233929.451535501</v>
      </c>
      <c r="P16" s="343" t="n">
        <f aca="false">'DCF Model - Base (1)'!Q24</f>
        <v>240067.760343792</v>
      </c>
    </row>
    <row r="17" customFormat="false" ht="15" hidden="false" customHeight="false" outlineLevel="0" collapsed="false">
      <c r="A17" s="323"/>
      <c r="B17" s="323" t="s">
        <v>120</v>
      </c>
      <c r="C17" s="324" t="s">
        <v>237</v>
      </c>
      <c r="D17" s="323"/>
      <c r="E17" s="345" t="n">
        <v>0</v>
      </c>
      <c r="F17" s="345" t="n">
        <v>0</v>
      </c>
      <c r="G17" s="345" t="n">
        <v>0</v>
      </c>
      <c r="H17" s="346" t="n">
        <v>0</v>
      </c>
      <c r="I17" s="343" t="n">
        <v>0</v>
      </c>
      <c r="J17" s="343" t="n">
        <v>0</v>
      </c>
      <c r="K17" s="343" t="n">
        <v>19524</v>
      </c>
      <c r="L17" s="343" t="n">
        <f aca="false">'DCF Model - Base (1)'!M27</f>
        <v>20164.3872</v>
      </c>
      <c r="M17" s="343" t="n">
        <f aca="false">'DCF Model - Base (1)'!N27</f>
        <v>20825.77910016</v>
      </c>
      <c r="N17" s="343" t="n">
        <f aca="false">'DCF Model - Base (1)'!O27</f>
        <v>21508.8646546452</v>
      </c>
      <c r="O17" s="343" t="n">
        <f aca="false">'DCF Model - Base (1)'!P27</f>
        <v>22143.8063392504</v>
      </c>
      <c r="P17" s="343" t="n">
        <f aca="false">'DCF Model - Base (1)'!Q27</f>
        <v>22724.8598175923</v>
      </c>
    </row>
    <row r="18" customFormat="false" ht="15" hidden="false" customHeight="false" outlineLevel="0" collapsed="false">
      <c r="A18" s="331"/>
      <c r="B18" s="347" t="s">
        <v>121</v>
      </c>
      <c r="C18" s="348"/>
      <c r="D18" s="347"/>
      <c r="E18" s="349" t="n">
        <f aca="false">+SUM(E16:E17)</f>
        <v>0</v>
      </c>
      <c r="F18" s="349" t="n">
        <f aca="false">+SUM(F16:F17)</f>
        <v>0</v>
      </c>
      <c r="G18" s="349" t="n">
        <f aca="false">G16+G17</f>
        <v>212981</v>
      </c>
      <c r="H18" s="350" t="n">
        <f aca="false">H16+H17</f>
        <v>223546</v>
      </c>
      <c r="I18" s="351" t="n">
        <f aca="false">I16+I17</f>
        <v>214137</v>
      </c>
      <c r="J18" s="351" t="n">
        <f aca="false">J16+J17</f>
        <v>210352</v>
      </c>
      <c r="K18" s="351" t="n">
        <f aca="false">K16+K17</f>
        <v>220960</v>
      </c>
      <c r="L18" s="351" t="n">
        <f aca="false">L16+L17</f>
        <v>233183.051018623</v>
      </c>
      <c r="M18" s="351" t="n">
        <f aca="false">M16+M17</f>
        <v>240831.455092034</v>
      </c>
      <c r="N18" s="351" t="n">
        <f aca="false">N16+N17</f>
        <v>248730.726819053</v>
      </c>
      <c r="O18" s="351" t="n">
        <f aca="false">O16+O17</f>
        <v>256073.257874751</v>
      </c>
      <c r="P18" s="351" t="n">
        <f aca="false">P16+P17</f>
        <v>262792.620161385</v>
      </c>
    </row>
    <row r="19" customFormat="false" ht="15" hidden="false" customHeight="false" outlineLevel="0" collapsed="false">
      <c r="A19" s="323"/>
      <c r="B19" s="323"/>
      <c r="C19" s="324"/>
      <c r="D19" s="323"/>
      <c r="E19" s="352"/>
      <c r="F19" s="352"/>
      <c r="G19" s="352"/>
      <c r="H19" s="353"/>
      <c r="I19" s="343"/>
      <c r="J19" s="343"/>
      <c r="K19" s="343"/>
      <c r="L19" s="343"/>
      <c r="M19" s="343"/>
      <c r="N19" s="343"/>
      <c r="O19" s="343"/>
      <c r="P19" s="343"/>
    </row>
    <row r="20" customFormat="false" ht="15" hidden="false" customHeight="false" outlineLevel="0" collapsed="false">
      <c r="A20" s="354"/>
      <c r="B20" s="354" t="s">
        <v>122</v>
      </c>
      <c r="C20" s="355" t="s">
        <v>237</v>
      </c>
      <c r="D20" s="354"/>
      <c r="E20" s="356" t="n">
        <f aca="false">+E12-E18</f>
        <v>0</v>
      </c>
      <c r="F20" s="356" t="n">
        <f aca="false">+F12-F18</f>
        <v>0</v>
      </c>
      <c r="G20" s="356" t="n">
        <f aca="false">G12-G18</f>
        <v>152836</v>
      </c>
      <c r="H20" s="357" t="n">
        <f aca="false">H12-H18</f>
        <v>170782</v>
      </c>
      <c r="I20" s="358" t="n">
        <f aca="false">I12-I18</f>
        <v>169148</v>
      </c>
      <c r="J20" s="358" t="n">
        <f aca="false">J12-J18</f>
        <v>180683</v>
      </c>
      <c r="K20" s="358" t="n">
        <f aca="false">K12-K18</f>
        <v>195201</v>
      </c>
      <c r="L20" s="358" t="n">
        <f aca="false">L12-L18</f>
        <v>196628.029781377</v>
      </c>
      <c r="M20" s="358" t="n">
        <f aca="false">M12-M18</f>
        <v>203077.429158206</v>
      </c>
      <c r="N20" s="358" t="n">
        <f aca="false">N12-N18</f>
        <v>209738.368834595</v>
      </c>
      <c r="O20" s="358" t="n">
        <f aca="false">O12-O18</f>
        <v>215929.845482592</v>
      </c>
      <c r="P20" s="358" t="n">
        <f aca="false">P12-P18</f>
        <v>221595.844628055</v>
      </c>
    </row>
    <row r="21" customFormat="false" ht="15" hidden="false" customHeight="false" outlineLevel="0" collapsed="false">
      <c r="A21" s="35"/>
      <c r="B21" s="35" t="s">
        <v>240</v>
      </c>
      <c r="C21" s="359" t="s">
        <v>239</v>
      </c>
      <c r="D21" s="35"/>
      <c r="E21" s="360" t="str">
        <f aca="false">+IFERROR(E20/E$12,"n.a.")</f>
        <v>n.a.</v>
      </c>
      <c r="F21" s="360" t="str">
        <f aca="false">+IFERROR(F20/F$12,"n.a.")</f>
        <v>n.a.</v>
      </c>
      <c r="G21" s="360" t="n">
        <f aca="false">IFERROR(G20/G12,0)</f>
        <v>0.417793596251678</v>
      </c>
      <c r="H21" s="361" t="n">
        <f aca="false">IFERROR(H20/H12,0)</f>
        <v>0.433096305613601</v>
      </c>
      <c r="I21" s="340" t="n">
        <f aca="false">IFERROR(I20/I12,0)</f>
        <v>0.441311295772076</v>
      </c>
      <c r="J21" s="340" t="n">
        <f aca="false">IFERROR(J20/J12,0)</f>
        <v>0.462063498152339</v>
      </c>
      <c r="K21" s="340" t="n">
        <f aca="false">IFERROR(K20/K12,0)</f>
        <v>0.469051641071605</v>
      </c>
      <c r="L21" s="340" t="n">
        <f aca="false">IFERROR(L20/L12,0)</f>
        <v>0.457475478332007</v>
      </c>
      <c r="M21" s="340" t="n">
        <f aca="false">IFERROR(M20/M12,0)</f>
        <v>0.457475478332007</v>
      </c>
      <c r="N21" s="340" t="n">
        <f aca="false">IFERROR(N20/N12,0)</f>
        <v>0.457475478332007</v>
      </c>
      <c r="O21" s="340" t="n">
        <f aca="false">IFERROR(O20/O12,0)</f>
        <v>0.457475478332007</v>
      </c>
      <c r="P21" s="340" t="n">
        <f aca="false">IFERROR(P20/P12,0)</f>
        <v>0.457475478332007</v>
      </c>
    </row>
    <row r="22" customFormat="false" ht="15" hidden="false" customHeight="false" outlineLevel="0" collapsed="false">
      <c r="A22" s="323"/>
      <c r="B22" s="323"/>
      <c r="C22" s="324"/>
      <c r="D22" s="323"/>
      <c r="E22" s="352"/>
      <c r="F22" s="352"/>
      <c r="G22" s="352"/>
      <c r="H22" s="353"/>
      <c r="I22" s="323"/>
      <c r="J22" s="362"/>
      <c r="K22" s="362"/>
      <c r="L22" s="362"/>
      <c r="M22" s="362"/>
      <c r="N22" s="362"/>
      <c r="O22" s="323"/>
      <c r="P22" s="323"/>
    </row>
    <row r="23" customFormat="false" ht="15" hidden="false" customHeight="false" outlineLevel="0" collapsed="false">
      <c r="A23" s="323"/>
      <c r="B23" s="331" t="s">
        <v>124</v>
      </c>
      <c r="C23" s="324"/>
      <c r="D23" s="323"/>
      <c r="E23" s="352"/>
      <c r="F23" s="352"/>
      <c r="G23" s="352"/>
      <c r="H23" s="353"/>
      <c r="I23" s="323"/>
      <c r="J23" s="323"/>
      <c r="K23" s="323"/>
      <c r="L23" s="323"/>
      <c r="M23" s="323"/>
      <c r="N23" s="323"/>
      <c r="O23" s="323"/>
      <c r="P23" s="323"/>
    </row>
    <row r="24" customFormat="false" ht="15" hidden="false" customHeight="false" outlineLevel="0" collapsed="false">
      <c r="A24" s="323"/>
      <c r="B24" s="323" t="s">
        <v>125</v>
      </c>
      <c r="C24" s="324" t="s">
        <v>237</v>
      </c>
      <c r="D24" s="323"/>
      <c r="E24" s="345" t="n">
        <v>0</v>
      </c>
      <c r="F24" s="345" t="n">
        <v>0</v>
      </c>
      <c r="G24" s="345" t="n">
        <v>21914</v>
      </c>
      <c r="H24" s="346" t="n">
        <v>26251</v>
      </c>
      <c r="I24" s="343" t="n">
        <v>29915</v>
      </c>
      <c r="J24" s="343" t="n">
        <v>31370</v>
      </c>
      <c r="K24" s="343" t="n">
        <v>34550</v>
      </c>
      <c r="L24" s="343" t="n">
        <f aca="false">'DCF Model - Base (1)'!M36</f>
        <v>35683.24</v>
      </c>
      <c r="M24" s="343" t="n">
        <f aca="false">'DCF Model - Base (1)'!N36</f>
        <v>36853.650272</v>
      </c>
      <c r="N24" s="343" t="n">
        <f aca="false">'DCF Model - Base (1)'!O36</f>
        <v>38062.4500009216</v>
      </c>
      <c r="O24" s="343" t="n">
        <f aca="false">'DCF Model - Base (1)'!P36</f>
        <v>39186.0535249488</v>
      </c>
      <c r="P24" s="343" t="n">
        <f aca="false">'DCF Model - Base (1)'!Q36</f>
        <v>40214.2955694435</v>
      </c>
    </row>
    <row r="25" customFormat="false" ht="15" hidden="false" customHeight="false" outlineLevel="0" collapsed="false">
      <c r="A25" s="323"/>
      <c r="B25" s="323" t="s">
        <v>126</v>
      </c>
      <c r="C25" s="324" t="s">
        <v>237</v>
      </c>
      <c r="D25" s="323"/>
      <c r="E25" s="345" t="n">
        <v>0</v>
      </c>
      <c r="F25" s="345" t="n">
        <v>0</v>
      </c>
      <c r="G25" s="345" t="n">
        <v>21973</v>
      </c>
      <c r="H25" s="346" t="n">
        <v>25094</v>
      </c>
      <c r="I25" s="343" t="n">
        <v>24932</v>
      </c>
      <c r="J25" s="343" t="n">
        <v>26097</v>
      </c>
      <c r="K25" s="343" t="n">
        <v>27601</v>
      </c>
      <c r="L25" s="343" t="n">
        <f aca="false">'DCF Model - Base (1)'!M39</f>
        <v>28506.3128</v>
      </c>
      <c r="M25" s="343" t="n">
        <f aca="false">'DCF Model - Base (1)'!N39</f>
        <v>29441.31985984</v>
      </c>
      <c r="N25" s="343" t="n">
        <f aca="false">'DCF Model - Base (1)'!O39</f>
        <v>30406.9951512428</v>
      </c>
      <c r="O25" s="343" t="n">
        <f aca="false">'DCF Model - Base (1)'!P39</f>
        <v>31304.6096481074</v>
      </c>
      <c r="P25" s="343" t="n">
        <f aca="false">'DCF Model - Base (1)'!Q39</f>
        <v>32126.0426052738</v>
      </c>
    </row>
    <row r="26" customFormat="false" ht="15" hidden="false" customHeight="false" outlineLevel="0" collapsed="false">
      <c r="A26" s="323"/>
      <c r="B26" s="323" t="s">
        <v>127</v>
      </c>
      <c r="C26" s="324" t="s">
        <v>237</v>
      </c>
      <c r="D26" s="323"/>
      <c r="E26" s="345" t="n">
        <v>0</v>
      </c>
      <c r="F26" s="345" t="n">
        <v>0</v>
      </c>
      <c r="G26" s="345" t="n">
        <v>11284</v>
      </c>
      <c r="H26" s="346" t="n">
        <v>11104</v>
      </c>
      <c r="I26" s="343" t="n">
        <v>11519</v>
      </c>
      <c r="J26" s="343" t="n">
        <v>11445</v>
      </c>
      <c r="K26" s="343" t="n">
        <v>11698</v>
      </c>
      <c r="L26" s="343" t="n">
        <f aca="false">'DCF Model - Base (1)'!M68</f>
        <v>12526.2920466733</v>
      </c>
      <c r="M26" s="343" t="n">
        <f aca="false">'DCF Model - Base (1)'!N68</f>
        <v>12937.1544258042</v>
      </c>
      <c r="N26" s="343" t="n">
        <f aca="false">'DCF Model - Base (1)'!O68</f>
        <v>13361.4930909706</v>
      </c>
      <c r="O26" s="343" t="n">
        <f aca="false">'DCF Model - Base (1)'!P68</f>
        <v>13755.9243670161</v>
      </c>
      <c r="P26" s="343" t="n">
        <f aca="false">'DCF Model - Base (1)'!Q68</f>
        <v>14116.8798224066</v>
      </c>
    </row>
    <row r="27" customFormat="false" ht="15" hidden="false" customHeight="false" outlineLevel="0" collapsed="false">
      <c r="A27" s="323"/>
      <c r="B27" s="323" t="s">
        <v>241</v>
      </c>
      <c r="C27" s="324" t="s">
        <v>237</v>
      </c>
      <c r="D27" s="323"/>
      <c r="E27" s="345" t="n">
        <v>0</v>
      </c>
      <c r="F27" s="345" t="n">
        <v>0</v>
      </c>
      <c r="G27" s="345" t="n">
        <v>0</v>
      </c>
      <c r="H27" s="346" t="n">
        <v>0</v>
      </c>
      <c r="I27" s="343" t="n">
        <v>0</v>
      </c>
      <c r="J27" s="343" t="n">
        <v>0</v>
      </c>
      <c r="K27" s="343" t="n">
        <v>0</v>
      </c>
      <c r="L27" s="343" t="n">
        <f aca="false">'DCF Model - Base (1)'!M45</f>
        <v>-4227.70194172242</v>
      </c>
      <c r="M27" s="343" t="n">
        <f aca="false">'DCF Model - Base (1)'!N45</f>
        <v>-3593.97964518773</v>
      </c>
      <c r="N27" s="343" t="n">
        <f aca="false">'DCF Model - Base (1)'!O45</f>
        <v>-2914.13683514335</v>
      </c>
      <c r="O27" s="343" t="n">
        <f aca="false">'DCF Model - Base (1)'!P45</f>
        <v>-2178.88796000244</v>
      </c>
      <c r="P27" s="343" t="n">
        <f aca="false">'DCF Model - Base (1)'!Q45</f>
        <v>-1393.23755069447</v>
      </c>
    </row>
    <row r="28" customFormat="false" ht="15" hidden="false" customHeight="false" outlineLevel="0" collapsed="false">
      <c r="A28" s="323"/>
      <c r="B28" s="347" t="s">
        <v>129</v>
      </c>
      <c r="C28" s="363" t="s">
        <v>237</v>
      </c>
      <c r="D28" s="364"/>
      <c r="E28" s="349" t="n">
        <f aca="false">+SUM(E24:E27)</f>
        <v>0</v>
      </c>
      <c r="F28" s="349" t="n">
        <f aca="false">+SUM(F24:F27)</f>
        <v>0</v>
      </c>
      <c r="G28" s="349" t="n">
        <f aca="false">G24+G25+G27</f>
        <v>43887</v>
      </c>
      <c r="H28" s="349" t="n">
        <f aca="false">H24+H25+H27</f>
        <v>51345</v>
      </c>
      <c r="I28" s="349" t="n">
        <f aca="false">I24+I25+I27</f>
        <v>54847</v>
      </c>
      <c r="J28" s="349" t="n">
        <f aca="false">J24+J25+J27</f>
        <v>57467</v>
      </c>
      <c r="K28" s="349" t="n">
        <f aca="false">K24+K25+K27</f>
        <v>62151</v>
      </c>
      <c r="L28" s="349" t="n">
        <f aca="false">L24+L25+L27</f>
        <v>59961.8508582776</v>
      </c>
      <c r="M28" s="349" t="n">
        <f aca="false">M24+M25+M27</f>
        <v>62700.9904866523</v>
      </c>
      <c r="N28" s="349" t="n">
        <f aca="false">N24+N25+N27</f>
        <v>65555.308317021</v>
      </c>
      <c r="O28" s="349" t="n">
        <f aca="false">O24+O25+O27</f>
        <v>68311.7752130538</v>
      </c>
      <c r="P28" s="349" t="n">
        <f aca="false">P24+P25+P27</f>
        <v>70947.1006240228</v>
      </c>
    </row>
    <row r="29" customFormat="false" ht="15" hidden="false" customHeight="false" outlineLevel="0" collapsed="false">
      <c r="A29" s="323"/>
      <c r="B29" s="323"/>
      <c r="C29" s="324"/>
      <c r="D29" s="323"/>
      <c r="E29" s="352"/>
      <c r="F29" s="352"/>
      <c r="G29" s="352"/>
      <c r="H29" s="353"/>
      <c r="I29" s="365"/>
      <c r="J29" s="365"/>
      <c r="K29" s="365"/>
      <c r="L29" s="365"/>
      <c r="M29" s="365"/>
      <c r="N29" s="365"/>
      <c r="O29" s="365"/>
      <c r="P29" s="365"/>
    </row>
    <row r="30" customFormat="false" ht="15" hidden="false" customHeight="false" outlineLevel="0" collapsed="false">
      <c r="A30" s="331"/>
      <c r="B30" s="331" t="s">
        <v>45</v>
      </c>
      <c r="C30" s="332" t="s">
        <v>237</v>
      </c>
      <c r="D30" s="331"/>
      <c r="E30" s="366" t="n">
        <f aca="false">+E20-E28</f>
        <v>0</v>
      </c>
      <c r="F30" s="366" t="n">
        <f aca="false">+F20-F28</f>
        <v>0</v>
      </c>
      <c r="G30" s="366" t="n">
        <f aca="false">G20-G28</f>
        <v>108949</v>
      </c>
      <c r="H30" s="366" t="n">
        <f aca="false">H20-H28</f>
        <v>119437</v>
      </c>
      <c r="I30" s="366" t="n">
        <f aca="false">I20-I28</f>
        <v>114301</v>
      </c>
      <c r="J30" s="366" t="n">
        <f aca="false">J20-J28</f>
        <v>123216</v>
      </c>
      <c r="K30" s="366" t="n">
        <f aca="false">K20-K28</f>
        <v>133050</v>
      </c>
      <c r="L30" s="366" t="n">
        <f aca="false">L20-L28</f>
        <v>136666.178923099</v>
      </c>
      <c r="M30" s="366" t="n">
        <f aca="false">M20-M28</f>
        <v>140376.438671554</v>
      </c>
      <c r="N30" s="366" t="n">
        <f aca="false">N20-N28</f>
        <v>144183.060517574</v>
      </c>
      <c r="O30" s="366" t="n">
        <f aca="false">O20-O28</f>
        <v>147618.070269538</v>
      </c>
      <c r="P30" s="366" t="n">
        <f aca="false">P20-P28</f>
        <v>150648.744004033</v>
      </c>
    </row>
    <row r="31" customFormat="false" ht="15" hidden="false" customHeight="false" outlineLevel="0" collapsed="false">
      <c r="A31" s="35"/>
      <c r="B31" s="35" t="s">
        <v>242</v>
      </c>
      <c r="C31" s="359" t="s">
        <v>239</v>
      </c>
      <c r="D31" s="35"/>
      <c r="E31" s="360" t="str">
        <f aca="false">+IFERROR(E30/E$12,"n.a.")</f>
        <v>n.a.</v>
      </c>
      <c r="F31" s="360" t="str">
        <f aca="false">+IFERROR(F30/F$12,"n.a.")</f>
        <v>n.a.</v>
      </c>
      <c r="G31" s="360" t="n">
        <f aca="false">IFERROR(G30/G12,0)</f>
        <v>0.297823775275616</v>
      </c>
      <c r="H31" s="361" t="n">
        <f aca="false">IFERROR(H30/H12,0)</f>
        <v>0.302887443955286</v>
      </c>
      <c r="I31" s="340" t="n">
        <f aca="false">IFERROR(I30/I12,0)</f>
        <v>0.298214122650247</v>
      </c>
      <c r="J31" s="340" t="n">
        <f aca="false">IFERROR(J30/J12,0)</f>
        <v>0.315102228700756</v>
      </c>
      <c r="K31" s="340" t="n">
        <f aca="false">IFERROR(K30/K12,0)</f>
        <v>0.319707997625919</v>
      </c>
      <c r="L31" s="340" t="n">
        <f aca="false">IFERROR(L30/L12,0)</f>
        <v>0.317968021365863</v>
      </c>
      <c r="M31" s="340" t="n">
        <f aca="false">IFERROR(M30/M12,0)</f>
        <v>0.316228045105808</v>
      </c>
      <c r="N31" s="340" t="n">
        <f aca="false">IFERROR(N30/N12,0)</f>
        <v>0.314488068845752</v>
      </c>
      <c r="O31" s="340" t="n">
        <f aca="false">IFERROR(O30/O12,0)</f>
        <v>0.312748092585696</v>
      </c>
      <c r="P31" s="340" t="n">
        <f aca="false">IFERROR(P30/P12,0)</f>
        <v>0.311008116325641</v>
      </c>
    </row>
    <row r="32" customFormat="false" ht="15" hidden="false" customHeight="false" outlineLevel="0" collapsed="false">
      <c r="A32" s="323"/>
      <c r="B32" s="323"/>
      <c r="C32" s="324"/>
      <c r="D32" s="323"/>
      <c r="E32" s="352"/>
      <c r="F32" s="352"/>
      <c r="G32" s="367"/>
      <c r="H32" s="368"/>
      <c r="I32" s="362"/>
      <c r="J32" s="323"/>
      <c r="K32" s="323"/>
      <c r="L32" s="369"/>
      <c r="M32" s="369"/>
      <c r="N32" s="369"/>
      <c r="O32" s="369"/>
      <c r="P32" s="369"/>
    </row>
    <row r="33" customFormat="false" ht="15" hidden="false" customHeight="false" outlineLevel="0" collapsed="false">
      <c r="A33" s="323"/>
      <c r="B33" s="323"/>
      <c r="C33" s="324"/>
      <c r="D33" s="323"/>
      <c r="E33" s="323"/>
      <c r="F33" s="323"/>
      <c r="G33" s="367"/>
      <c r="H33" s="368"/>
      <c r="I33" s="323"/>
      <c r="J33" s="323"/>
      <c r="K33" s="323"/>
      <c r="L33" s="323"/>
      <c r="M33" s="323"/>
      <c r="N33" s="323"/>
      <c r="O33" s="323"/>
      <c r="P33" s="323"/>
    </row>
    <row r="34" customFormat="false" ht="18.75" hidden="false" customHeight="true" outlineLevel="0" collapsed="false">
      <c r="A34" s="323"/>
      <c r="B34" s="370" t="s">
        <v>243</v>
      </c>
      <c r="C34" s="371"/>
      <c r="D34" s="323"/>
      <c r="E34" s="323"/>
      <c r="F34" s="323"/>
      <c r="G34" s="367"/>
      <c r="H34" s="368"/>
      <c r="I34" s="323"/>
      <c r="J34" s="323"/>
      <c r="K34" s="323"/>
      <c r="L34" s="323"/>
      <c r="M34" s="323"/>
      <c r="N34" s="323"/>
      <c r="O34" s="323"/>
      <c r="P34" s="323"/>
    </row>
    <row r="35" customFormat="false" ht="18.75" hidden="false" customHeight="true" outlineLevel="0" collapsed="false">
      <c r="A35" s="323"/>
      <c r="B35" s="370" t="s">
        <v>244</v>
      </c>
      <c r="C35" s="372"/>
      <c r="D35" s="323"/>
      <c r="E35" s="323"/>
      <c r="F35" s="323"/>
      <c r="G35" s="327" t="n">
        <v>11085</v>
      </c>
      <c r="H35" s="373" t="n">
        <v>10708</v>
      </c>
      <c r="I35" s="327" t="n">
        <v>10959</v>
      </c>
      <c r="J35" s="327" t="n">
        <v>9447</v>
      </c>
      <c r="K35" s="327" t="n">
        <v>12715</v>
      </c>
      <c r="L35" s="327" t="n">
        <f aca="false">-'DCF Model - Base (1)'!M65</f>
        <v>11935.0431958497</v>
      </c>
      <c r="M35" s="327" t="n">
        <f aca="false">-'DCF Model - Base (1)'!N65</f>
        <v>12326.5126126736</v>
      </c>
      <c r="N35" s="327" t="n">
        <f aca="false">-'DCF Model - Base (1)'!O65</f>
        <v>12730.8222263693</v>
      </c>
      <c r="O35" s="327" t="n">
        <f aca="false">-'DCF Model - Base (1)'!P65</f>
        <v>13106.6360984917</v>
      </c>
      <c r="P35" s="327" t="n">
        <f aca="false">-'DCF Model - Base (1)'!Q65</f>
        <v>13450.5542297161</v>
      </c>
    </row>
    <row r="36" customFormat="false" ht="18.75" hidden="false" customHeight="true" outlineLevel="0" collapsed="false">
      <c r="A36" s="323"/>
      <c r="B36" s="370" t="s">
        <v>245</v>
      </c>
      <c r="C36" s="372"/>
      <c r="D36" s="323"/>
      <c r="E36" s="323"/>
      <c r="F36" s="323"/>
      <c r="G36" s="327" t="n">
        <v>11284</v>
      </c>
      <c r="H36" s="373" t="n">
        <v>11104</v>
      </c>
      <c r="I36" s="327" t="n">
        <v>11519</v>
      </c>
      <c r="J36" s="327" t="n">
        <v>11445</v>
      </c>
      <c r="K36" s="327" t="n">
        <v>11698</v>
      </c>
      <c r="L36" s="327" t="n">
        <f aca="false">'DCF Model - Base (1)'!M68</f>
        <v>12526.2920466733</v>
      </c>
      <c r="M36" s="327" t="n">
        <f aca="false">'DCF Model - Base (1)'!N68</f>
        <v>12937.1544258042</v>
      </c>
      <c r="N36" s="327" t="n">
        <f aca="false">'DCF Model - Base (1)'!O68</f>
        <v>13361.4930909706</v>
      </c>
      <c r="O36" s="327" t="n">
        <f aca="false">'DCF Model - Base (1)'!P68</f>
        <v>13755.9243670161</v>
      </c>
      <c r="P36" s="327" t="n">
        <f aca="false">'DCF Model - Base (1)'!Q68</f>
        <v>14116.8798224066</v>
      </c>
    </row>
    <row r="37" customFormat="false" ht="18.75" hidden="false" customHeight="true" outlineLevel="0" collapsed="false">
      <c r="A37" s="323"/>
      <c r="B37" s="370" t="s">
        <v>246</v>
      </c>
      <c r="C37" s="371"/>
      <c r="D37" s="323"/>
      <c r="E37" s="323"/>
      <c r="F37" s="323"/>
      <c r="G37" s="327" t="n">
        <v>26278</v>
      </c>
      <c r="H37" s="373" t="n">
        <v>28184</v>
      </c>
      <c r="I37" s="327" t="n">
        <v>29508</v>
      </c>
      <c r="J37" s="327" t="n">
        <v>33410</v>
      </c>
      <c r="K37" s="327" t="n">
        <v>39777</v>
      </c>
      <c r="L37" s="327" t="n">
        <f aca="false">'DCF Model - Base (1)'!M20*$C$50/365</f>
        <v>41081.6856</v>
      </c>
      <c r="M37" s="327" t="n">
        <f aca="false">'DCF Model - Base (1)'!N20*$C$50/365</f>
        <v>42429.16488768</v>
      </c>
      <c r="N37" s="327" t="n">
        <f aca="false">'DCF Model - Base (1)'!O20*$C$50/365</f>
        <v>43820.8414959959</v>
      </c>
      <c r="O37" s="327" t="n">
        <f aca="false">'DCF Model - Base (1)'!P20*$C$50/365</f>
        <v>45114.4327369577</v>
      </c>
      <c r="P37" s="327" t="n">
        <f aca="false">'DCF Model - Base (1)'!Q20*$C$50/365</f>
        <v>46298.2354519755</v>
      </c>
    </row>
    <row r="38" customFormat="false" ht="18.75" hidden="false" customHeight="true" outlineLevel="0" collapsed="false">
      <c r="A38" s="323"/>
      <c r="B38" s="370" t="s">
        <v>247</v>
      </c>
      <c r="C38" s="372"/>
      <c r="D38" s="323"/>
      <c r="E38" s="323"/>
      <c r="F38" s="323"/>
      <c r="G38" s="327" t="n">
        <v>6580</v>
      </c>
      <c r="H38" s="373" t="n">
        <v>4946</v>
      </c>
      <c r="I38" s="327" t="n">
        <v>6331</v>
      </c>
      <c r="J38" s="327" t="n">
        <v>7286</v>
      </c>
      <c r="K38" s="327" t="n">
        <v>5718</v>
      </c>
      <c r="L38" s="327" t="n">
        <f aca="false">('DCF Model - Base (1)'!M24+'DCF Model - Base (1)'!M27)*$C$51/365</f>
        <v>6034.30795494428</v>
      </c>
      <c r="M38" s="327" t="n">
        <f aca="false">('DCF Model - Base (1)'!N24+'DCF Model - Base (1)'!N27)*$C$51/365</f>
        <v>6232.23325586645</v>
      </c>
      <c r="N38" s="327" t="n">
        <f aca="false">('DCF Model - Base (1)'!O24+'DCF Model - Base (1)'!O27)*$C$51/365</f>
        <v>6436.65050665887</v>
      </c>
      <c r="O38" s="327" t="n">
        <f aca="false">('DCF Model - Base (1)'!P24+'DCF Model - Base (1)'!P27)*$C$51/365</f>
        <v>6626.66042961544</v>
      </c>
      <c r="P38" s="327" t="n">
        <f aca="false">('DCF Model - Base (1)'!Q24+'DCF Model - Base (1)'!Q27)*$C$51/365</f>
        <v>6800.54399928855</v>
      </c>
    </row>
    <row r="39" customFormat="false" ht="18.75" hidden="false" customHeight="true" outlineLevel="0" collapsed="false">
      <c r="A39" s="323"/>
      <c r="B39" s="370" t="s">
        <v>248</v>
      </c>
      <c r="C39" s="371"/>
      <c r="D39" s="323"/>
      <c r="E39" s="323"/>
      <c r="F39" s="323"/>
      <c r="G39" s="327" t="n">
        <v>54763</v>
      </c>
      <c r="H39" s="373" t="n">
        <v>64115</v>
      </c>
      <c r="I39" s="327" t="n">
        <v>62611</v>
      </c>
      <c r="J39" s="327" t="n">
        <v>68960</v>
      </c>
      <c r="K39" s="327" t="n">
        <v>69860</v>
      </c>
      <c r="L39" s="327" t="n">
        <f aca="false">('DCF Model - Base (1)'!M24+'DCF Model - Base (1)'!M27)*$C$52/365</f>
        <v>73724.5109710401</v>
      </c>
      <c r="M39" s="327" t="n">
        <f aca="false">('DCF Model - Base (1)'!N24+'DCF Model - Base (1)'!N27)*$C$52/365</f>
        <v>76142.6749308902</v>
      </c>
      <c r="N39" s="327" t="n">
        <f aca="false">('DCF Model - Base (1)'!O24+'DCF Model - Base (1)'!O27)*$C$52/365</f>
        <v>78640.1546686235</v>
      </c>
      <c r="O39" s="327" t="n">
        <f aca="false">('DCF Model - Base (1)'!P24+'DCF Model - Base (1)'!P27)*$C$52/365</f>
        <v>80961.6120344412</v>
      </c>
      <c r="P39" s="327" t="n">
        <f aca="false">('DCF Model - Base (1)'!Q24+'DCF Model - Base (1)'!Q27)*$C$52/365</f>
        <v>83086.0447342249</v>
      </c>
    </row>
    <row r="40" customFormat="false" ht="18.75" hidden="false" customHeight="true" outlineLevel="0" collapsed="false">
      <c r="B40" s="370" t="s">
        <v>249</v>
      </c>
      <c r="C40" s="374"/>
      <c r="G40" s="163" t="n">
        <f aca="false">G37+G38-G39</f>
        <v>-21905</v>
      </c>
      <c r="H40" s="163" t="n">
        <f aca="false">H37+H38-H39</f>
        <v>-30985</v>
      </c>
      <c r="I40" s="163" t="n">
        <f aca="false">I37+I38-I39</f>
        <v>-26772</v>
      </c>
      <c r="J40" s="163" t="n">
        <f aca="false">J37+J38-J39</f>
        <v>-28264</v>
      </c>
      <c r="K40" s="163" t="n">
        <f aca="false">K37+K38-K39</f>
        <v>-24365</v>
      </c>
      <c r="L40" s="163" t="n">
        <f aca="false">L37+L38-L39+L12*$C$53</f>
        <v>-26608.5174160959</v>
      </c>
      <c r="M40" s="163" t="n">
        <f aca="false">M37+M38-M39+M12*$C$53</f>
        <v>-27481.2767873438</v>
      </c>
      <c r="N40" s="163" t="n">
        <f aca="false">N37+N38-N39+N12*$C$53</f>
        <v>-28382.6626659687</v>
      </c>
      <c r="O40" s="163" t="n">
        <f aca="false">O37+O38-O39+O12*$C$53</f>
        <v>-29220.5188678681</v>
      </c>
      <c r="P40" s="163" t="n">
        <f aca="false">P37+P38-P39+P12*$C$53</f>
        <v>-29987.2652829609</v>
      </c>
    </row>
    <row r="41" customFormat="false" ht="18.75" hidden="false" customHeight="true" outlineLevel="0" collapsed="false">
      <c r="B41" s="370" t="s">
        <v>250</v>
      </c>
      <c r="C41" s="374"/>
      <c r="H41" s="163" t="n">
        <f aca="false">H40-G40</f>
        <v>-9080</v>
      </c>
      <c r="I41" s="163" t="n">
        <f aca="false">I40-H40</f>
        <v>4213</v>
      </c>
      <c r="J41" s="163" t="n">
        <f aca="false">J40-I40</f>
        <v>-1492</v>
      </c>
      <c r="K41" s="163" t="n">
        <f aca="false">K40-J40</f>
        <v>3899</v>
      </c>
      <c r="L41" s="163" t="n">
        <f aca="false">L40-K40</f>
        <v>-2243.51741609585</v>
      </c>
      <c r="M41" s="163" t="n">
        <f aca="false">M40-L40</f>
        <v>-872.759371247936</v>
      </c>
      <c r="N41" s="163" t="n">
        <f aca="false">N40-M40</f>
        <v>-901.385878624889</v>
      </c>
      <c r="O41" s="163" t="n">
        <f aca="false">O40-N40</f>
        <v>-837.856201899405</v>
      </c>
      <c r="P41" s="163" t="n">
        <f aca="false">P40-O40</f>
        <v>-766.746415092835</v>
      </c>
    </row>
    <row r="42" customFormat="false" ht="18.75" hidden="false" customHeight="true" outlineLevel="0" collapsed="false">
      <c r="B42" s="375"/>
      <c r="C42" s="375"/>
    </row>
    <row r="43" customFormat="false" ht="15" hidden="true" customHeight="false" outlineLevel="0" collapsed="false">
      <c r="A43" s="323"/>
      <c r="B43" s="323" t="s">
        <v>251</v>
      </c>
      <c r="C43" s="324" t="s">
        <v>237</v>
      </c>
      <c r="D43" s="323"/>
      <c r="E43" s="345" t="n">
        <v>0</v>
      </c>
      <c r="F43" s="345" t="n">
        <v>0</v>
      </c>
      <c r="G43" s="345" t="n">
        <v>3033.36376</v>
      </c>
      <c r="H43" s="346" t="n">
        <v>3430.70697</v>
      </c>
      <c r="I43" s="343" t="n">
        <v>3269.76533</v>
      </c>
      <c r="J43" s="343" t="n">
        <v>3269.95133</v>
      </c>
      <c r="K43" s="343" t="n">
        <v>3335.3503566</v>
      </c>
      <c r="L43" s="343" t="n">
        <v>3402.057363732</v>
      </c>
      <c r="M43" s="343" t="n">
        <v>3470.09851100664</v>
      </c>
      <c r="N43" s="343" t="n">
        <v>3539.50048122677</v>
      </c>
      <c r="O43" s="343" t="n">
        <v>3610.29049085131</v>
      </c>
      <c r="P43" s="343" t="n">
        <v>3682.49630066833</v>
      </c>
    </row>
    <row r="49" customFormat="false" ht="15" hidden="false" customHeight="false" outlineLevel="0" collapsed="false">
      <c r="B49" s="376" t="s">
        <v>252</v>
      </c>
    </row>
    <row r="50" customFormat="false" ht="15" hidden="false" customHeight="false" outlineLevel="0" collapsed="false">
      <c r="B50" s="0" t="s">
        <v>253</v>
      </c>
      <c r="C50" s="377" t="n">
        <v>34.8869908520981</v>
      </c>
    </row>
    <row r="51" customFormat="false" ht="15" hidden="false" customHeight="false" outlineLevel="0" collapsed="false">
      <c r="B51" s="0" t="s">
        <v>254</v>
      </c>
      <c r="C51" s="377" t="n">
        <v>9.44546524257784</v>
      </c>
    </row>
    <row r="52" customFormat="false" ht="15" hidden="false" customHeight="false" outlineLevel="0" collapsed="false">
      <c r="B52" s="0" t="s">
        <v>255</v>
      </c>
      <c r="C52" s="377" t="n">
        <v>115.400524981897</v>
      </c>
    </row>
    <row r="53" customFormat="false" ht="15" hidden="false" customHeight="false" outlineLevel="0" collapsed="false">
      <c r="B53" s="0" t="s">
        <v>256</v>
      </c>
      <c r="C53" s="120" t="n">
        <f aca="false">'DCF Model - Base (1)'!$F$10</f>
        <v>0</v>
      </c>
    </row>
  </sheetData>
  <mergeCells count="2">
    <mergeCell ref="G3:H3"/>
    <mergeCell ref="I3:P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25.5" hidden="false" customHeight="true" outlineLevel="0" collapsed="false">
      <c r="A1" s="378" t="s">
        <v>257</v>
      </c>
      <c r="B1" s="378"/>
      <c r="C1" s="378"/>
    </row>
    <row r="2" customFormat="false" ht="31.5" hidden="false" customHeight="true" outlineLevel="0" collapsed="false">
      <c r="A2" s="379" t="s">
        <v>258</v>
      </c>
      <c r="B2" s="379"/>
      <c r="C2" s="379"/>
    </row>
    <row r="3" customFormat="false" ht="15" hidden="false" customHeight="false" outlineLevel="0" collapsed="false">
      <c r="A3" s="380" t="s">
        <v>259</v>
      </c>
      <c r="B3" s="381" t="s">
        <v>260</v>
      </c>
    </row>
    <row r="5" customFormat="false" ht="19.5" hidden="false" customHeight="true" outlineLevel="0" collapsed="false">
      <c r="A5" s="382" t="s">
        <v>261</v>
      </c>
      <c r="B5" s="382" t="s">
        <v>262</v>
      </c>
      <c r="C5" s="382" t="s">
        <v>263</v>
      </c>
    </row>
    <row r="6" customFormat="false" ht="31.5" hidden="false" customHeight="true" outlineLevel="0" collapsed="false">
      <c r="A6" s="383" t="s">
        <v>264</v>
      </c>
      <c r="B6" s="384" t="s">
        <v>265</v>
      </c>
      <c r="C6" s="384" t="s">
        <v>266</v>
      </c>
    </row>
    <row r="7" customFormat="false" ht="31.5" hidden="false" customHeight="true" outlineLevel="0" collapsed="false">
      <c r="A7" s="383" t="s">
        <v>264</v>
      </c>
      <c r="B7" s="384" t="s">
        <v>267</v>
      </c>
      <c r="C7" s="384" t="s">
        <v>268</v>
      </c>
    </row>
    <row r="8" customFormat="false" ht="31.5" hidden="false" customHeight="true" outlineLevel="0" collapsed="false">
      <c r="A8" s="383" t="s">
        <v>264</v>
      </c>
      <c r="B8" s="384" t="s">
        <v>269</v>
      </c>
      <c r="C8" s="384" t="s">
        <v>270</v>
      </c>
    </row>
    <row r="9" customFormat="false" ht="31.5" hidden="false" customHeight="true" outlineLevel="0" collapsed="false">
      <c r="A9" s="383" t="s">
        <v>264</v>
      </c>
      <c r="B9" s="384" t="s">
        <v>271</v>
      </c>
      <c r="C9" s="384" t="s">
        <v>272</v>
      </c>
    </row>
    <row r="10" customFormat="false" ht="31.5" hidden="false" customHeight="true" outlineLevel="0" collapsed="false">
      <c r="A10" s="383" t="s">
        <v>264</v>
      </c>
      <c r="B10" s="384" t="s">
        <v>273</v>
      </c>
      <c r="C10" s="384" t="s">
        <v>274</v>
      </c>
    </row>
    <row r="11" customFormat="false" ht="31.5" hidden="false" customHeight="true" outlineLevel="0" collapsed="false">
      <c r="A11" s="383" t="s">
        <v>264</v>
      </c>
      <c r="B11" s="384" t="s">
        <v>275</v>
      </c>
      <c r="C11" s="384" t="s">
        <v>276</v>
      </c>
    </row>
    <row r="12" customFormat="false" ht="31.5" hidden="false" customHeight="true" outlineLevel="0" collapsed="false">
      <c r="A12" s="383" t="s">
        <v>264</v>
      </c>
      <c r="B12" s="384" t="s">
        <v>277</v>
      </c>
      <c r="C12" s="384" t="s">
        <v>278</v>
      </c>
    </row>
    <row r="13" customFormat="false" ht="31.5" hidden="false" customHeight="true" outlineLevel="0" collapsed="false">
      <c r="A13" s="383" t="s">
        <v>264</v>
      </c>
      <c r="B13" s="384" t="s">
        <v>279</v>
      </c>
      <c r="C13" s="384" t="s">
        <v>280</v>
      </c>
    </row>
    <row r="14" customFormat="false" ht="31.5" hidden="false" customHeight="true" outlineLevel="0" collapsed="false">
      <c r="A14" s="383" t="s">
        <v>264</v>
      </c>
      <c r="B14" s="384" t="s">
        <v>281</v>
      </c>
      <c r="C14" s="384" t="s">
        <v>282</v>
      </c>
    </row>
    <row r="15" customFormat="false" ht="31.5" hidden="false" customHeight="true" outlineLevel="0" collapsed="false">
      <c r="A15" s="383" t="s">
        <v>264</v>
      </c>
      <c r="B15" s="384" t="s">
        <v>283</v>
      </c>
      <c r="C15" s="384" t="s">
        <v>284</v>
      </c>
    </row>
    <row r="16" customFormat="false" ht="31.5" hidden="false" customHeight="true" outlineLevel="0" collapsed="false">
      <c r="A16" s="383" t="s">
        <v>264</v>
      </c>
      <c r="B16" s="384" t="s">
        <v>285</v>
      </c>
      <c r="C16" s="384" t="s">
        <v>286</v>
      </c>
    </row>
    <row r="17" customFormat="false" ht="31.5" hidden="false" customHeight="true" outlineLevel="0" collapsed="false">
      <c r="A17" s="383" t="s">
        <v>264</v>
      </c>
      <c r="B17" s="384" t="s">
        <v>287</v>
      </c>
      <c r="C17" s="384" t="s">
        <v>288</v>
      </c>
    </row>
    <row r="18" customFormat="false" ht="31.5" hidden="false" customHeight="true" outlineLevel="0" collapsed="false">
      <c r="A18" s="383" t="s">
        <v>264</v>
      </c>
      <c r="B18" s="384" t="s">
        <v>289</v>
      </c>
      <c r="C18" s="384" t="s">
        <v>290</v>
      </c>
    </row>
    <row r="19" customFormat="false" ht="31.5" hidden="false" customHeight="true" outlineLevel="0" collapsed="false">
      <c r="A19" s="383" t="s">
        <v>264</v>
      </c>
      <c r="B19" s="384" t="s">
        <v>291</v>
      </c>
      <c r="C19" s="384" t="s">
        <v>292</v>
      </c>
    </row>
    <row r="20" customFormat="false" ht="31.5" hidden="false" customHeight="true" outlineLevel="0" collapsed="false">
      <c r="A20" s="383" t="s">
        <v>264</v>
      </c>
      <c r="B20" s="384" t="s">
        <v>293</v>
      </c>
      <c r="C20" s="384" t="s">
        <v>294</v>
      </c>
    </row>
    <row r="21" customFormat="false" ht="31.5" hidden="false" customHeight="true" outlineLevel="0" collapsed="false">
      <c r="A21" s="383" t="s">
        <v>264</v>
      </c>
      <c r="B21" s="384" t="s">
        <v>295</v>
      </c>
      <c r="C21" s="384" t="s">
        <v>296</v>
      </c>
    </row>
    <row r="22" customFormat="false" ht="31.5" hidden="false" customHeight="true" outlineLevel="0" collapsed="false">
      <c r="A22" s="383" t="s">
        <v>264</v>
      </c>
      <c r="B22" s="384" t="s">
        <v>297</v>
      </c>
      <c r="C22" s="384" t="s">
        <v>298</v>
      </c>
    </row>
    <row r="23" customFormat="false" ht="31.5" hidden="false" customHeight="true" outlineLevel="0" collapsed="false">
      <c r="A23" s="383" t="s">
        <v>264</v>
      </c>
      <c r="B23" s="384" t="s">
        <v>299</v>
      </c>
      <c r="C23" s="384" t="s">
        <v>300</v>
      </c>
    </row>
    <row r="24" customFormat="false" ht="31.5" hidden="false" customHeight="true" outlineLevel="0" collapsed="false">
      <c r="A24" s="383" t="s">
        <v>264</v>
      </c>
      <c r="B24" s="384" t="s">
        <v>301</v>
      </c>
      <c r="C24" s="384" t="s">
        <v>302</v>
      </c>
    </row>
    <row r="25" customFormat="false" ht="31.5" hidden="false" customHeight="true" outlineLevel="0" collapsed="false">
      <c r="A25" s="383" t="s">
        <v>264</v>
      </c>
      <c r="B25" s="384" t="s">
        <v>303</v>
      </c>
      <c r="C25" s="384" t="s">
        <v>304</v>
      </c>
    </row>
    <row r="26" customFormat="false" ht="31.5" hidden="false" customHeight="true" outlineLevel="0" collapsed="false">
      <c r="A26" s="383" t="s">
        <v>264</v>
      </c>
      <c r="B26" s="384" t="s">
        <v>305</v>
      </c>
      <c r="C26" s="384" t="s">
        <v>306</v>
      </c>
    </row>
    <row r="27" customFormat="false" ht="31.5" hidden="false" customHeight="true" outlineLevel="0" collapsed="false">
      <c r="A27" s="383" t="s">
        <v>264</v>
      </c>
      <c r="B27" s="384" t="s">
        <v>307</v>
      </c>
      <c r="C27" s="384" t="s">
        <v>308</v>
      </c>
    </row>
    <row r="28" customFormat="false" ht="31.5" hidden="false" customHeight="true" outlineLevel="0" collapsed="false">
      <c r="A28" s="383" t="s">
        <v>264</v>
      </c>
      <c r="B28" s="384" t="s">
        <v>309</v>
      </c>
      <c r="C28" s="384" t="s">
        <v>310</v>
      </c>
    </row>
    <row r="29" customFormat="false" ht="31.5" hidden="false" customHeight="true" outlineLevel="0" collapsed="false">
      <c r="A29" s="383" t="s">
        <v>264</v>
      </c>
      <c r="B29" s="384" t="s">
        <v>311</v>
      </c>
      <c r="C29" s="384" t="s">
        <v>312</v>
      </c>
    </row>
    <row r="30" customFormat="false" ht="31.5" hidden="false" customHeight="true" outlineLevel="0" collapsed="false">
      <c r="A30" s="383" t="s">
        <v>264</v>
      </c>
      <c r="B30" s="384" t="s">
        <v>313</v>
      </c>
      <c r="C30" s="384" t="s">
        <v>314</v>
      </c>
    </row>
    <row r="31" customFormat="false" ht="31.5" hidden="false" customHeight="true" outlineLevel="0" collapsed="false">
      <c r="A31" s="383" t="s">
        <v>264</v>
      </c>
      <c r="B31" s="384" t="s">
        <v>315</v>
      </c>
      <c r="C31" s="384" t="s">
        <v>316</v>
      </c>
    </row>
    <row r="32" customFormat="false" ht="31.5" hidden="false" customHeight="true" outlineLevel="0" collapsed="false">
      <c r="A32" s="383" t="s">
        <v>264</v>
      </c>
      <c r="B32" s="384" t="s">
        <v>317</v>
      </c>
      <c r="C32" s="384" t="s">
        <v>318</v>
      </c>
    </row>
    <row r="33" customFormat="false" ht="31.5" hidden="false" customHeight="true" outlineLevel="0" collapsed="false">
      <c r="A33" s="383" t="s">
        <v>264</v>
      </c>
      <c r="B33" s="384" t="s">
        <v>319</v>
      </c>
      <c r="C33" s="384" t="s">
        <v>320</v>
      </c>
    </row>
    <row r="34" customFormat="false" ht="31.5" hidden="false" customHeight="true" outlineLevel="0" collapsed="false">
      <c r="A34" s="383" t="s">
        <v>264</v>
      </c>
      <c r="B34" s="384" t="s">
        <v>321</v>
      </c>
      <c r="C34" s="384" t="s">
        <v>322</v>
      </c>
    </row>
    <row r="35" customFormat="false" ht="31.5" hidden="false" customHeight="true" outlineLevel="0" collapsed="false">
      <c r="A35" s="383" t="s">
        <v>264</v>
      </c>
      <c r="B35" s="384" t="s">
        <v>323</v>
      </c>
      <c r="C35" s="384" t="s">
        <v>324</v>
      </c>
    </row>
    <row r="36" customFormat="false" ht="31.5" hidden="false" customHeight="true" outlineLevel="0" collapsed="false">
      <c r="A36" s="385" t="s">
        <v>325</v>
      </c>
      <c r="B36" s="384" t="s">
        <v>326</v>
      </c>
      <c r="C36" s="384" t="s">
        <v>327</v>
      </c>
    </row>
    <row r="37" customFormat="false" ht="31.5" hidden="false" customHeight="true" outlineLevel="0" collapsed="false">
      <c r="A37" s="385" t="s">
        <v>325</v>
      </c>
      <c r="B37" s="384" t="s">
        <v>326</v>
      </c>
      <c r="C37" s="384" t="s">
        <v>328</v>
      </c>
    </row>
    <row r="38" customFormat="false" ht="31.5" hidden="false" customHeight="true" outlineLevel="0" collapsed="false">
      <c r="A38" s="385" t="s">
        <v>325</v>
      </c>
      <c r="B38" s="384" t="s">
        <v>326</v>
      </c>
      <c r="C38" s="384" t="s">
        <v>329</v>
      </c>
    </row>
    <row r="39" customFormat="false" ht="31.5" hidden="false" customHeight="true" outlineLevel="0" collapsed="false">
      <c r="A39" s="385" t="s">
        <v>325</v>
      </c>
      <c r="B39" s="384" t="s">
        <v>326</v>
      </c>
      <c r="C39" s="384" t="s">
        <v>330</v>
      </c>
    </row>
    <row r="40" customFormat="false" ht="31.5" hidden="false" customHeight="true" outlineLevel="0" collapsed="false">
      <c r="A40" s="385" t="s">
        <v>325</v>
      </c>
      <c r="B40" s="384" t="s">
        <v>326</v>
      </c>
      <c r="C40" s="384" t="s">
        <v>331</v>
      </c>
    </row>
    <row r="41" customFormat="false" ht="31.5" hidden="false" customHeight="true" outlineLevel="0" collapsed="false">
      <c r="A41" s="385" t="s">
        <v>325</v>
      </c>
      <c r="B41" s="384" t="s">
        <v>326</v>
      </c>
      <c r="C41" s="384" t="s">
        <v>332</v>
      </c>
    </row>
    <row r="42" customFormat="false" ht="31.5" hidden="false" customHeight="true" outlineLevel="0" collapsed="false">
      <c r="A42" s="385" t="s">
        <v>325</v>
      </c>
      <c r="B42" s="384" t="s">
        <v>326</v>
      </c>
      <c r="C42" s="384" t="s">
        <v>333</v>
      </c>
    </row>
    <row r="43" customFormat="false" ht="31.5" hidden="false" customHeight="true" outlineLevel="0" collapsed="false">
      <c r="A43" s="385" t="s">
        <v>325</v>
      </c>
      <c r="B43" s="384" t="s">
        <v>326</v>
      </c>
      <c r="C43" s="384" t="s">
        <v>334</v>
      </c>
    </row>
    <row r="44" customFormat="false" ht="31.5" hidden="false" customHeight="true" outlineLevel="0" collapsed="false">
      <c r="A44" s="385" t="s">
        <v>325</v>
      </c>
      <c r="B44" s="384" t="s">
        <v>326</v>
      </c>
      <c r="C44" s="384" t="s">
        <v>335</v>
      </c>
    </row>
    <row r="45" customFormat="false" ht="31.5" hidden="false" customHeight="true" outlineLevel="0" collapsed="false">
      <c r="A45" s="385" t="s">
        <v>325</v>
      </c>
      <c r="B45" s="384" t="s">
        <v>326</v>
      </c>
      <c r="C45" s="384" t="s">
        <v>336</v>
      </c>
    </row>
    <row r="46" customFormat="false" ht="31.5" hidden="false" customHeight="true" outlineLevel="0" collapsed="false">
      <c r="A46" s="385" t="s">
        <v>325</v>
      </c>
      <c r="B46" s="384" t="s">
        <v>326</v>
      </c>
      <c r="C46" s="384" t="s">
        <v>337</v>
      </c>
    </row>
    <row r="47" customFormat="false" ht="31.5" hidden="false" customHeight="true" outlineLevel="0" collapsed="false">
      <c r="A47" s="385" t="s">
        <v>325</v>
      </c>
      <c r="B47" s="384" t="s">
        <v>326</v>
      </c>
      <c r="C47" s="384" t="s">
        <v>338</v>
      </c>
    </row>
    <row r="48" customFormat="false" ht="31.5" hidden="false" customHeight="true" outlineLevel="0" collapsed="false">
      <c r="A48" s="385" t="s">
        <v>325</v>
      </c>
      <c r="B48" s="384" t="s">
        <v>326</v>
      </c>
      <c r="C48" s="384" t="s">
        <v>339</v>
      </c>
    </row>
    <row r="49" customFormat="false" ht="31.5" hidden="false" customHeight="true" outlineLevel="0" collapsed="false">
      <c r="A49" s="385" t="s">
        <v>325</v>
      </c>
      <c r="B49" s="384" t="s">
        <v>326</v>
      </c>
      <c r="C49" s="384" t="s">
        <v>340</v>
      </c>
    </row>
    <row r="50" customFormat="false" ht="31.5" hidden="false" customHeight="true" outlineLevel="0" collapsed="false">
      <c r="A50" s="385" t="s">
        <v>325</v>
      </c>
      <c r="B50" s="384" t="s">
        <v>326</v>
      </c>
      <c r="C50" s="384" t="s">
        <v>341</v>
      </c>
    </row>
    <row r="51" customFormat="false" ht="31.5" hidden="false" customHeight="true" outlineLevel="0" collapsed="false">
      <c r="A51" s="385" t="s">
        <v>325</v>
      </c>
      <c r="B51" s="384" t="s">
        <v>326</v>
      </c>
      <c r="C51" s="384" t="s">
        <v>342</v>
      </c>
    </row>
    <row r="52" customFormat="false" ht="31.5" hidden="false" customHeight="true" outlineLevel="0" collapsed="false">
      <c r="A52" s="385" t="s">
        <v>325</v>
      </c>
      <c r="B52" s="384" t="s">
        <v>326</v>
      </c>
      <c r="C52" s="384" t="s">
        <v>343</v>
      </c>
    </row>
    <row r="53" customFormat="false" ht="31.5" hidden="false" customHeight="true" outlineLevel="0" collapsed="false">
      <c r="A53" s="385" t="s">
        <v>325</v>
      </c>
      <c r="B53" s="384" t="s">
        <v>326</v>
      </c>
      <c r="C53" s="384" t="s">
        <v>344</v>
      </c>
    </row>
    <row r="54" customFormat="false" ht="31.5" hidden="false" customHeight="true" outlineLevel="0" collapsed="false">
      <c r="A54" s="385" t="s">
        <v>325</v>
      </c>
      <c r="B54" s="384" t="s">
        <v>326</v>
      </c>
      <c r="C54" s="384" t="s">
        <v>345</v>
      </c>
    </row>
    <row r="55" customFormat="false" ht="31.5" hidden="false" customHeight="true" outlineLevel="0" collapsed="false">
      <c r="A55" s="385" t="s">
        <v>325</v>
      </c>
      <c r="B55" s="384" t="s">
        <v>326</v>
      </c>
      <c r="C55" s="384" t="s">
        <v>346</v>
      </c>
    </row>
    <row r="56" customFormat="false" ht="31.5" hidden="false" customHeight="true" outlineLevel="0" collapsed="false">
      <c r="A56" s="385" t="s">
        <v>325</v>
      </c>
      <c r="B56" s="384" t="s">
        <v>326</v>
      </c>
      <c r="C56" s="384" t="s">
        <v>347</v>
      </c>
    </row>
    <row r="57" customFormat="false" ht="31.5" hidden="false" customHeight="true" outlineLevel="0" collapsed="false">
      <c r="A57" s="385" t="s">
        <v>325</v>
      </c>
      <c r="B57" s="384" t="s">
        <v>326</v>
      </c>
      <c r="C57" s="384" t="s">
        <v>348</v>
      </c>
    </row>
    <row r="58" customFormat="false" ht="31.5" hidden="false" customHeight="true" outlineLevel="0" collapsed="false">
      <c r="A58" s="385" t="s">
        <v>325</v>
      </c>
      <c r="B58" s="384" t="s">
        <v>326</v>
      </c>
      <c r="C58" s="384" t="s">
        <v>349</v>
      </c>
    </row>
    <row r="59" customFormat="false" ht="31.5" hidden="false" customHeight="true" outlineLevel="0" collapsed="false">
      <c r="A59" s="385" t="s">
        <v>325</v>
      </c>
      <c r="B59" s="384" t="s">
        <v>326</v>
      </c>
      <c r="C59" s="384" t="s">
        <v>350</v>
      </c>
    </row>
    <row r="60" customFormat="false" ht="31.5" hidden="false" customHeight="true" outlineLevel="0" collapsed="false">
      <c r="A60" s="385" t="s">
        <v>325</v>
      </c>
      <c r="B60" s="384" t="s">
        <v>326</v>
      </c>
      <c r="C60" s="384" t="s">
        <v>351</v>
      </c>
    </row>
    <row r="61" customFormat="false" ht="31.5" hidden="false" customHeight="true" outlineLevel="0" collapsed="false">
      <c r="A61" s="385" t="s">
        <v>325</v>
      </c>
      <c r="B61" s="384" t="s">
        <v>326</v>
      </c>
      <c r="C61" s="384" t="s">
        <v>352</v>
      </c>
    </row>
    <row r="62" customFormat="false" ht="31.5" hidden="false" customHeight="true" outlineLevel="0" collapsed="false">
      <c r="A62" s="385" t="s">
        <v>325</v>
      </c>
      <c r="B62" s="384" t="s">
        <v>326</v>
      </c>
      <c r="C62" s="384" t="s">
        <v>353</v>
      </c>
    </row>
    <row r="63" customFormat="false" ht="31.5" hidden="false" customHeight="true" outlineLevel="0" collapsed="false">
      <c r="A63" s="385" t="s">
        <v>325</v>
      </c>
      <c r="B63" s="384" t="s">
        <v>326</v>
      </c>
      <c r="C63" s="384" t="s">
        <v>354</v>
      </c>
    </row>
    <row r="64" customFormat="false" ht="31.5" hidden="false" customHeight="true" outlineLevel="0" collapsed="false">
      <c r="A64" s="385" t="s">
        <v>325</v>
      </c>
      <c r="B64" s="384" t="s">
        <v>326</v>
      </c>
      <c r="C64" s="384" t="s">
        <v>355</v>
      </c>
    </row>
    <row r="65" customFormat="false" ht="31.5" hidden="false" customHeight="true" outlineLevel="0" collapsed="false">
      <c r="A65" s="385" t="s">
        <v>325</v>
      </c>
      <c r="B65" s="384" t="s">
        <v>326</v>
      </c>
      <c r="C65" s="384" t="s">
        <v>356</v>
      </c>
    </row>
    <row r="66" customFormat="false" ht="31.5" hidden="false" customHeight="true" outlineLevel="0" collapsed="false">
      <c r="A66" s="385" t="s">
        <v>325</v>
      </c>
      <c r="B66" s="384" t="s">
        <v>326</v>
      </c>
      <c r="C66" s="384" t="s">
        <v>357</v>
      </c>
    </row>
    <row r="67" customFormat="false" ht="31.5" hidden="false" customHeight="true" outlineLevel="0" collapsed="false">
      <c r="A67" s="385" t="s">
        <v>325</v>
      </c>
      <c r="B67" s="384" t="s">
        <v>326</v>
      </c>
      <c r="C67" s="384" t="s">
        <v>358</v>
      </c>
    </row>
    <row r="68" customFormat="false" ht="31.5" hidden="false" customHeight="true" outlineLevel="0" collapsed="false">
      <c r="A68" s="385" t="s">
        <v>325</v>
      </c>
      <c r="B68" s="384" t="s">
        <v>326</v>
      </c>
      <c r="C68" s="384" t="s">
        <v>359</v>
      </c>
    </row>
    <row r="69" customFormat="false" ht="31.5" hidden="false" customHeight="true" outlineLevel="0" collapsed="false">
      <c r="A69" s="385" t="s">
        <v>325</v>
      </c>
      <c r="B69" s="384" t="s">
        <v>326</v>
      </c>
      <c r="C69" s="384" t="s">
        <v>360</v>
      </c>
    </row>
    <row r="70" customFormat="false" ht="31.5" hidden="false" customHeight="true" outlineLevel="0" collapsed="false">
      <c r="A70" s="385" t="s">
        <v>325</v>
      </c>
      <c r="B70" s="384" t="s">
        <v>326</v>
      </c>
      <c r="C70" s="384" t="s">
        <v>361</v>
      </c>
    </row>
    <row r="71" customFormat="false" ht="31.5" hidden="false" customHeight="true" outlineLevel="0" collapsed="false">
      <c r="A71" s="385" t="s">
        <v>325</v>
      </c>
      <c r="B71" s="384" t="s">
        <v>326</v>
      </c>
      <c r="C71" s="384" t="s">
        <v>362</v>
      </c>
    </row>
    <row r="72" customFormat="false" ht="31.5" hidden="false" customHeight="true" outlineLevel="0" collapsed="false">
      <c r="A72" s="385" t="s">
        <v>325</v>
      </c>
      <c r="B72" s="384" t="s">
        <v>326</v>
      </c>
      <c r="C72" s="384" t="s">
        <v>363</v>
      </c>
    </row>
    <row r="73" customFormat="false" ht="31.5" hidden="false" customHeight="true" outlineLevel="0" collapsed="false">
      <c r="A73" s="385" t="s">
        <v>325</v>
      </c>
      <c r="B73" s="384" t="s">
        <v>326</v>
      </c>
      <c r="C73" s="384" t="s">
        <v>364</v>
      </c>
    </row>
    <row r="74" customFormat="false" ht="31.5" hidden="false" customHeight="true" outlineLevel="0" collapsed="false">
      <c r="A74" s="385" t="s">
        <v>325</v>
      </c>
      <c r="B74" s="384" t="s">
        <v>326</v>
      </c>
      <c r="C74" s="384" t="s">
        <v>365</v>
      </c>
    </row>
    <row r="75" customFormat="false" ht="31.5" hidden="false" customHeight="true" outlineLevel="0" collapsed="false">
      <c r="A75" s="385" t="s">
        <v>325</v>
      </c>
      <c r="B75" s="384" t="s">
        <v>326</v>
      </c>
      <c r="C75" s="384" t="s">
        <v>366</v>
      </c>
    </row>
    <row r="76" customFormat="false" ht="31.5" hidden="false" customHeight="true" outlineLevel="0" collapsed="false">
      <c r="A76" s="385" t="s">
        <v>325</v>
      </c>
      <c r="B76" s="384" t="s">
        <v>326</v>
      </c>
      <c r="C76" s="384" t="s">
        <v>367</v>
      </c>
    </row>
    <row r="77" customFormat="false" ht="31.5" hidden="false" customHeight="true" outlineLevel="0" collapsed="false">
      <c r="A77" s="385" t="s">
        <v>325</v>
      </c>
      <c r="B77" s="384" t="s">
        <v>326</v>
      </c>
      <c r="C77" s="384" t="s">
        <v>368</v>
      </c>
    </row>
    <row r="78" customFormat="false" ht="31.5" hidden="false" customHeight="true" outlineLevel="0" collapsed="false">
      <c r="A78" s="385" t="s">
        <v>325</v>
      </c>
      <c r="B78" s="384" t="s">
        <v>326</v>
      </c>
      <c r="C78" s="384" t="s">
        <v>369</v>
      </c>
    </row>
    <row r="79" customFormat="false" ht="31.5" hidden="false" customHeight="true" outlineLevel="0" collapsed="false">
      <c r="A79" s="385" t="s">
        <v>325</v>
      </c>
      <c r="B79" s="384" t="s">
        <v>326</v>
      </c>
      <c r="C79" s="384" t="s">
        <v>370</v>
      </c>
    </row>
    <row r="80" customFormat="false" ht="31.5" hidden="false" customHeight="true" outlineLevel="0" collapsed="false">
      <c r="A80" s="385" t="s">
        <v>325</v>
      </c>
      <c r="B80" s="384" t="s">
        <v>326</v>
      </c>
      <c r="C80" s="384" t="s">
        <v>371</v>
      </c>
    </row>
    <row r="81" customFormat="false" ht="31.5" hidden="false" customHeight="true" outlineLevel="0" collapsed="false">
      <c r="A81" s="385" t="s">
        <v>325</v>
      </c>
      <c r="B81" s="384" t="s">
        <v>326</v>
      </c>
      <c r="C81" s="384" t="s">
        <v>372</v>
      </c>
    </row>
    <row r="82" customFormat="false" ht="31.5" hidden="false" customHeight="true" outlineLevel="0" collapsed="false">
      <c r="A82" s="385" t="s">
        <v>325</v>
      </c>
      <c r="B82" s="384" t="s">
        <v>326</v>
      </c>
      <c r="C82" s="384" t="s">
        <v>373</v>
      </c>
    </row>
    <row r="83" customFormat="false" ht="31.5" hidden="false" customHeight="true" outlineLevel="0" collapsed="false">
      <c r="A83" s="385" t="s">
        <v>325</v>
      </c>
      <c r="B83" s="384" t="s">
        <v>326</v>
      </c>
      <c r="C83" s="384" t="s">
        <v>374</v>
      </c>
    </row>
    <row r="84" customFormat="false" ht="31.5" hidden="false" customHeight="true" outlineLevel="0" collapsed="false">
      <c r="A84" s="385" t="s">
        <v>325</v>
      </c>
      <c r="B84" s="384" t="s">
        <v>326</v>
      </c>
      <c r="C84" s="384" t="s">
        <v>375</v>
      </c>
    </row>
    <row r="85" customFormat="false" ht="31.5" hidden="false" customHeight="true" outlineLevel="0" collapsed="false">
      <c r="A85" s="385" t="s">
        <v>325</v>
      </c>
      <c r="B85" s="384" t="s">
        <v>326</v>
      </c>
      <c r="C85" s="384" t="s">
        <v>376</v>
      </c>
    </row>
    <row r="86" customFormat="false" ht="31.5" hidden="false" customHeight="true" outlineLevel="0" collapsed="false">
      <c r="A86" s="385" t="s">
        <v>325</v>
      </c>
      <c r="B86" s="384" t="s">
        <v>326</v>
      </c>
      <c r="C86" s="384" t="s">
        <v>377</v>
      </c>
    </row>
    <row r="87" customFormat="false" ht="31.5" hidden="false" customHeight="true" outlineLevel="0" collapsed="false">
      <c r="A87" s="385" t="s">
        <v>325</v>
      </c>
      <c r="B87" s="384" t="s">
        <v>326</v>
      </c>
      <c r="C87" s="384" t="s">
        <v>378</v>
      </c>
    </row>
    <row r="88" customFormat="false" ht="31.5" hidden="false" customHeight="true" outlineLevel="0" collapsed="false">
      <c r="A88" s="385" t="s">
        <v>325</v>
      </c>
      <c r="B88" s="384" t="s">
        <v>326</v>
      </c>
      <c r="C88" s="384" t="s">
        <v>379</v>
      </c>
    </row>
    <row r="89" customFormat="false" ht="31.5" hidden="false" customHeight="true" outlineLevel="0" collapsed="false">
      <c r="A89" s="385" t="s">
        <v>325</v>
      </c>
      <c r="B89" s="384" t="s">
        <v>326</v>
      </c>
      <c r="C89" s="384" t="s">
        <v>380</v>
      </c>
    </row>
    <row r="90" customFormat="false" ht="31.5" hidden="false" customHeight="true" outlineLevel="0" collapsed="false">
      <c r="A90" s="385" t="s">
        <v>325</v>
      </c>
      <c r="B90" s="384" t="s">
        <v>326</v>
      </c>
      <c r="C90" s="384" t="s">
        <v>381</v>
      </c>
    </row>
    <row r="91" customFormat="false" ht="31.5" hidden="false" customHeight="true" outlineLevel="0" collapsed="false">
      <c r="A91" s="385" t="s">
        <v>325</v>
      </c>
      <c r="B91" s="384" t="s">
        <v>326</v>
      </c>
      <c r="C91" s="384" t="s">
        <v>382</v>
      </c>
    </row>
    <row r="92" customFormat="false" ht="31.5" hidden="false" customHeight="true" outlineLevel="0" collapsed="false">
      <c r="A92" s="385" t="s">
        <v>325</v>
      </c>
      <c r="B92" s="384" t="s">
        <v>326</v>
      </c>
      <c r="C92" s="384" t="s">
        <v>383</v>
      </c>
    </row>
    <row r="93" customFormat="false" ht="31.5" hidden="false" customHeight="true" outlineLevel="0" collapsed="false">
      <c r="A93" s="385" t="s">
        <v>325</v>
      </c>
      <c r="B93" s="384" t="s">
        <v>326</v>
      </c>
      <c r="C93" s="384" t="s">
        <v>384</v>
      </c>
    </row>
    <row r="94" customFormat="false" ht="31.5" hidden="false" customHeight="true" outlineLevel="0" collapsed="false">
      <c r="A94" s="385" t="s">
        <v>325</v>
      </c>
      <c r="B94" s="384" t="s">
        <v>326</v>
      </c>
      <c r="C94" s="384" t="s">
        <v>385</v>
      </c>
    </row>
    <row r="95" customFormat="false" ht="31.5" hidden="false" customHeight="true" outlineLevel="0" collapsed="false">
      <c r="A95" s="385" t="s">
        <v>325</v>
      </c>
      <c r="B95" s="384" t="s">
        <v>326</v>
      </c>
      <c r="C95" s="384" t="s">
        <v>386</v>
      </c>
    </row>
    <row r="96" customFormat="false" ht="31.5" hidden="false" customHeight="true" outlineLevel="0" collapsed="false">
      <c r="A96" s="385" t="s">
        <v>325</v>
      </c>
      <c r="B96" s="384" t="s">
        <v>326</v>
      </c>
      <c r="C96" s="384" t="s">
        <v>387</v>
      </c>
    </row>
    <row r="97" customFormat="false" ht="31.5" hidden="false" customHeight="true" outlineLevel="0" collapsed="false">
      <c r="A97" s="385" t="s">
        <v>325</v>
      </c>
      <c r="B97" s="384" t="s">
        <v>326</v>
      </c>
      <c r="C97" s="384" t="s">
        <v>388</v>
      </c>
    </row>
    <row r="98" customFormat="false" ht="31.5" hidden="false" customHeight="true" outlineLevel="0" collapsed="false">
      <c r="A98" s="385" t="s">
        <v>325</v>
      </c>
      <c r="B98" s="384" t="s">
        <v>326</v>
      </c>
      <c r="C98" s="384" t="s">
        <v>389</v>
      </c>
    </row>
    <row r="99" customFormat="false" ht="31.5" hidden="false" customHeight="true" outlineLevel="0" collapsed="false">
      <c r="A99" s="385" t="s">
        <v>325</v>
      </c>
      <c r="B99" s="384" t="s">
        <v>326</v>
      </c>
      <c r="C99" s="384" t="s">
        <v>390</v>
      </c>
    </row>
    <row r="100" customFormat="false" ht="31.5" hidden="false" customHeight="true" outlineLevel="0" collapsed="false">
      <c r="A100" s="385" t="s">
        <v>325</v>
      </c>
      <c r="B100" s="384" t="s">
        <v>326</v>
      </c>
      <c r="C100" s="384" t="s">
        <v>391</v>
      </c>
    </row>
    <row r="101" customFormat="false" ht="31.5" hidden="false" customHeight="true" outlineLevel="0" collapsed="false">
      <c r="A101" s="385" t="s">
        <v>325</v>
      </c>
      <c r="B101" s="384" t="s">
        <v>326</v>
      </c>
      <c r="C101" s="384" t="s">
        <v>392</v>
      </c>
    </row>
    <row r="102" customFormat="false" ht="31.5" hidden="false" customHeight="true" outlineLevel="0" collapsed="false">
      <c r="A102" s="385" t="s">
        <v>325</v>
      </c>
      <c r="B102" s="384" t="s">
        <v>326</v>
      </c>
      <c r="C102" s="384" t="s">
        <v>393</v>
      </c>
    </row>
    <row r="103" customFormat="false" ht="31.5" hidden="false" customHeight="true" outlineLevel="0" collapsed="false">
      <c r="A103" s="385" t="s">
        <v>325</v>
      </c>
      <c r="B103" s="384" t="s">
        <v>326</v>
      </c>
      <c r="C103" s="384" t="s">
        <v>394</v>
      </c>
    </row>
    <row r="104" customFormat="false" ht="31.5" hidden="false" customHeight="true" outlineLevel="0" collapsed="false">
      <c r="A104" s="385" t="s">
        <v>325</v>
      </c>
      <c r="B104" s="384" t="s">
        <v>326</v>
      </c>
      <c r="C104" s="384" t="s">
        <v>395</v>
      </c>
    </row>
    <row r="105" customFormat="false" ht="31.5" hidden="false" customHeight="true" outlineLevel="0" collapsed="false">
      <c r="A105" s="385" t="s">
        <v>325</v>
      </c>
      <c r="B105" s="384" t="s">
        <v>326</v>
      </c>
      <c r="C105" s="384" t="s">
        <v>396</v>
      </c>
    </row>
    <row r="106" customFormat="false" ht="31.5" hidden="false" customHeight="true" outlineLevel="0" collapsed="false">
      <c r="A106" s="385" t="s">
        <v>325</v>
      </c>
      <c r="B106" s="384" t="s">
        <v>326</v>
      </c>
      <c r="C106" s="384" t="s">
        <v>397</v>
      </c>
    </row>
    <row r="107" customFormat="false" ht="31.5" hidden="false" customHeight="true" outlineLevel="0" collapsed="false">
      <c r="A107" s="385" t="s">
        <v>325</v>
      </c>
      <c r="B107" s="384" t="s">
        <v>326</v>
      </c>
      <c r="C107" s="384" t="s">
        <v>398</v>
      </c>
    </row>
    <row r="108" customFormat="false" ht="31.5" hidden="false" customHeight="true" outlineLevel="0" collapsed="false">
      <c r="A108" s="385" t="s">
        <v>325</v>
      </c>
      <c r="B108" s="384" t="s">
        <v>326</v>
      </c>
      <c r="C108" s="384" t="s">
        <v>399</v>
      </c>
    </row>
    <row r="109" customFormat="false" ht="31.5" hidden="false" customHeight="true" outlineLevel="0" collapsed="false">
      <c r="A109" s="385" t="s">
        <v>325</v>
      </c>
      <c r="B109" s="384" t="s">
        <v>326</v>
      </c>
      <c r="C109" s="384" t="s">
        <v>400</v>
      </c>
    </row>
    <row r="110" customFormat="false" ht="31.5" hidden="false" customHeight="true" outlineLevel="0" collapsed="false">
      <c r="A110" s="385" t="s">
        <v>325</v>
      </c>
      <c r="B110" s="384" t="s">
        <v>326</v>
      </c>
      <c r="C110" s="384" t="s">
        <v>401</v>
      </c>
    </row>
    <row r="111" customFormat="false" ht="31.5" hidden="false" customHeight="true" outlineLevel="0" collapsed="false">
      <c r="A111" s="385" t="s">
        <v>325</v>
      </c>
      <c r="B111" s="384" t="s">
        <v>326</v>
      </c>
      <c r="C111" s="384" t="s">
        <v>402</v>
      </c>
    </row>
    <row r="112" customFormat="false" ht="31.5" hidden="false" customHeight="true" outlineLevel="0" collapsed="false">
      <c r="A112" s="385" t="s">
        <v>325</v>
      </c>
      <c r="B112" s="384" t="s">
        <v>326</v>
      </c>
      <c r="C112" s="384" t="s">
        <v>403</v>
      </c>
    </row>
    <row r="113" customFormat="false" ht="31.5" hidden="false" customHeight="true" outlineLevel="0" collapsed="false">
      <c r="A113" s="385" t="s">
        <v>325</v>
      </c>
      <c r="B113" s="384" t="s">
        <v>326</v>
      </c>
      <c r="C113" s="384" t="s">
        <v>404</v>
      </c>
    </row>
    <row r="114" customFormat="false" ht="31.5" hidden="false" customHeight="true" outlineLevel="0" collapsed="false">
      <c r="A114" s="385" t="s">
        <v>325</v>
      </c>
      <c r="B114" s="384" t="s">
        <v>326</v>
      </c>
      <c r="C114" s="384" t="s">
        <v>405</v>
      </c>
    </row>
    <row r="115" customFormat="false" ht="31.5" hidden="false" customHeight="true" outlineLevel="0" collapsed="false">
      <c r="A115" s="385" t="s">
        <v>325</v>
      </c>
      <c r="B115" s="384" t="s">
        <v>326</v>
      </c>
      <c r="C115" s="384" t="s">
        <v>406</v>
      </c>
    </row>
    <row r="116" customFormat="false" ht="31.5" hidden="false" customHeight="true" outlineLevel="0" collapsed="false">
      <c r="A116" s="385" t="s">
        <v>325</v>
      </c>
      <c r="B116" s="384" t="s">
        <v>326</v>
      </c>
      <c r="C116" s="384" t="s">
        <v>407</v>
      </c>
    </row>
    <row r="117" customFormat="false" ht="31.5" hidden="false" customHeight="true" outlineLevel="0" collapsed="false">
      <c r="A117" s="385" t="s">
        <v>325</v>
      </c>
      <c r="B117" s="384" t="s">
        <v>326</v>
      </c>
      <c r="C117" s="384" t="s">
        <v>408</v>
      </c>
    </row>
    <row r="118" customFormat="false" ht="31.5" hidden="false" customHeight="true" outlineLevel="0" collapsed="false">
      <c r="A118" s="385" t="s">
        <v>325</v>
      </c>
      <c r="B118" s="384" t="s">
        <v>326</v>
      </c>
      <c r="C118" s="384" t="s">
        <v>409</v>
      </c>
    </row>
    <row r="119" customFormat="false" ht="31.5" hidden="false" customHeight="true" outlineLevel="0" collapsed="false">
      <c r="A119" s="385" t="s">
        <v>325</v>
      </c>
      <c r="B119" s="384" t="s">
        <v>326</v>
      </c>
      <c r="C119" s="384" t="s">
        <v>410</v>
      </c>
    </row>
    <row r="120" customFormat="false" ht="31.5" hidden="false" customHeight="true" outlineLevel="0" collapsed="false">
      <c r="A120" s="385" t="s">
        <v>325</v>
      </c>
      <c r="B120" s="384" t="s">
        <v>326</v>
      </c>
      <c r="C120" s="384" t="s">
        <v>411</v>
      </c>
    </row>
    <row r="121" customFormat="false" ht="31.5" hidden="false" customHeight="true" outlineLevel="0" collapsed="false">
      <c r="A121" s="385" t="s">
        <v>325</v>
      </c>
      <c r="B121" s="384" t="s">
        <v>326</v>
      </c>
      <c r="C121" s="384" t="s">
        <v>412</v>
      </c>
    </row>
    <row r="122" customFormat="false" ht="31.5" hidden="false" customHeight="true" outlineLevel="0" collapsed="false">
      <c r="A122" s="385" t="s">
        <v>325</v>
      </c>
      <c r="B122" s="384" t="s">
        <v>326</v>
      </c>
      <c r="C122" s="384" t="s">
        <v>413</v>
      </c>
    </row>
    <row r="123" customFormat="false" ht="31.5" hidden="false" customHeight="true" outlineLevel="0" collapsed="false">
      <c r="A123" s="385" t="s">
        <v>325</v>
      </c>
      <c r="B123" s="384" t="s">
        <v>326</v>
      </c>
      <c r="C123" s="384" t="s">
        <v>414</v>
      </c>
    </row>
    <row r="124" customFormat="false" ht="31.5" hidden="false" customHeight="true" outlineLevel="0" collapsed="false">
      <c r="A124" s="385" t="s">
        <v>325</v>
      </c>
      <c r="B124" s="384" t="s">
        <v>326</v>
      </c>
      <c r="C124" s="384" t="s">
        <v>415</v>
      </c>
    </row>
    <row r="125" customFormat="false" ht="31.5" hidden="false" customHeight="true" outlineLevel="0" collapsed="false">
      <c r="A125" s="385" t="s">
        <v>325</v>
      </c>
      <c r="B125" s="384" t="s">
        <v>326</v>
      </c>
      <c r="C125" s="384" t="s">
        <v>416</v>
      </c>
    </row>
    <row r="126" customFormat="false" ht="31.5" hidden="false" customHeight="true" outlineLevel="0" collapsed="false">
      <c r="A126" s="385" t="s">
        <v>325</v>
      </c>
      <c r="B126" s="384" t="s">
        <v>326</v>
      </c>
      <c r="C126" s="384" t="s">
        <v>417</v>
      </c>
    </row>
    <row r="127" customFormat="false" ht="31.5" hidden="false" customHeight="true" outlineLevel="0" collapsed="false">
      <c r="A127" s="385" t="s">
        <v>325</v>
      </c>
      <c r="B127" s="384" t="s">
        <v>326</v>
      </c>
      <c r="C127" s="384" t="s">
        <v>418</v>
      </c>
    </row>
    <row r="128" customFormat="false" ht="31.5" hidden="false" customHeight="true" outlineLevel="0" collapsed="false">
      <c r="A128" s="385" t="s">
        <v>325</v>
      </c>
      <c r="B128" s="384" t="s">
        <v>326</v>
      </c>
      <c r="C128" s="384" t="s">
        <v>419</v>
      </c>
    </row>
    <row r="129" customFormat="false" ht="31.5" hidden="false" customHeight="true" outlineLevel="0" collapsed="false">
      <c r="A129" s="385" t="s">
        <v>325</v>
      </c>
      <c r="B129" s="384" t="s">
        <v>326</v>
      </c>
      <c r="C129" s="384" t="s">
        <v>420</v>
      </c>
    </row>
    <row r="130" customFormat="false" ht="31.5" hidden="false" customHeight="true" outlineLevel="0" collapsed="false">
      <c r="A130" s="385" t="s">
        <v>325</v>
      </c>
      <c r="B130" s="384" t="s">
        <v>326</v>
      </c>
      <c r="C130" s="384" t="s">
        <v>421</v>
      </c>
    </row>
    <row r="131" customFormat="false" ht="31.5" hidden="false" customHeight="true" outlineLevel="0" collapsed="false">
      <c r="A131" s="385" t="s">
        <v>325</v>
      </c>
      <c r="B131" s="384" t="s">
        <v>326</v>
      </c>
      <c r="C131" s="384" t="s">
        <v>422</v>
      </c>
    </row>
    <row r="132" customFormat="false" ht="31.5" hidden="false" customHeight="true" outlineLevel="0" collapsed="false">
      <c r="A132" s="385" t="s">
        <v>325</v>
      </c>
      <c r="B132" s="384" t="s">
        <v>326</v>
      </c>
      <c r="C132" s="384" t="s">
        <v>423</v>
      </c>
    </row>
    <row r="133" customFormat="false" ht="31.5" hidden="false" customHeight="true" outlineLevel="0" collapsed="false">
      <c r="A133" s="385" t="s">
        <v>325</v>
      </c>
      <c r="B133" s="384" t="s">
        <v>326</v>
      </c>
      <c r="C133" s="384" t="s">
        <v>424</v>
      </c>
    </row>
    <row r="134" customFormat="false" ht="31.5" hidden="false" customHeight="true" outlineLevel="0" collapsed="false">
      <c r="A134" s="385" t="s">
        <v>325</v>
      </c>
      <c r="B134" s="384" t="s">
        <v>326</v>
      </c>
      <c r="C134" s="384" t="s">
        <v>425</v>
      </c>
    </row>
    <row r="135" customFormat="false" ht="31.5" hidden="false" customHeight="true" outlineLevel="0" collapsed="false">
      <c r="A135" s="385" t="s">
        <v>325</v>
      </c>
      <c r="B135" s="384" t="s">
        <v>326</v>
      </c>
      <c r="C135" s="384" t="s">
        <v>426</v>
      </c>
    </row>
    <row r="136" customFormat="false" ht="31.5" hidden="false" customHeight="true" outlineLevel="0" collapsed="false">
      <c r="A136" s="385" t="s">
        <v>325</v>
      </c>
      <c r="B136" s="384" t="s">
        <v>326</v>
      </c>
      <c r="C136" s="384" t="s">
        <v>427</v>
      </c>
    </row>
    <row r="137" customFormat="false" ht="31.5" hidden="false" customHeight="true" outlineLevel="0" collapsed="false">
      <c r="A137" s="385" t="s">
        <v>325</v>
      </c>
      <c r="B137" s="384" t="s">
        <v>326</v>
      </c>
      <c r="C137" s="384" t="s">
        <v>428</v>
      </c>
    </row>
    <row r="138" customFormat="false" ht="31.5" hidden="false" customHeight="true" outlineLevel="0" collapsed="false">
      <c r="A138" s="385" t="s">
        <v>325</v>
      </c>
      <c r="B138" s="384" t="s">
        <v>326</v>
      </c>
      <c r="C138" s="384" t="s">
        <v>429</v>
      </c>
    </row>
    <row r="139" customFormat="false" ht="31.5" hidden="false" customHeight="true" outlineLevel="0" collapsed="false">
      <c r="A139" s="385" t="s">
        <v>325</v>
      </c>
      <c r="B139" s="384" t="s">
        <v>326</v>
      </c>
      <c r="C139" s="384" t="s">
        <v>430</v>
      </c>
    </row>
    <row r="140" customFormat="false" ht="31.5" hidden="false" customHeight="true" outlineLevel="0" collapsed="false">
      <c r="A140" s="385" t="s">
        <v>325</v>
      </c>
      <c r="B140" s="384" t="s">
        <v>326</v>
      </c>
      <c r="C140" s="384" t="s">
        <v>431</v>
      </c>
    </row>
    <row r="141" customFormat="false" ht="31.5" hidden="false" customHeight="true" outlineLevel="0" collapsed="false">
      <c r="A141" s="385" t="s">
        <v>325</v>
      </c>
      <c r="B141" s="384" t="s">
        <v>326</v>
      </c>
      <c r="C141" s="384" t="s">
        <v>432</v>
      </c>
    </row>
    <row r="142" customFormat="false" ht="31.5" hidden="false" customHeight="true" outlineLevel="0" collapsed="false">
      <c r="A142" s="385" t="s">
        <v>325</v>
      </c>
      <c r="B142" s="384" t="s">
        <v>326</v>
      </c>
      <c r="C142" s="384" t="s">
        <v>433</v>
      </c>
    </row>
    <row r="143" customFormat="false" ht="31.5" hidden="false" customHeight="true" outlineLevel="0" collapsed="false">
      <c r="A143" s="385" t="s">
        <v>325</v>
      </c>
      <c r="B143" s="384" t="s">
        <v>326</v>
      </c>
      <c r="C143" s="384" t="s">
        <v>434</v>
      </c>
    </row>
    <row r="144" customFormat="false" ht="31.5" hidden="false" customHeight="true" outlineLevel="0" collapsed="false">
      <c r="A144" s="385" t="s">
        <v>325</v>
      </c>
      <c r="B144" s="384" t="s">
        <v>326</v>
      </c>
      <c r="C144" s="384" t="s">
        <v>435</v>
      </c>
    </row>
    <row r="145" customFormat="false" ht="31.5" hidden="false" customHeight="true" outlineLevel="0" collapsed="false">
      <c r="A145" s="385" t="s">
        <v>325</v>
      </c>
      <c r="B145" s="384" t="s">
        <v>326</v>
      </c>
      <c r="C145" s="384" t="s">
        <v>436</v>
      </c>
    </row>
    <row r="146" customFormat="false" ht="31.5" hidden="false" customHeight="true" outlineLevel="0" collapsed="false">
      <c r="A146" s="385" t="s">
        <v>325</v>
      </c>
      <c r="B146" s="384" t="s">
        <v>326</v>
      </c>
      <c r="C146" s="384" t="s">
        <v>437</v>
      </c>
    </row>
    <row r="147" customFormat="false" ht="31.5" hidden="false" customHeight="true" outlineLevel="0" collapsed="false">
      <c r="A147" s="385" t="s">
        <v>325</v>
      </c>
      <c r="B147" s="384" t="s">
        <v>326</v>
      </c>
      <c r="C147" s="384" t="s">
        <v>438</v>
      </c>
    </row>
    <row r="148" customFormat="false" ht="31.5" hidden="false" customHeight="true" outlineLevel="0" collapsed="false">
      <c r="A148" s="385" t="s">
        <v>325</v>
      </c>
      <c r="B148" s="384" t="s">
        <v>326</v>
      </c>
      <c r="C148" s="384" t="s">
        <v>439</v>
      </c>
    </row>
    <row r="149" customFormat="false" ht="31.5" hidden="false" customHeight="true" outlineLevel="0" collapsed="false">
      <c r="A149" s="385" t="s">
        <v>325</v>
      </c>
      <c r="B149" s="384" t="s">
        <v>326</v>
      </c>
      <c r="C149" s="384" t="s">
        <v>440</v>
      </c>
    </row>
    <row r="150" customFormat="false" ht="31.5" hidden="false" customHeight="true" outlineLevel="0" collapsed="false">
      <c r="A150" s="385" t="s">
        <v>325</v>
      </c>
      <c r="B150" s="384" t="s">
        <v>326</v>
      </c>
      <c r="C150" s="384" t="s">
        <v>441</v>
      </c>
    </row>
    <row r="151" customFormat="false" ht="31.5" hidden="false" customHeight="true" outlineLevel="0" collapsed="false">
      <c r="A151" s="385" t="s">
        <v>325</v>
      </c>
      <c r="B151" s="384" t="s">
        <v>326</v>
      </c>
      <c r="C151" s="384" t="s">
        <v>442</v>
      </c>
    </row>
    <row r="152" customFormat="false" ht="31.5" hidden="false" customHeight="true" outlineLevel="0" collapsed="false">
      <c r="A152" s="385" t="s">
        <v>325</v>
      </c>
      <c r="B152" s="384" t="s">
        <v>326</v>
      </c>
      <c r="C152" s="384" t="s">
        <v>443</v>
      </c>
    </row>
    <row r="153" customFormat="false" ht="31.5" hidden="false" customHeight="true" outlineLevel="0" collapsed="false">
      <c r="A153" s="385" t="s">
        <v>325</v>
      </c>
      <c r="B153" s="384" t="s">
        <v>326</v>
      </c>
      <c r="C153" s="384" t="s">
        <v>444</v>
      </c>
    </row>
    <row r="154" customFormat="false" ht="31.5" hidden="false" customHeight="true" outlineLevel="0" collapsed="false">
      <c r="A154" s="385" t="s">
        <v>325</v>
      </c>
      <c r="B154" s="384" t="s">
        <v>326</v>
      </c>
      <c r="C154" s="384" t="s">
        <v>445</v>
      </c>
    </row>
    <row r="155" customFormat="false" ht="31.5" hidden="false" customHeight="true" outlineLevel="0" collapsed="false">
      <c r="A155" s="385" t="s">
        <v>325</v>
      </c>
      <c r="B155" s="384" t="s">
        <v>326</v>
      </c>
      <c r="C155" s="384" t="s">
        <v>446</v>
      </c>
    </row>
    <row r="156" customFormat="false" ht="31.5" hidden="false" customHeight="true" outlineLevel="0" collapsed="false">
      <c r="A156" s="385" t="s">
        <v>325</v>
      </c>
      <c r="B156" s="384" t="s">
        <v>326</v>
      </c>
      <c r="C156" s="384" t="s">
        <v>447</v>
      </c>
    </row>
    <row r="157" customFormat="false" ht="31.5" hidden="false" customHeight="true" outlineLevel="0" collapsed="false">
      <c r="A157" s="385" t="s">
        <v>325</v>
      </c>
      <c r="B157" s="384" t="s">
        <v>326</v>
      </c>
      <c r="C157" s="384" t="s">
        <v>448</v>
      </c>
    </row>
    <row r="158" customFormat="false" ht="31.5" hidden="false" customHeight="true" outlineLevel="0" collapsed="false">
      <c r="A158" s="385" t="s">
        <v>325</v>
      </c>
      <c r="B158" s="384" t="s">
        <v>326</v>
      </c>
      <c r="C158" s="384" t="s">
        <v>449</v>
      </c>
    </row>
    <row r="159" customFormat="false" ht="31.5" hidden="false" customHeight="true" outlineLevel="0" collapsed="false">
      <c r="A159" s="385" t="s">
        <v>325</v>
      </c>
      <c r="B159" s="384" t="s">
        <v>326</v>
      </c>
      <c r="C159" s="384" t="s">
        <v>450</v>
      </c>
    </row>
    <row r="160" customFormat="false" ht="31.5" hidden="false" customHeight="true" outlineLevel="0" collapsed="false">
      <c r="A160" s="385" t="s">
        <v>325</v>
      </c>
      <c r="B160" s="384" t="s">
        <v>326</v>
      </c>
      <c r="C160" s="384" t="s">
        <v>451</v>
      </c>
    </row>
    <row r="161" customFormat="false" ht="31.5" hidden="false" customHeight="true" outlineLevel="0" collapsed="false">
      <c r="A161" s="385" t="s">
        <v>325</v>
      </c>
      <c r="B161" s="384" t="s">
        <v>326</v>
      </c>
      <c r="C161" s="384" t="s">
        <v>452</v>
      </c>
    </row>
    <row r="162" customFormat="false" ht="31.5" hidden="false" customHeight="true" outlineLevel="0" collapsed="false">
      <c r="A162" s="385" t="s">
        <v>325</v>
      </c>
      <c r="B162" s="384" t="s">
        <v>326</v>
      </c>
      <c r="C162" s="384" t="s">
        <v>453</v>
      </c>
    </row>
    <row r="163" customFormat="false" ht="31.5" hidden="false" customHeight="true" outlineLevel="0" collapsed="false">
      <c r="A163" s="385" t="s">
        <v>325</v>
      </c>
      <c r="B163" s="384" t="s">
        <v>326</v>
      </c>
      <c r="C163" s="384" t="s">
        <v>454</v>
      </c>
    </row>
    <row r="164" customFormat="false" ht="31.5" hidden="false" customHeight="true" outlineLevel="0" collapsed="false">
      <c r="A164" s="385" t="s">
        <v>325</v>
      </c>
      <c r="B164" s="384" t="s">
        <v>326</v>
      </c>
      <c r="C164" s="384" t="s">
        <v>455</v>
      </c>
    </row>
    <row r="165" customFormat="false" ht="31.5" hidden="false" customHeight="true" outlineLevel="0" collapsed="false">
      <c r="A165" s="385" t="s">
        <v>325</v>
      </c>
      <c r="B165" s="384" t="s">
        <v>326</v>
      </c>
      <c r="C165" s="384" t="s">
        <v>456</v>
      </c>
    </row>
    <row r="166" customFormat="false" ht="31.5" hidden="false" customHeight="true" outlineLevel="0" collapsed="false">
      <c r="A166" s="385" t="s">
        <v>325</v>
      </c>
      <c r="B166" s="384" t="s">
        <v>326</v>
      </c>
      <c r="C166" s="384" t="s">
        <v>457</v>
      </c>
    </row>
    <row r="167" customFormat="false" ht="31.5" hidden="false" customHeight="true" outlineLevel="0" collapsed="false">
      <c r="A167" s="385" t="s">
        <v>325</v>
      </c>
      <c r="B167" s="384" t="s">
        <v>326</v>
      </c>
      <c r="C167" s="384" t="s">
        <v>458</v>
      </c>
    </row>
    <row r="168" customFormat="false" ht="31.5" hidden="false" customHeight="true" outlineLevel="0" collapsed="false">
      <c r="A168" s="385" t="s">
        <v>325</v>
      </c>
      <c r="B168" s="384" t="s">
        <v>326</v>
      </c>
      <c r="C168" s="384" t="s">
        <v>459</v>
      </c>
    </row>
    <row r="169" customFormat="false" ht="31.5" hidden="false" customHeight="true" outlineLevel="0" collapsed="false">
      <c r="A169" s="385" t="s">
        <v>325</v>
      </c>
      <c r="B169" s="384" t="s">
        <v>326</v>
      </c>
      <c r="C169" s="384" t="s">
        <v>460</v>
      </c>
    </row>
    <row r="170" customFormat="false" ht="31.5" hidden="false" customHeight="true" outlineLevel="0" collapsed="false">
      <c r="A170" s="385" t="s">
        <v>325</v>
      </c>
      <c r="B170" s="384" t="s">
        <v>326</v>
      </c>
      <c r="C170" s="384" t="s">
        <v>461</v>
      </c>
    </row>
    <row r="171" customFormat="false" ht="31.5" hidden="false" customHeight="true" outlineLevel="0" collapsed="false">
      <c r="A171" s="385" t="s">
        <v>325</v>
      </c>
      <c r="B171" s="384" t="s">
        <v>326</v>
      </c>
      <c r="C171" s="384" t="s">
        <v>462</v>
      </c>
    </row>
    <row r="172" customFormat="false" ht="31.5" hidden="false" customHeight="true" outlineLevel="0" collapsed="false">
      <c r="A172" s="385" t="s">
        <v>325</v>
      </c>
      <c r="B172" s="384" t="s">
        <v>326</v>
      </c>
      <c r="C172" s="384" t="s">
        <v>463</v>
      </c>
    </row>
    <row r="173" customFormat="false" ht="31.5" hidden="false" customHeight="true" outlineLevel="0" collapsed="false">
      <c r="A173" s="385" t="s">
        <v>325</v>
      </c>
      <c r="B173" s="384" t="s">
        <v>326</v>
      </c>
      <c r="C173" s="384" t="s">
        <v>464</v>
      </c>
    </row>
    <row r="174" customFormat="false" ht="31.5" hidden="false" customHeight="true" outlineLevel="0" collapsed="false">
      <c r="A174" s="385" t="s">
        <v>325</v>
      </c>
      <c r="B174" s="384" t="s">
        <v>326</v>
      </c>
      <c r="C174" s="384" t="s">
        <v>465</v>
      </c>
    </row>
    <row r="175" customFormat="false" ht="31.5" hidden="false" customHeight="true" outlineLevel="0" collapsed="false">
      <c r="A175" s="385" t="s">
        <v>325</v>
      </c>
      <c r="B175" s="384" t="s">
        <v>326</v>
      </c>
      <c r="C175" s="384" t="s">
        <v>466</v>
      </c>
    </row>
    <row r="176" customFormat="false" ht="31.5" hidden="false" customHeight="true" outlineLevel="0" collapsed="false">
      <c r="A176" s="385" t="s">
        <v>325</v>
      </c>
      <c r="B176" s="384" t="s">
        <v>326</v>
      </c>
      <c r="C176" s="384" t="s">
        <v>467</v>
      </c>
    </row>
    <row r="177" customFormat="false" ht="31.5" hidden="false" customHeight="true" outlineLevel="0" collapsed="false">
      <c r="A177" s="385" t="s">
        <v>325</v>
      </c>
      <c r="B177" s="384" t="s">
        <v>326</v>
      </c>
      <c r="C177" s="384" t="s">
        <v>468</v>
      </c>
    </row>
    <row r="178" customFormat="false" ht="31.5" hidden="false" customHeight="true" outlineLevel="0" collapsed="false">
      <c r="A178" s="385" t="s">
        <v>325</v>
      </c>
      <c r="B178" s="384" t="s">
        <v>326</v>
      </c>
      <c r="C178" s="384" t="s">
        <v>469</v>
      </c>
    </row>
    <row r="179" customFormat="false" ht="31.5" hidden="false" customHeight="true" outlineLevel="0" collapsed="false">
      <c r="A179" s="385" t="s">
        <v>325</v>
      </c>
      <c r="B179" s="384" t="s">
        <v>326</v>
      </c>
      <c r="C179" s="384" t="s">
        <v>470</v>
      </c>
    </row>
    <row r="180" customFormat="false" ht="31.5" hidden="false" customHeight="true" outlineLevel="0" collapsed="false">
      <c r="A180" s="385" t="s">
        <v>325</v>
      </c>
      <c r="B180" s="384" t="s">
        <v>326</v>
      </c>
      <c r="C180" s="384" t="s">
        <v>471</v>
      </c>
    </row>
    <row r="181" customFormat="false" ht="31.5" hidden="false" customHeight="true" outlineLevel="0" collapsed="false">
      <c r="A181" s="385" t="s">
        <v>325</v>
      </c>
      <c r="B181" s="384" t="s">
        <v>326</v>
      </c>
      <c r="C181" s="384" t="s">
        <v>472</v>
      </c>
    </row>
    <row r="182" customFormat="false" ht="31.5" hidden="false" customHeight="true" outlineLevel="0" collapsed="false">
      <c r="A182" s="385" t="s">
        <v>325</v>
      </c>
      <c r="B182" s="384" t="s">
        <v>326</v>
      </c>
      <c r="C182" s="384" t="s">
        <v>473</v>
      </c>
    </row>
    <row r="183" customFormat="false" ht="31.5" hidden="false" customHeight="true" outlineLevel="0" collapsed="false">
      <c r="A183" s="385" t="s">
        <v>325</v>
      </c>
      <c r="B183" s="384" t="s">
        <v>326</v>
      </c>
      <c r="C183" s="384" t="s">
        <v>474</v>
      </c>
    </row>
    <row r="184" customFormat="false" ht="31.5" hidden="false" customHeight="true" outlineLevel="0" collapsed="false">
      <c r="A184" s="385" t="s">
        <v>325</v>
      </c>
      <c r="B184" s="384" t="s">
        <v>326</v>
      </c>
      <c r="C184" s="384" t="s">
        <v>475</v>
      </c>
    </row>
    <row r="185" customFormat="false" ht="31.5" hidden="false" customHeight="true" outlineLevel="0" collapsed="false">
      <c r="A185" s="385" t="s">
        <v>325</v>
      </c>
      <c r="B185" s="384" t="s">
        <v>326</v>
      </c>
      <c r="C185" s="384" t="s">
        <v>476</v>
      </c>
    </row>
    <row r="186" customFormat="false" ht="31.5" hidden="false" customHeight="true" outlineLevel="0" collapsed="false">
      <c r="A186" s="385" t="s">
        <v>325</v>
      </c>
      <c r="B186" s="384" t="s">
        <v>326</v>
      </c>
      <c r="C186" s="384" t="s">
        <v>477</v>
      </c>
    </row>
    <row r="187" customFormat="false" ht="31.5" hidden="false" customHeight="true" outlineLevel="0" collapsed="false">
      <c r="A187" s="385" t="s">
        <v>325</v>
      </c>
      <c r="B187" s="384" t="s">
        <v>326</v>
      </c>
      <c r="C187" s="384" t="s">
        <v>478</v>
      </c>
    </row>
    <row r="188" customFormat="false" ht="31.5" hidden="false" customHeight="true" outlineLevel="0" collapsed="false">
      <c r="A188" s="385" t="s">
        <v>325</v>
      </c>
      <c r="B188" s="384" t="s">
        <v>326</v>
      </c>
      <c r="C188" s="384" t="s">
        <v>479</v>
      </c>
    </row>
    <row r="189" customFormat="false" ht="31.5" hidden="false" customHeight="true" outlineLevel="0" collapsed="false">
      <c r="A189" s="385" t="s">
        <v>325</v>
      </c>
      <c r="B189" s="384" t="s">
        <v>326</v>
      </c>
      <c r="C189" s="384" t="s">
        <v>480</v>
      </c>
    </row>
    <row r="190" customFormat="false" ht="31.5" hidden="false" customHeight="true" outlineLevel="0" collapsed="false">
      <c r="A190" s="385" t="s">
        <v>325</v>
      </c>
      <c r="B190" s="384" t="s">
        <v>326</v>
      </c>
      <c r="C190" s="384" t="s">
        <v>481</v>
      </c>
    </row>
    <row r="191" customFormat="false" ht="31.5" hidden="false" customHeight="true" outlineLevel="0" collapsed="false">
      <c r="A191" s="385" t="s">
        <v>325</v>
      </c>
      <c r="B191" s="384" t="s">
        <v>326</v>
      </c>
      <c r="C191" s="384" t="s">
        <v>482</v>
      </c>
    </row>
    <row r="192" customFormat="false" ht="31.5" hidden="false" customHeight="true" outlineLevel="0" collapsed="false">
      <c r="A192" s="385" t="s">
        <v>325</v>
      </c>
      <c r="B192" s="384" t="s">
        <v>326</v>
      </c>
      <c r="C192" s="384" t="s">
        <v>483</v>
      </c>
    </row>
    <row r="193" customFormat="false" ht="31.5" hidden="false" customHeight="true" outlineLevel="0" collapsed="false">
      <c r="A193" s="385" t="s">
        <v>325</v>
      </c>
      <c r="B193" s="384" t="s">
        <v>326</v>
      </c>
      <c r="C193" s="384" t="s">
        <v>484</v>
      </c>
    </row>
    <row r="194" customFormat="false" ht="31.5" hidden="false" customHeight="true" outlineLevel="0" collapsed="false">
      <c r="A194" s="385" t="s">
        <v>325</v>
      </c>
      <c r="B194" s="384" t="s">
        <v>326</v>
      </c>
      <c r="C194" s="384" t="s">
        <v>485</v>
      </c>
    </row>
    <row r="195" customFormat="false" ht="31.5" hidden="false" customHeight="true" outlineLevel="0" collapsed="false">
      <c r="A195" s="385" t="s">
        <v>325</v>
      </c>
      <c r="B195" s="384" t="s">
        <v>326</v>
      </c>
      <c r="C195" s="384" t="s">
        <v>486</v>
      </c>
    </row>
    <row r="196" customFormat="false" ht="31.5" hidden="false" customHeight="true" outlineLevel="0" collapsed="false">
      <c r="A196" s="385" t="s">
        <v>325</v>
      </c>
      <c r="B196" s="384" t="s">
        <v>326</v>
      </c>
      <c r="C196" s="384" t="s">
        <v>487</v>
      </c>
    </row>
    <row r="197" customFormat="false" ht="31.5" hidden="false" customHeight="true" outlineLevel="0" collapsed="false">
      <c r="A197" s="385" t="s">
        <v>325</v>
      </c>
      <c r="B197" s="384" t="s">
        <v>326</v>
      </c>
      <c r="C197" s="384" t="s">
        <v>488</v>
      </c>
    </row>
    <row r="198" customFormat="false" ht="31.5" hidden="false" customHeight="true" outlineLevel="0" collapsed="false">
      <c r="A198" s="385" t="s">
        <v>325</v>
      </c>
      <c r="B198" s="384" t="s">
        <v>326</v>
      </c>
      <c r="C198" s="384" t="s">
        <v>489</v>
      </c>
    </row>
    <row r="199" customFormat="false" ht="31.5" hidden="false" customHeight="true" outlineLevel="0" collapsed="false">
      <c r="A199" s="385" t="s">
        <v>325</v>
      </c>
      <c r="B199" s="384" t="s">
        <v>326</v>
      </c>
      <c r="C199" s="384" t="s">
        <v>490</v>
      </c>
    </row>
    <row r="200" customFormat="false" ht="31.5" hidden="false" customHeight="true" outlineLevel="0" collapsed="false">
      <c r="A200" s="385" t="s">
        <v>325</v>
      </c>
      <c r="B200" s="384" t="s">
        <v>326</v>
      </c>
      <c r="C200" s="384" t="s">
        <v>491</v>
      </c>
    </row>
    <row r="201" customFormat="false" ht="31.5" hidden="false" customHeight="true" outlineLevel="0" collapsed="false">
      <c r="A201" s="385" t="s">
        <v>325</v>
      </c>
      <c r="B201" s="384" t="s">
        <v>326</v>
      </c>
      <c r="C201" s="384" t="s">
        <v>492</v>
      </c>
    </row>
    <row r="202" customFormat="false" ht="31.5" hidden="false" customHeight="true" outlineLevel="0" collapsed="false">
      <c r="A202" s="385" t="s">
        <v>325</v>
      </c>
      <c r="B202" s="384" t="s">
        <v>326</v>
      </c>
      <c r="C202" s="384" t="s">
        <v>493</v>
      </c>
    </row>
    <row r="203" customFormat="false" ht="31.5" hidden="false" customHeight="true" outlineLevel="0" collapsed="false">
      <c r="A203" s="385" t="s">
        <v>325</v>
      </c>
      <c r="B203" s="384" t="s">
        <v>326</v>
      </c>
      <c r="C203" s="384" t="s">
        <v>494</v>
      </c>
    </row>
    <row r="204" customFormat="false" ht="31.5" hidden="false" customHeight="true" outlineLevel="0" collapsed="false">
      <c r="A204" s="385" t="s">
        <v>325</v>
      </c>
      <c r="B204" s="384" t="s">
        <v>326</v>
      </c>
      <c r="C204" s="384" t="s">
        <v>495</v>
      </c>
    </row>
    <row r="205" customFormat="false" ht="31.5" hidden="false" customHeight="true" outlineLevel="0" collapsed="false">
      <c r="A205" s="385" t="s">
        <v>325</v>
      </c>
      <c r="B205" s="384" t="s">
        <v>326</v>
      </c>
      <c r="C205" s="384" t="s">
        <v>496</v>
      </c>
    </row>
    <row r="206" customFormat="false" ht="31.5" hidden="false" customHeight="true" outlineLevel="0" collapsed="false">
      <c r="A206" s="385" t="s">
        <v>325</v>
      </c>
      <c r="B206" s="384" t="s">
        <v>326</v>
      </c>
      <c r="C206" s="384" t="s">
        <v>497</v>
      </c>
    </row>
    <row r="207" customFormat="false" ht="31.5" hidden="false" customHeight="true" outlineLevel="0" collapsed="false">
      <c r="A207" s="385" t="s">
        <v>325</v>
      </c>
      <c r="B207" s="384" t="s">
        <v>326</v>
      </c>
      <c r="C207" s="384" t="s">
        <v>498</v>
      </c>
    </row>
    <row r="208" customFormat="false" ht="31.5" hidden="false" customHeight="true" outlineLevel="0" collapsed="false">
      <c r="A208" s="385" t="s">
        <v>325</v>
      </c>
      <c r="B208" s="384" t="s">
        <v>326</v>
      </c>
      <c r="C208" s="384" t="s">
        <v>499</v>
      </c>
    </row>
    <row r="209" customFormat="false" ht="31.5" hidden="false" customHeight="true" outlineLevel="0" collapsed="false">
      <c r="A209" s="385" t="s">
        <v>325</v>
      </c>
      <c r="B209" s="384" t="s">
        <v>326</v>
      </c>
      <c r="C209" s="384" t="s">
        <v>500</v>
      </c>
    </row>
    <row r="210" customFormat="false" ht="31.5" hidden="false" customHeight="true" outlineLevel="0" collapsed="false">
      <c r="A210" s="385" t="s">
        <v>325</v>
      </c>
      <c r="B210" s="384" t="s">
        <v>326</v>
      </c>
      <c r="C210" s="384" t="s">
        <v>501</v>
      </c>
    </row>
    <row r="211" customFormat="false" ht="31.5" hidden="false" customHeight="true" outlineLevel="0" collapsed="false">
      <c r="A211" s="385" t="s">
        <v>325</v>
      </c>
      <c r="B211" s="384" t="s">
        <v>326</v>
      </c>
      <c r="C211" s="384" t="s">
        <v>502</v>
      </c>
    </row>
    <row r="212" customFormat="false" ht="31.5" hidden="false" customHeight="true" outlineLevel="0" collapsed="false">
      <c r="A212" s="385" t="s">
        <v>325</v>
      </c>
      <c r="B212" s="384" t="s">
        <v>326</v>
      </c>
      <c r="C212" s="384" t="s">
        <v>503</v>
      </c>
    </row>
    <row r="213" customFormat="false" ht="31.5" hidden="false" customHeight="true" outlineLevel="0" collapsed="false">
      <c r="A213" s="385" t="s">
        <v>325</v>
      </c>
      <c r="B213" s="384" t="s">
        <v>326</v>
      </c>
      <c r="C213" s="384" t="s">
        <v>504</v>
      </c>
    </row>
    <row r="214" customFormat="false" ht="31.5" hidden="false" customHeight="true" outlineLevel="0" collapsed="false">
      <c r="A214" s="385" t="s">
        <v>325</v>
      </c>
      <c r="B214" s="384" t="s">
        <v>326</v>
      </c>
      <c r="C214" s="384" t="s">
        <v>505</v>
      </c>
    </row>
    <row r="215" customFormat="false" ht="31.5" hidden="false" customHeight="true" outlineLevel="0" collapsed="false">
      <c r="A215" s="385" t="s">
        <v>325</v>
      </c>
      <c r="B215" s="384" t="s">
        <v>326</v>
      </c>
      <c r="C215" s="384" t="s">
        <v>506</v>
      </c>
    </row>
    <row r="216" customFormat="false" ht="31.5" hidden="false" customHeight="true" outlineLevel="0" collapsed="false">
      <c r="A216" s="385" t="s">
        <v>325</v>
      </c>
      <c r="B216" s="384" t="s">
        <v>326</v>
      </c>
      <c r="C216" s="384" t="s">
        <v>507</v>
      </c>
    </row>
    <row r="217" customFormat="false" ht="31.5" hidden="false" customHeight="true" outlineLevel="0" collapsed="false">
      <c r="A217" s="385" t="s">
        <v>325</v>
      </c>
      <c r="B217" s="384" t="s">
        <v>326</v>
      </c>
      <c r="C217" s="384" t="s">
        <v>508</v>
      </c>
    </row>
    <row r="218" customFormat="false" ht="31.5" hidden="false" customHeight="true" outlineLevel="0" collapsed="false">
      <c r="A218" s="385" t="s">
        <v>325</v>
      </c>
      <c r="B218" s="384" t="s">
        <v>326</v>
      </c>
      <c r="C218" s="384" t="s">
        <v>509</v>
      </c>
    </row>
    <row r="219" customFormat="false" ht="31.5" hidden="false" customHeight="true" outlineLevel="0" collapsed="false">
      <c r="A219" s="385" t="s">
        <v>325</v>
      </c>
      <c r="B219" s="384" t="s">
        <v>326</v>
      </c>
      <c r="C219" s="384" t="s">
        <v>510</v>
      </c>
    </row>
    <row r="220" customFormat="false" ht="31.5" hidden="false" customHeight="true" outlineLevel="0" collapsed="false">
      <c r="A220" s="385" t="s">
        <v>325</v>
      </c>
      <c r="B220" s="384" t="s">
        <v>326</v>
      </c>
      <c r="C220" s="384" t="s">
        <v>511</v>
      </c>
    </row>
    <row r="221" customFormat="false" ht="31.5" hidden="false" customHeight="true" outlineLevel="0" collapsed="false">
      <c r="A221" s="385" t="s">
        <v>325</v>
      </c>
      <c r="B221" s="384" t="s">
        <v>326</v>
      </c>
      <c r="C221" s="384" t="s">
        <v>512</v>
      </c>
    </row>
    <row r="222" customFormat="false" ht="31.5" hidden="false" customHeight="true" outlineLevel="0" collapsed="false">
      <c r="A222" s="385" t="s">
        <v>325</v>
      </c>
      <c r="B222" s="384" t="s">
        <v>326</v>
      </c>
      <c r="C222" s="384" t="s">
        <v>513</v>
      </c>
    </row>
    <row r="223" customFormat="false" ht="31.5" hidden="false" customHeight="true" outlineLevel="0" collapsed="false">
      <c r="A223" s="385" t="s">
        <v>325</v>
      </c>
      <c r="B223" s="384" t="s">
        <v>326</v>
      </c>
      <c r="C223" s="384" t="s">
        <v>514</v>
      </c>
    </row>
    <row r="224" customFormat="false" ht="31.5" hidden="false" customHeight="true" outlineLevel="0" collapsed="false">
      <c r="A224" s="385" t="s">
        <v>325</v>
      </c>
      <c r="B224" s="384" t="s">
        <v>326</v>
      </c>
      <c r="C224" s="384" t="s">
        <v>515</v>
      </c>
    </row>
    <row r="225" customFormat="false" ht="31.5" hidden="false" customHeight="true" outlineLevel="0" collapsed="false">
      <c r="A225" s="385" t="s">
        <v>325</v>
      </c>
      <c r="B225" s="384" t="s">
        <v>326</v>
      </c>
      <c r="C225" s="384" t="s">
        <v>516</v>
      </c>
    </row>
    <row r="226" customFormat="false" ht="31.5" hidden="false" customHeight="true" outlineLevel="0" collapsed="false">
      <c r="A226" s="385" t="s">
        <v>325</v>
      </c>
      <c r="B226" s="384" t="s">
        <v>326</v>
      </c>
      <c r="C226" s="384" t="s">
        <v>517</v>
      </c>
    </row>
    <row r="227" customFormat="false" ht="31.5" hidden="false" customHeight="true" outlineLevel="0" collapsed="false">
      <c r="A227" s="385" t="s">
        <v>325</v>
      </c>
      <c r="B227" s="384" t="s">
        <v>326</v>
      </c>
      <c r="C227" s="384" t="s">
        <v>518</v>
      </c>
    </row>
    <row r="228" customFormat="false" ht="31.5" hidden="false" customHeight="true" outlineLevel="0" collapsed="false">
      <c r="A228" s="385" t="s">
        <v>325</v>
      </c>
      <c r="B228" s="384" t="s">
        <v>326</v>
      </c>
      <c r="C228" s="384" t="s">
        <v>519</v>
      </c>
    </row>
    <row r="229" customFormat="false" ht="31.5" hidden="false" customHeight="true" outlineLevel="0" collapsed="false">
      <c r="A229" s="385" t="s">
        <v>325</v>
      </c>
      <c r="B229" s="384" t="s">
        <v>326</v>
      </c>
      <c r="C229" s="384" t="s">
        <v>520</v>
      </c>
    </row>
    <row r="230" customFormat="false" ht="31.5" hidden="false" customHeight="true" outlineLevel="0" collapsed="false">
      <c r="A230" s="385" t="s">
        <v>325</v>
      </c>
      <c r="B230" s="384" t="s">
        <v>326</v>
      </c>
      <c r="C230" s="384" t="s">
        <v>521</v>
      </c>
    </row>
    <row r="231" customFormat="false" ht="31.5" hidden="false" customHeight="true" outlineLevel="0" collapsed="false">
      <c r="A231" s="385" t="s">
        <v>325</v>
      </c>
      <c r="B231" s="384" t="s">
        <v>326</v>
      </c>
      <c r="C231" s="384" t="s">
        <v>522</v>
      </c>
    </row>
    <row r="232" customFormat="false" ht="31.5" hidden="false" customHeight="true" outlineLevel="0" collapsed="false">
      <c r="A232" s="385" t="s">
        <v>325</v>
      </c>
      <c r="B232" s="384" t="s">
        <v>326</v>
      </c>
      <c r="C232" s="384" t="s">
        <v>523</v>
      </c>
    </row>
    <row r="233" customFormat="false" ht="31.5" hidden="false" customHeight="true" outlineLevel="0" collapsed="false">
      <c r="A233" s="385" t="s">
        <v>325</v>
      </c>
      <c r="B233" s="384" t="s">
        <v>326</v>
      </c>
      <c r="C233" s="384" t="s">
        <v>524</v>
      </c>
    </row>
    <row r="234" customFormat="false" ht="31.5" hidden="false" customHeight="true" outlineLevel="0" collapsed="false">
      <c r="A234" s="385" t="s">
        <v>325</v>
      </c>
      <c r="B234" s="384" t="s">
        <v>326</v>
      </c>
      <c r="C234" s="384" t="s">
        <v>525</v>
      </c>
    </row>
    <row r="235" customFormat="false" ht="31.5" hidden="false" customHeight="true" outlineLevel="0" collapsed="false">
      <c r="A235" s="385" t="s">
        <v>325</v>
      </c>
      <c r="B235" s="384" t="s">
        <v>326</v>
      </c>
      <c r="C235" s="384" t="s">
        <v>526</v>
      </c>
    </row>
    <row r="236" customFormat="false" ht="31.5" hidden="false" customHeight="true" outlineLevel="0" collapsed="false">
      <c r="A236" s="385" t="s">
        <v>325</v>
      </c>
      <c r="B236" s="384" t="s">
        <v>326</v>
      </c>
      <c r="C236" s="384" t="s">
        <v>527</v>
      </c>
    </row>
    <row r="237" customFormat="false" ht="31.5" hidden="false" customHeight="true" outlineLevel="0" collapsed="false">
      <c r="A237" s="385" t="s">
        <v>325</v>
      </c>
      <c r="B237" s="384" t="s">
        <v>326</v>
      </c>
      <c r="C237" s="384" t="s">
        <v>528</v>
      </c>
    </row>
    <row r="238" customFormat="false" ht="31.5" hidden="false" customHeight="true" outlineLevel="0" collapsed="false">
      <c r="A238" s="385" t="s">
        <v>325</v>
      </c>
      <c r="B238" s="384" t="s">
        <v>326</v>
      </c>
      <c r="C238" s="384" t="s">
        <v>529</v>
      </c>
    </row>
    <row r="239" customFormat="false" ht="31.5" hidden="false" customHeight="true" outlineLevel="0" collapsed="false">
      <c r="A239" s="385" t="s">
        <v>325</v>
      </c>
      <c r="B239" s="384" t="s">
        <v>326</v>
      </c>
      <c r="C239" s="384" t="s">
        <v>530</v>
      </c>
    </row>
    <row r="240" customFormat="false" ht="31.5" hidden="false" customHeight="true" outlineLevel="0" collapsed="false">
      <c r="A240" s="385" t="s">
        <v>325</v>
      </c>
      <c r="B240" s="384" t="s">
        <v>326</v>
      </c>
      <c r="C240" s="384" t="s">
        <v>531</v>
      </c>
    </row>
    <row r="241" customFormat="false" ht="31.5" hidden="false" customHeight="true" outlineLevel="0" collapsed="false">
      <c r="A241" s="385" t="s">
        <v>325</v>
      </c>
      <c r="B241" s="384" t="s">
        <v>326</v>
      </c>
      <c r="C241" s="384" t="s">
        <v>532</v>
      </c>
    </row>
    <row r="242" customFormat="false" ht="31.5" hidden="false" customHeight="true" outlineLevel="0" collapsed="false">
      <c r="A242" s="385" t="s">
        <v>325</v>
      </c>
      <c r="B242" s="384" t="s">
        <v>326</v>
      </c>
      <c r="C242" s="384" t="s">
        <v>533</v>
      </c>
    </row>
    <row r="243" customFormat="false" ht="31.5" hidden="false" customHeight="true" outlineLevel="0" collapsed="false">
      <c r="A243" s="385" t="s">
        <v>325</v>
      </c>
      <c r="B243" s="384" t="s">
        <v>326</v>
      </c>
      <c r="C243" s="384" t="s">
        <v>534</v>
      </c>
    </row>
    <row r="244" customFormat="false" ht="31.5" hidden="false" customHeight="true" outlineLevel="0" collapsed="false">
      <c r="A244" s="385" t="s">
        <v>325</v>
      </c>
      <c r="B244" s="384" t="s">
        <v>326</v>
      </c>
      <c r="C244" s="384" t="s">
        <v>535</v>
      </c>
    </row>
    <row r="245" customFormat="false" ht="31.5" hidden="false" customHeight="true" outlineLevel="0" collapsed="false">
      <c r="A245" s="385" t="s">
        <v>325</v>
      </c>
      <c r="B245" s="384" t="s">
        <v>326</v>
      </c>
      <c r="C245" s="384" t="s">
        <v>536</v>
      </c>
    </row>
    <row r="246" customFormat="false" ht="31.5" hidden="false" customHeight="true" outlineLevel="0" collapsed="false">
      <c r="A246" s="385" t="s">
        <v>325</v>
      </c>
      <c r="B246" s="384" t="s">
        <v>326</v>
      </c>
      <c r="C246" s="384" t="s">
        <v>537</v>
      </c>
    </row>
    <row r="247" customFormat="false" ht="31.5" hidden="false" customHeight="true" outlineLevel="0" collapsed="false">
      <c r="A247" s="385" t="s">
        <v>325</v>
      </c>
      <c r="B247" s="384" t="s">
        <v>326</v>
      </c>
      <c r="C247" s="384" t="s">
        <v>538</v>
      </c>
    </row>
    <row r="248" customFormat="false" ht="31.5" hidden="false" customHeight="true" outlineLevel="0" collapsed="false">
      <c r="A248" s="385" t="s">
        <v>325</v>
      </c>
      <c r="B248" s="384" t="s">
        <v>326</v>
      </c>
      <c r="C248" s="384" t="s">
        <v>539</v>
      </c>
    </row>
    <row r="249" customFormat="false" ht="31.5" hidden="false" customHeight="true" outlineLevel="0" collapsed="false">
      <c r="A249" s="385" t="s">
        <v>325</v>
      </c>
      <c r="B249" s="384" t="s">
        <v>326</v>
      </c>
      <c r="C249" s="384" t="s">
        <v>540</v>
      </c>
    </row>
    <row r="250" customFormat="false" ht="31.5" hidden="false" customHeight="true" outlineLevel="0" collapsed="false">
      <c r="A250" s="385" t="s">
        <v>325</v>
      </c>
      <c r="B250" s="384" t="s">
        <v>326</v>
      </c>
      <c r="C250" s="384" t="s">
        <v>541</v>
      </c>
    </row>
    <row r="251" customFormat="false" ht="31.5" hidden="false" customHeight="true" outlineLevel="0" collapsed="false">
      <c r="A251" s="385" t="s">
        <v>325</v>
      </c>
      <c r="B251" s="384" t="s">
        <v>326</v>
      </c>
      <c r="C251" s="384" t="s">
        <v>542</v>
      </c>
    </row>
    <row r="252" customFormat="false" ht="31.5" hidden="false" customHeight="true" outlineLevel="0" collapsed="false">
      <c r="A252" s="385" t="s">
        <v>325</v>
      </c>
      <c r="B252" s="384" t="s">
        <v>326</v>
      </c>
      <c r="C252" s="384" t="s">
        <v>543</v>
      </c>
    </row>
    <row r="253" customFormat="false" ht="31.5" hidden="false" customHeight="true" outlineLevel="0" collapsed="false">
      <c r="A253" s="385" t="s">
        <v>325</v>
      </c>
      <c r="B253" s="384" t="s">
        <v>326</v>
      </c>
      <c r="C253" s="384" t="s">
        <v>544</v>
      </c>
    </row>
    <row r="254" customFormat="false" ht="31.5" hidden="false" customHeight="true" outlineLevel="0" collapsed="false">
      <c r="A254" s="385" t="s">
        <v>325</v>
      </c>
      <c r="B254" s="384" t="s">
        <v>326</v>
      </c>
      <c r="C254" s="384" t="s">
        <v>545</v>
      </c>
    </row>
    <row r="255" customFormat="false" ht="31.5" hidden="false" customHeight="true" outlineLevel="0" collapsed="false">
      <c r="A255" s="385" t="s">
        <v>325</v>
      </c>
      <c r="B255" s="384" t="s">
        <v>326</v>
      </c>
      <c r="C255" s="384" t="s">
        <v>546</v>
      </c>
    </row>
    <row r="256" customFormat="false" ht="31.5" hidden="false" customHeight="true" outlineLevel="0" collapsed="false">
      <c r="A256" s="385" t="s">
        <v>325</v>
      </c>
      <c r="B256" s="384" t="s">
        <v>326</v>
      </c>
      <c r="C256" s="384" t="s">
        <v>547</v>
      </c>
    </row>
    <row r="257" customFormat="false" ht="31.5" hidden="false" customHeight="true" outlineLevel="0" collapsed="false">
      <c r="A257" s="385" t="s">
        <v>325</v>
      </c>
      <c r="B257" s="384" t="s">
        <v>326</v>
      </c>
      <c r="C257" s="384" t="s">
        <v>548</v>
      </c>
    </row>
    <row r="258" customFormat="false" ht="31.5" hidden="false" customHeight="true" outlineLevel="0" collapsed="false">
      <c r="A258" s="385" t="s">
        <v>325</v>
      </c>
      <c r="B258" s="384" t="s">
        <v>326</v>
      </c>
      <c r="C258" s="384" t="s">
        <v>549</v>
      </c>
    </row>
    <row r="259" customFormat="false" ht="31.5" hidden="false" customHeight="true" outlineLevel="0" collapsed="false">
      <c r="A259" s="385" t="s">
        <v>325</v>
      </c>
      <c r="B259" s="384" t="s">
        <v>326</v>
      </c>
      <c r="C259" s="384" t="s">
        <v>550</v>
      </c>
    </row>
    <row r="260" customFormat="false" ht="31.5" hidden="false" customHeight="true" outlineLevel="0" collapsed="false">
      <c r="A260" s="385" t="s">
        <v>325</v>
      </c>
      <c r="B260" s="384" t="s">
        <v>326</v>
      </c>
      <c r="C260" s="384" t="s">
        <v>551</v>
      </c>
    </row>
    <row r="261" customFormat="false" ht="31.5" hidden="false" customHeight="true" outlineLevel="0" collapsed="false">
      <c r="A261" s="385" t="s">
        <v>325</v>
      </c>
      <c r="B261" s="384" t="s">
        <v>326</v>
      </c>
      <c r="C261" s="384" t="s">
        <v>552</v>
      </c>
    </row>
    <row r="262" customFormat="false" ht="31.5" hidden="false" customHeight="true" outlineLevel="0" collapsed="false">
      <c r="A262" s="385" t="s">
        <v>325</v>
      </c>
      <c r="B262" s="384" t="s">
        <v>326</v>
      </c>
      <c r="C262" s="384" t="s">
        <v>553</v>
      </c>
    </row>
    <row r="263" customFormat="false" ht="31.5" hidden="false" customHeight="true" outlineLevel="0" collapsed="false">
      <c r="A263" s="385" t="s">
        <v>325</v>
      </c>
      <c r="B263" s="384" t="s">
        <v>326</v>
      </c>
      <c r="C263" s="384" t="s">
        <v>554</v>
      </c>
    </row>
    <row r="264" customFormat="false" ht="31.5" hidden="false" customHeight="true" outlineLevel="0" collapsed="false">
      <c r="A264" s="385" t="s">
        <v>325</v>
      </c>
      <c r="B264" s="384" t="s">
        <v>326</v>
      </c>
      <c r="C264" s="384" t="s">
        <v>555</v>
      </c>
    </row>
    <row r="265" customFormat="false" ht="31.5" hidden="false" customHeight="true" outlineLevel="0" collapsed="false">
      <c r="A265" s="385" t="s">
        <v>325</v>
      </c>
      <c r="B265" s="384" t="s">
        <v>326</v>
      </c>
      <c r="C265" s="384" t="s">
        <v>556</v>
      </c>
    </row>
    <row r="266" customFormat="false" ht="31.5" hidden="false" customHeight="true" outlineLevel="0" collapsed="false">
      <c r="A266" s="385" t="s">
        <v>325</v>
      </c>
      <c r="B266" s="384" t="s">
        <v>326</v>
      </c>
      <c r="C266" s="384" t="s">
        <v>557</v>
      </c>
    </row>
    <row r="267" customFormat="false" ht="31.5" hidden="false" customHeight="true" outlineLevel="0" collapsed="false">
      <c r="A267" s="385" t="s">
        <v>325</v>
      </c>
      <c r="B267" s="384" t="s">
        <v>326</v>
      </c>
      <c r="C267" s="384" t="s">
        <v>558</v>
      </c>
    </row>
    <row r="268" customFormat="false" ht="31.5" hidden="false" customHeight="true" outlineLevel="0" collapsed="false">
      <c r="A268" s="385" t="s">
        <v>325</v>
      </c>
      <c r="B268" s="384" t="s">
        <v>326</v>
      </c>
      <c r="C268" s="384" t="s">
        <v>559</v>
      </c>
    </row>
    <row r="269" customFormat="false" ht="31.5" hidden="false" customHeight="true" outlineLevel="0" collapsed="false">
      <c r="A269" s="385" t="s">
        <v>325</v>
      </c>
      <c r="B269" s="384" t="s">
        <v>326</v>
      </c>
      <c r="C269" s="384" t="s">
        <v>560</v>
      </c>
    </row>
    <row r="270" customFormat="false" ht="31.5" hidden="false" customHeight="true" outlineLevel="0" collapsed="false">
      <c r="A270" s="385" t="s">
        <v>325</v>
      </c>
      <c r="B270" s="384" t="s">
        <v>326</v>
      </c>
      <c r="C270" s="384" t="s">
        <v>561</v>
      </c>
    </row>
    <row r="271" customFormat="false" ht="31.5" hidden="false" customHeight="true" outlineLevel="0" collapsed="false">
      <c r="A271" s="385" t="s">
        <v>325</v>
      </c>
      <c r="B271" s="384" t="s">
        <v>326</v>
      </c>
      <c r="C271" s="384" t="s">
        <v>562</v>
      </c>
    </row>
    <row r="272" customFormat="false" ht="31.5" hidden="false" customHeight="true" outlineLevel="0" collapsed="false">
      <c r="A272" s="385" t="s">
        <v>325</v>
      </c>
      <c r="B272" s="384" t="s">
        <v>326</v>
      </c>
      <c r="C272" s="384" t="s">
        <v>563</v>
      </c>
    </row>
    <row r="273" customFormat="false" ht="31.5" hidden="false" customHeight="true" outlineLevel="0" collapsed="false">
      <c r="A273" s="385" t="s">
        <v>325</v>
      </c>
      <c r="B273" s="384" t="s">
        <v>326</v>
      </c>
      <c r="C273" s="384" t="s">
        <v>564</v>
      </c>
    </row>
    <row r="274" customFormat="false" ht="31.5" hidden="false" customHeight="true" outlineLevel="0" collapsed="false">
      <c r="A274" s="385" t="s">
        <v>325</v>
      </c>
      <c r="B274" s="384" t="s">
        <v>326</v>
      </c>
      <c r="C274" s="384" t="s">
        <v>565</v>
      </c>
    </row>
    <row r="275" customFormat="false" ht="31.5" hidden="false" customHeight="true" outlineLevel="0" collapsed="false">
      <c r="A275" s="385" t="s">
        <v>325</v>
      </c>
      <c r="B275" s="384" t="s">
        <v>326</v>
      </c>
      <c r="C275" s="384" t="s">
        <v>566</v>
      </c>
    </row>
    <row r="276" customFormat="false" ht="31.5" hidden="false" customHeight="true" outlineLevel="0" collapsed="false">
      <c r="A276" s="385" t="s">
        <v>325</v>
      </c>
      <c r="B276" s="384" t="s">
        <v>326</v>
      </c>
      <c r="C276" s="384" t="s">
        <v>567</v>
      </c>
    </row>
    <row r="277" customFormat="false" ht="31.5" hidden="false" customHeight="true" outlineLevel="0" collapsed="false">
      <c r="A277" s="385" t="s">
        <v>325</v>
      </c>
      <c r="B277" s="384" t="s">
        <v>326</v>
      </c>
      <c r="C277" s="384" t="s">
        <v>568</v>
      </c>
    </row>
    <row r="278" customFormat="false" ht="31.5" hidden="false" customHeight="true" outlineLevel="0" collapsed="false">
      <c r="A278" s="385" t="s">
        <v>325</v>
      </c>
      <c r="B278" s="384" t="s">
        <v>326</v>
      </c>
      <c r="C278" s="384" t="s">
        <v>569</v>
      </c>
    </row>
    <row r="279" customFormat="false" ht="31.5" hidden="false" customHeight="true" outlineLevel="0" collapsed="false">
      <c r="A279" s="385" t="s">
        <v>325</v>
      </c>
      <c r="B279" s="384" t="s">
        <v>326</v>
      </c>
      <c r="C279" s="384" t="s">
        <v>570</v>
      </c>
    </row>
    <row r="280" customFormat="false" ht="31.5" hidden="false" customHeight="true" outlineLevel="0" collapsed="false">
      <c r="A280" s="385" t="s">
        <v>325</v>
      </c>
      <c r="B280" s="384" t="s">
        <v>326</v>
      </c>
      <c r="C280" s="384" t="s">
        <v>571</v>
      </c>
    </row>
    <row r="281" customFormat="false" ht="31.5" hidden="false" customHeight="true" outlineLevel="0" collapsed="false">
      <c r="A281" s="385" t="s">
        <v>325</v>
      </c>
      <c r="B281" s="384" t="s">
        <v>326</v>
      </c>
      <c r="C281" s="384" t="s">
        <v>572</v>
      </c>
    </row>
    <row r="282" customFormat="false" ht="31.5" hidden="false" customHeight="true" outlineLevel="0" collapsed="false">
      <c r="A282" s="385" t="s">
        <v>325</v>
      </c>
      <c r="B282" s="384" t="s">
        <v>326</v>
      </c>
      <c r="C282" s="384" t="s">
        <v>573</v>
      </c>
    </row>
    <row r="283" customFormat="false" ht="31.5" hidden="false" customHeight="true" outlineLevel="0" collapsed="false">
      <c r="A283" s="385" t="s">
        <v>325</v>
      </c>
      <c r="B283" s="384" t="s">
        <v>326</v>
      </c>
      <c r="C283" s="384" t="s">
        <v>574</v>
      </c>
    </row>
    <row r="284" customFormat="false" ht="31.5" hidden="false" customHeight="true" outlineLevel="0" collapsed="false">
      <c r="A284" s="385" t="s">
        <v>325</v>
      </c>
      <c r="B284" s="384" t="s">
        <v>326</v>
      </c>
      <c r="C284" s="384" t="s">
        <v>575</v>
      </c>
    </row>
    <row r="285" customFormat="false" ht="31.5" hidden="false" customHeight="true" outlineLevel="0" collapsed="false">
      <c r="A285" s="385" t="s">
        <v>325</v>
      </c>
      <c r="B285" s="384" t="s">
        <v>326</v>
      </c>
      <c r="C285" s="384" t="s">
        <v>576</v>
      </c>
    </row>
    <row r="286" customFormat="false" ht="31.5" hidden="false" customHeight="true" outlineLevel="0" collapsed="false">
      <c r="A286" s="385" t="s">
        <v>325</v>
      </c>
      <c r="B286" s="384" t="s">
        <v>326</v>
      </c>
      <c r="C286" s="384" t="s">
        <v>577</v>
      </c>
    </row>
    <row r="287" customFormat="false" ht="31.5" hidden="false" customHeight="true" outlineLevel="0" collapsed="false">
      <c r="A287" s="385" t="s">
        <v>325</v>
      </c>
      <c r="B287" s="384" t="s">
        <v>326</v>
      </c>
      <c r="C287" s="384" t="s">
        <v>578</v>
      </c>
    </row>
    <row r="288" customFormat="false" ht="31.5" hidden="false" customHeight="true" outlineLevel="0" collapsed="false">
      <c r="A288" s="385" t="s">
        <v>325</v>
      </c>
      <c r="B288" s="384" t="s">
        <v>326</v>
      </c>
      <c r="C288" s="384" t="s">
        <v>579</v>
      </c>
    </row>
    <row r="289" customFormat="false" ht="31.5" hidden="false" customHeight="true" outlineLevel="0" collapsed="false">
      <c r="A289" s="385" t="s">
        <v>325</v>
      </c>
      <c r="B289" s="384" t="s">
        <v>326</v>
      </c>
      <c r="C289" s="384" t="s">
        <v>580</v>
      </c>
    </row>
    <row r="290" customFormat="false" ht="31.5" hidden="false" customHeight="true" outlineLevel="0" collapsed="false">
      <c r="A290" s="385" t="s">
        <v>325</v>
      </c>
      <c r="B290" s="384" t="s">
        <v>326</v>
      </c>
      <c r="C290" s="384" t="s">
        <v>581</v>
      </c>
    </row>
    <row r="291" customFormat="false" ht="31.5" hidden="false" customHeight="true" outlineLevel="0" collapsed="false">
      <c r="A291" s="385" t="s">
        <v>325</v>
      </c>
      <c r="B291" s="384" t="s">
        <v>326</v>
      </c>
      <c r="C291" s="384" t="s">
        <v>582</v>
      </c>
    </row>
    <row r="292" customFormat="false" ht="31.5" hidden="false" customHeight="true" outlineLevel="0" collapsed="false">
      <c r="A292" s="385" t="s">
        <v>325</v>
      </c>
      <c r="B292" s="384" t="s">
        <v>326</v>
      </c>
      <c r="C292" s="384" t="s">
        <v>583</v>
      </c>
    </row>
    <row r="293" customFormat="false" ht="31.5" hidden="false" customHeight="true" outlineLevel="0" collapsed="false">
      <c r="A293" s="385" t="s">
        <v>325</v>
      </c>
      <c r="B293" s="384" t="s">
        <v>326</v>
      </c>
      <c r="C293" s="384" t="s">
        <v>584</v>
      </c>
    </row>
    <row r="294" customFormat="false" ht="31.5" hidden="false" customHeight="true" outlineLevel="0" collapsed="false">
      <c r="A294" s="385" t="s">
        <v>325</v>
      </c>
      <c r="B294" s="384" t="s">
        <v>326</v>
      </c>
      <c r="C294" s="384" t="s">
        <v>585</v>
      </c>
    </row>
    <row r="295" customFormat="false" ht="31.5" hidden="false" customHeight="true" outlineLevel="0" collapsed="false">
      <c r="A295" s="385" t="s">
        <v>325</v>
      </c>
      <c r="B295" s="384" t="s">
        <v>326</v>
      </c>
      <c r="C295" s="384" t="s">
        <v>586</v>
      </c>
    </row>
    <row r="296" customFormat="false" ht="31.5" hidden="false" customHeight="true" outlineLevel="0" collapsed="false">
      <c r="A296" s="385" t="s">
        <v>325</v>
      </c>
      <c r="B296" s="384" t="s">
        <v>326</v>
      </c>
      <c r="C296" s="384" t="s">
        <v>587</v>
      </c>
    </row>
    <row r="297" customFormat="false" ht="31.5" hidden="false" customHeight="true" outlineLevel="0" collapsed="false">
      <c r="A297" s="385" t="s">
        <v>325</v>
      </c>
      <c r="B297" s="384" t="s">
        <v>326</v>
      </c>
      <c r="C297" s="384" t="s">
        <v>588</v>
      </c>
    </row>
    <row r="298" customFormat="false" ht="31.5" hidden="false" customHeight="true" outlineLevel="0" collapsed="false">
      <c r="A298" s="385" t="s">
        <v>325</v>
      </c>
      <c r="B298" s="384" t="s">
        <v>326</v>
      </c>
      <c r="C298" s="384" t="s">
        <v>589</v>
      </c>
    </row>
    <row r="299" customFormat="false" ht="31.5" hidden="false" customHeight="true" outlineLevel="0" collapsed="false">
      <c r="A299" s="385" t="s">
        <v>325</v>
      </c>
      <c r="B299" s="384" t="s">
        <v>326</v>
      </c>
      <c r="C299" s="384" t="s">
        <v>590</v>
      </c>
    </row>
    <row r="300" customFormat="false" ht="31.5" hidden="false" customHeight="true" outlineLevel="0" collapsed="false">
      <c r="A300" s="385" t="s">
        <v>325</v>
      </c>
      <c r="B300" s="384" t="s">
        <v>326</v>
      </c>
      <c r="C300" s="384" t="s">
        <v>591</v>
      </c>
    </row>
    <row r="301" customFormat="false" ht="31.5" hidden="false" customHeight="true" outlineLevel="0" collapsed="false">
      <c r="A301" s="385" t="s">
        <v>325</v>
      </c>
      <c r="B301" s="384" t="s">
        <v>326</v>
      </c>
      <c r="C301" s="384" t="s">
        <v>592</v>
      </c>
    </row>
    <row r="302" customFormat="false" ht="31.5" hidden="false" customHeight="true" outlineLevel="0" collapsed="false">
      <c r="A302" s="385" t="s">
        <v>325</v>
      </c>
      <c r="B302" s="384" t="s">
        <v>326</v>
      </c>
      <c r="C302" s="384" t="s">
        <v>593</v>
      </c>
    </row>
    <row r="303" customFormat="false" ht="31.5" hidden="false" customHeight="true" outlineLevel="0" collapsed="false">
      <c r="A303" s="385" t="s">
        <v>325</v>
      </c>
      <c r="B303" s="384" t="s">
        <v>326</v>
      </c>
      <c r="C303" s="384" t="s">
        <v>594</v>
      </c>
    </row>
    <row r="304" customFormat="false" ht="31.5" hidden="false" customHeight="true" outlineLevel="0" collapsed="false">
      <c r="A304" s="385" t="s">
        <v>325</v>
      </c>
      <c r="B304" s="384" t="s">
        <v>326</v>
      </c>
      <c r="C304" s="384" t="s">
        <v>595</v>
      </c>
    </row>
    <row r="305" customFormat="false" ht="31.5" hidden="false" customHeight="true" outlineLevel="0" collapsed="false">
      <c r="A305" s="385" t="s">
        <v>325</v>
      </c>
      <c r="B305" s="384" t="s">
        <v>326</v>
      </c>
      <c r="C305" s="384" t="s">
        <v>596</v>
      </c>
    </row>
    <row r="306" customFormat="false" ht="31.5" hidden="false" customHeight="true" outlineLevel="0" collapsed="false">
      <c r="A306" s="385" t="s">
        <v>325</v>
      </c>
      <c r="B306" s="384" t="s">
        <v>326</v>
      </c>
      <c r="C306" s="384" t="s">
        <v>597</v>
      </c>
    </row>
    <row r="307" customFormat="false" ht="31.5" hidden="false" customHeight="true" outlineLevel="0" collapsed="false">
      <c r="A307" s="385" t="s">
        <v>325</v>
      </c>
      <c r="B307" s="384" t="s">
        <v>326</v>
      </c>
      <c r="C307" s="384" t="s">
        <v>598</v>
      </c>
    </row>
    <row r="308" customFormat="false" ht="31.5" hidden="false" customHeight="true" outlineLevel="0" collapsed="false">
      <c r="A308" s="385" t="s">
        <v>325</v>
      </c>
      <c r="B308" s="384" t="s">
        <v>326</v>
      </c>
      <c r="C308" s="384" t="s">
        <v>599</v>
      </c>
    </row>
    <row r="309" customFormat="false" ht="31.5" hidden="false" customHeight="true" outlineLevel="0" collapsed="false">
      <c r="A309" s="385" t="s">
        <v>325</v>
      </c>
      <c r="B309" s="384" t="s">
        <v>326</v>
      </c>
      <c r="C309" s="384" t="s">
        <v>600</v>
      </c>
    </row>
    <row r="310" customFormat="false" ht="31.5" hidden="false" customHeight="true" outlineLevel="0" collapsed="false">
      <c r="A310" s="385" t="s">
        <v>325</v>
      </c>
      <c r="B310" s="384" t="s">
        <v>326</v>
      </c>
      <c r="C310" s="384" t="s">
        <v>601</v>
      </c>
    </row>
    <row r="311" customFormat="false" ht="31.5" hidden="false" customHeight="true" outlineLevel="0" collapsed="false">
      <c r="A311" s="385" t="s">
        <v>325</v>
      </c>
      <c r="B311" s="384" t="s">
        <v>326</v>
      </c>
      <c r="C311" s="384" t="s">
        <v>602</v>
      </c>
    </row>
    <row r="312" customFormat="false" ht="31.5" hidden="false" customHeight="true" outlineLevel="0" collapsed="false">
      <c r="A312" s="385" t="s">
        <v>325</v>
      </c>
      <c r="B312" s="384" t="s">
        <v>326</v>
      </c>
      <c r="C312" s="384" t="s">
        <v>603</v>
      </c>
    </row>
    <row r="313" customFormat="false" ht="31.5" hidden="false" customHeight="true" outlineLevel="0" collapsed="false">
      <c r="A313" s="385" t="s">
        <v>325</v>
      </c>
      <c r="B313" s="384" t="s">
        <v>326</v>
      </c>
      <c r="C313" s="384" t="s">
        <v>604</v>
      </c>
    </row>
    <row r="314" customFormat="false" ht="31.5" hidden="false" customHeight="true" outlineLevel="0" collapsed="false">
      <c r="A314" s="385" t="s">
        <v>325</v>
      </c>
      <c r="B314" s="384" t="s">
        <v>326</v>
      </c>
      <c r="C314" s="384" t="s">
        <v>605</v>
      </c>
    </row>
    <row r="315" customFormat="false" ht="31.5" hidden="false" customHeight="true" outlineLevel="0" collapsed="false">
      <c r="A315" s="385" t="s">
        <v>325</v>
      </c>
      <c r="B315" s="384" t="s">
        <v>326</v>
      </c>
      <c r="C315" s="384" t="s">
        <v>606</v>
      </c>
    </row>
    <row r="316" customFormat="false" ht="31.5" hidden="false" customHeight="true" outlineLevel="0" collapsed="false">
      <c r="A316" s="385" t="s">
        <v>325</v>
      </c>
      <c r="B316" s="384" t="s">
        <v>326</v>
      </c>
      <c r="C316" s="384" t="s">
        <v>607</v>
      </c>
    </row>
    <row r="317" customFormat="false" ht="31.5" hidden="false" customHeight="true" outlineLevel="0" collapsed="false">
      <c r="A317" s="385" t="s">
        <v>325</v>
      </c>
      <c r="B317" s="384" t="s">
        <v>326</v>
      </c>
      <c r="C317" s="384" t="s">
        <v>608</v>
      </c>
    </row>
    <row r="318" customFormat="false" ht="31.5" hidden="false" customHeight="true" outlineLevel="0" collapsed="false">
      <c r="A318" s="385" t="s">
        <v>325</v>
      </c>
      <c r="B318" s="384" t="s">
        <v>326</v>
      </c>
      <c r="C318" s="384" t="s">
        <v>609</v>
      </c>
    </row>
    <row r="319" customFormat="false" ht="31.5" hidden="false" customHeight="true" outlineLevel="0" collapsed="false">
      <c r="A319" s="385" t="s">
        <v>325</v>
      </c>
      <c r="B319" s="384" t="s">
        <v>326</v>
      </c>
      <c r="C319" s="384" t="s">
        <v>610</v>
      </c>
    </row>
    <row r="320" customFormat="false" ht="31.5" hidden="false" customHeight="true" outlineLevel="0" collapsed="false">
      <c r="A320" s="385" t="s">
        <v>325</v>
      </c>
      <c r="B320" s="384" t="s">
        <v>326</v>
      </c>
      <c r="C320" s="384" t="s">
        <v>611</v>
      </c>
    </row>
    <row r="321" customFormat="false" ht="31.5" hidden="false" customHeight="true" outlineLevel="0" collapsed="false">
      <c r="A321" s="385" t="s">
        <v>325</v>
      </c>
      <c r="B321" s="384" t="s">
        <v>326</v>
      </c>
      <c r="C321" s="384" t="s">
        <v>612</v>
      </c>
    </row>
    <row r="322" customFormat="false" ht="31.5" hidden="false" customHeight="true" outlineLevel="0" collapsed="false">
      <c r="A322" s="385" t="s">
        <v>325</v>
      </c>
      <c r="B322" s="384" t="s">
        <v>326</v>
      </c>
      <c r="C322" s="384" t="s">
        <v>613</v>
      </c>
    </row>
    <row r="323" customFormat="false" ht="31.5" hidden="false" customHeight="true" outlineLevel="0" collapsed="false">
      <c r="A323" s="385" t="s">
        <v>325</v>
      </c>
      <c r="B323" s="384" t="s">
        <v>326</v>
      </c>
      <c r="C323" s="384" t="s">
        <v>614</v>
      </c>
    </row>
    <row r="324" customFormat="false" ht="31.5" hidden="false" customHeight="true" outlineLevel="0" collapsed="false">
      <c r="A324" s="385" t="s">
        <v>325</v>
      </c>
      <c r="B324" s="384" t="s">
        <v>326</v>
      </c>
      <c r="C324" s="384" t="s">
        <v>615</v>
      </c>
    </row>
    <row r="325" customFormat="false" ht="31.5" hidden="false" customHeight="true" outlineLevel="0" collapsed="false">
      <c r="A325" s="385" t="s">
        <v>325</v>
      </c>
      <c r="B325" s="384" t="s">
        <v>326</v>
      </c>
      <c r="C325" s="384" t="s">
        <v>616</v>
      </c>
    </row>
    <row r="326" customFormat="false" ht="31.5" hidden="false" customHeight="true" outlineLevel="0" collapsed="false">
      <c r="A326" s="385" t="s">
        <v>325</v>
      </c>
      <c r="B326" s="384" t="s">
        <v>326</v>
      </c>
      <c r="C326" s="384" t="s">
        <v>617</v>
      </c>
    </row>
    <row r="327" customFormat="false" ht="31.5" hidden="false" customHeight="true" outlineLevel="0" collapsed="false">
      <c r="A327" s="385" t="s">
        <v>325</v>
      </c>
      <c r="B327" s="384" t="s">
        <v>326</v>
      </c>
      <c r="C327" s="384" t="s">
        <v>618</v>
      </c>
    </row>
    <row r="328" customFormat="false" ht="31.5" hidden="false" customHeight="true" outlineLevel="0" collapsed="false">
      <c r="A328" s="385" t="s">
        <v>325</v>
      </c>
      <c r="B328" s="384" t="s">
        <v>326</v>
      </c>
      <c r="C328" s="384" t="s">
        <v>619</v>
      </c>
    </row>
    <row r="329" customFormat="false" ht="31.5" hidden="false" customHeight="true" outlineLevel="0" collapsed="false">
      <c r="A329" s="385" t="s">
        <v>325</v>
      </c>
      <c r="B329" s="384" t="s">
        <v>326</v>
      </c>
      <c r="C329" s="384" t="s">
        <v>620</v>
      </c>
    </row>
    <row r="330" customFormat="false" ht="31.5" hidden="false" customHeight="true" outlineLevel="0" collapsed="false">
      <c r="A330" s="385" t="s">
        <v>325</v>
      </c>
      <c r="B330" s="384" t="s">
        <v>326</v>
      </c>
      <c r="C330" s="384" t="s">
        <v>621</v>
      </c>
    </row>
    <row r="331" customFormat="false" ht="31.5" hidden="false" customHeight="true" outlineLevel="0" collapsed="false">
      <c r="A331" s="385" t="s">
        <v>325</v>
      </c>
      <c r="B331" s="384" t="s">
        <v>326</v>
      </c>
      <c r="C331" s="384" t="s">
        <v>622</v>
      </c>
    </row>
    <row r="332" customFormat="false" ht="31.5" hidden="false" customHeight="true" outlineLevel="0" collapsed="false">
      <c r="A332" s="385" t="s">
        <v>325</v>
      </c>
      <c r="B332" s="384" t="s">
        <v>326</v>
      </c>
      <c r="C332" s="384" t="s">
        <v>623</v>
      </c>
    </row>
    <row r="333" customFormat="false" ht="31.5" hidden="false" customHeight="true" outlineLevel="0" collapsed="false">
      <c r="A333" s="385" t="s">
        <v>325</v>
      </c>
      <c r="B333" s="384" t="s">
        <v>326</v>
      </c>
      <c r="C333" s="384" t="s">
        <v>624</v>
      </c>
    </row>
    <row r="334" customFormat="false" ht="31.5" hidden="false" customHeight="true" outlineLevel="0" collapsed="false">
      <c r="A334" s="385" t="s">
        <v>325</v>
      </c>
      <c r="B334" s="384" t="s">
        <v>326</v>
      </c>
      <c r="C334" s="384" t="s">
        <v>625</v>
      </c>
    </row>
    <row r="335" customFormat="false" ht="31.5" hidden="false" customHeight="true" outlineLevel="0" collapsed="false">
      <c r="A335" s="385" t="s">
        <v>325</v>
      </c>
      <c r="B335" s="384" t="s">
        <v>326</v>
      </c>
      <c r="C335" s="384" t="s">
        <v>626</v>
      </c>
    </row>
    <row r="336" customFormat="false" ht="31.5" hidden="false" customHeight="true" outlineLevel="0" collapsed="false">
      <c r="A336" s="385" t="s">
        <v>325</v>
      </c>
      <c r="B336" s="384" t="s">
        <v>326</v>
      </c>
      <c r="C336" s="384" t="s">
        <v>627</v>
      </c>
    </row>
    <row r="337" customFormat="false" ht="31.5" hidden="false" customHeight="true" outlineLevel="0" collapsed="false">
      <c r="A337" s="385" t="s">
        <v>325</v>
      </c>
      <c r="B337" s="384" t="s">
        <v>326</v>
      </c>
      <c r="C337" s="384" t="s">
        <v>628</v>
      </c>
    </row>
    <row r="338" customFormat="false" ht="31.5" hidden="false" customHeight="true" outlineLevel="0" collapsed="false">
      <c r="A338" s="385" t="s">
        <v>325</v>
      </c>
      <c r="B338" s="384" t="s">
        <v>326</v>
      </c>
      <c r="C338" s="384" t="s">
        <v>629</v>
      </c>
    </row>
    <row r="339" customFormat="false" ht="31.5" hidden="false" customHeight="true" outlineLevel="0" collapsed="false">
      <c r="A339" s="385" t="s">
        <v>325</v>
      </c>
      <c r="B339" s="384" t="s">
        <v>326</v>
      </c>
      <c r="C339" s="384" t="s">
        <v>630</v>
      </c>
    </row>
    <row r="340" customFormat="false" ht="31.5" hidden="false" customHeight="true" outlineLevel="0" collapsed="false">
      <c r="A340" s="385" t="s">
        <v>325</v>
      </c>
      <c r="B340" s="384" t="s">
        <v>326</v>
      </c>
      <c r="C340" s="384" t="s">
        <v>631</v>
      </c>
    </row>
    <row r="341" customFormat="false" ht="31.5" hidden="false" customHeight="true" outlineLevel="0" collapsed="false">
      <c r="A341" s="385" t="s">
        <v>325</v>
      </c>
      <c r="B341" s="384" t="s">
        <v>326</v>
      </c>
      <c r="C341" s="384" t="s">
        <v>632</v>
      </c>
    </row>
    <row r="342" customFormat="false" ht="31.5" hidden="false" customHeight="true" outlineLevel="0" collapsed="false">
      <c r="A342" s="385" t="s">
        <v>325</v>
      </c>
      <c r="B342" s="384" t="s">
        <v>326</v>
      </c>
      <c r="C342" s="384" t="s">
        <v>633</v>
      </c>
    </row>
    <row r="343" customFormat="false" ht="31.5" hidden="false" customHeight="true" outlineLevel="0" collapsed="false">
      <c r="A343" s="385" t="s">
        <v>325</v>
      </c>
      <c r="B343" s="384" t="s">
        <v>326</v>
      </c>
      <c r="C343" s="384" t="s">
        <v>634</v>
      </c>
    </row>
    <row r="344" customFormat="false" ht="31.5" hidden="false" customHeight="true" outlineLevel="0" collapsed="false">
      <c r="A344" s="385" t="s">
        <v>325</v>
      </c>
      <c r="B344" s="384" t="s">
        <v>326</v>
      </c>
      <c r="C344" s="384" t="s">
        <v>635</v>
      </c>
    </row>
    <row r="345" customFormat="false" ht="31.5" hidden="false" customHeight="true" outlineLevel="0" collapsed="false">
      <c r="A345" s="385" t="s">
        <v>325</v>
      </c>
      <c r="B345" s="384" t="s">
        <v>326</v>
      </c>
      <c r="C345" s="384" t="s">
        <v>636</v>
      </c>
    </row>
    <row r="346" customFormat="false" ht="31.5" hidden="false" customHeight="true" outlineLevel="0" collapsed="false">
      <c r="A346" s="385" t="s">
        <v>325</v>
      </c>
      <c r="B346" s="384" t="s">
        <v>326</v>
      </c>
      <c r="C346" s="384" t="s">
        <v>637</v>
      </c>
    </row>
    <row r="347" customFormat="false" ht="31.5" hidden="false" customHeight="true" outlineLevel="0" collapsed="false">
      <c r="A347" s="385" t="s">
        <v>325</v>
      </c>
      <c r="B347" s="384" t="s">
        <v>326</v>
      </c>
      <c r="C347" s="384" t="s">
        <v>638</v>
      </c>
    </row>
    <row r="348" customFormat="false" ht="31.5" hidden="false" customHeight="true" outlineLevel="0" collapsed="false">
      <c r="A348" s="385" t="s">
        <v>325</v>
      </c>
      <c r="B348" s="384" t="s">
        <v>326</v>
      </c>
      <c r="C348" s="384" t="s">
        <v>639</v>
      </c>
    </row>
    <row r="349" customFormat="false" ht="31.5" hidden="false" customHeight="true" outlineLevel="0" collapsed="false">
      <c r="A349" s="385" t="s">
        <v>325</v>
      </c>
      <c r="B349" s="384" t="s">
        <v>326</v>
      </c>
      <c r="C349" s="384" t="s">
        <v>640</v>
      </c>
    </row>
    <row r="350" customFormat="false" ht="31.5" hidden="false" customHeight="true" outlineLevel="0" collapsed="false">
      <c r="A350" s="385" t="s">
        <v>325</v>
      </c>
      <c r="B350" s="384" t="s">
        <v>326</v>
      </c>
      <c r="C350" s="384" t="s">
        <v>641</v>
      </c>
    </row>
    <row r="351" customFormat="false" ht="31.5" hidden="false" customHeight="true" outlineLevel="0" collapsed="false">
      <c r="A351" s="385" t="s">
        <v>325</v>
      </c>
      <c r="B351" s="384" t="s">
        <v>326</v>
      </c>
      <c r="C351" s="384" t="s">
        <v>642</v>
      </c>
    </row>
    <row r="352" customFormat="false" ht="31.5" hidden="false" customHeight="true" outlineLevel="0" collapsed="false">
      <c r="A352" s="385" t="s">
        <v>325</v>
      </c>
      <c r="B352" s="384" t="s">
        <v>326</v>
      </c>
      <c r="C352" s="384" t="s">
        <v>643</v>
      </c>
    </row>
    <row r="353" customFormat="false" ht="31.5" hidden="false" customHeight="true" outlineLevel="0" collapsed="false">
      <c r="A353" s="385" t="s">
        <v>325</v>
      </c>
      <c r="B353" s="384" t="s">
        <v>326</v>
      </c>
      <c r="C353" s="384" t="s">
        <v>644</v>
      </c>
    </row>
    <row r="354" customFormat="false" ht="31.5" hidden="false" customHeight="true" outlineLevel="0" collapsed="false">
      <c r="A354" s="385" t="s">
        <v>325</v>
      </c>
      <c r="B354" s="384" t="s">
        <v>326</v>
      </c>
      <c r="C354" s="384" t="s">
        <v>645</v>
      </c>
    </row>
    <row r="355" customFormat="false" ht="31.5" hidden="false" customHeight="true" outlineLevel="0" collapsed="false">
      <c r="A355" s="385" t="s">
        <v>325</v>
      </c>
      <c r="B355" s="384" t="s">
        <v>326</v>
      </c>
      <c r="C355" s="384" t="s">
        <v>646</v>
      </c>
    </row>
    <row r="356" customFormat="false" ht="31.5" hidden="false" customHeight="true" outlineLevel="0" collapsed="false">
      <c r="A356" s="385" t="s">
        <v>325</v>
      </c>
      <c r="B356" s="384" t="s">
        <v>326</v>
      </c>
      <c r="C356" s="384" t="s">
        <v>647</v>
      </c>
    </row>
    <row r="357" customFormat="false" ht="31.5" hidden="false" customHeight="true" outlineLevel="0" collapsed="false">
      <c r="A357" s="385" t="s">
        <v>325</v>
      </c>
      <c r="B357" s="384" t="s">
        <v>326</v>
      </c>
      <c r="C357" s="384" t="s">
        <v>648</v>
      </c>
    </row>
    <row r="358" customFormat="false" ht="31.5" hidden="false" customHeight="true" outlineLevel="0" collapsed="false">
      <c r="A358" s="385" t="s">
        <v>325</v>
      </c>
      <c r="B358" s="384" t="s">
        <v>326</v>
      </c>
      <c r="C358" s="384" t="s">
        <v>649</v>
      </c>
    </row>
    <row r="359" customFormat="false" ht="31.5" hidden="false" customHeight="true" outlineLevel="0" collapsed="false">
      <c r="A359" s="385" t="s">
        <v>325</v>
      </c>
      <c r="B359" s="384" t="s">
        <v>326</v>
      </c>
      <c r="C359" s="384" t="s">
        <v>650</v>
      </c>
    </row>
    <row r="360" customFormat="false" ht="31.5" hidden="false" customHeight="true" outlineLevel="0" collapsed="false">
      <c r="A360" s="385" t="s">
        <v>325</v>
      </c>
      <c r="B360" s="384" t="s">
        <v>326</v>
      </c>
      <c r="C360" s="384" t="s">
        <v>651</v>
      </c>
    </row>
    <row r="361" customFormat="false" ht="31.5" hidden="false" customHeight="true" outlineLevel="0" collapsed="false">
      <c r="A361" s="385" t="s">
        <v>325</v>
      </c>
      <c r="B361" s="384" t="s">
        <v>326</v>
      </c>
      <c r="C361" s="384" t="s">
        <v>652</v>
      </c>
    </row>
    <row r="362" customFormat="false" ht="31.5" hidden="false" customHeight="true" outlineLevel="0" collapsed="false">
      <c r="A362" s="385" t="s">
        <v>325</v>
      </c>
      <c r="B362" s="384" t="s">
        <v>326</v>
      </c>
      <c r="C362" s="384" t="s">
        <v>653</v>
      </c>
    </row>
    <row r="363" customFormat="false" ht="31.5" hidden="false" customHeight="true" outlineLevel="0" collapsed="false">
      <c r="A363" s="385" t="s">
        <v>325</v>
      </c>
      <c r="B363" s="384" t="s">
        <v>326</v>
      </c>
      <c r="C363" s="384" t="s">
        <v>654</v>
      </c>
    </row>
    <row r="364" customFormat="false" ht="31.5" hidden="false" customHeight="true" outlineLevel="0" collapsed="false">
      <c r="A364" s="385" t="s">
        <v>325</v>
      </c>
      <c r="B364" s="384" t="s">
        <v>326</v>
      </c>
      <c r="C364" s="384" t="s">
        <v>655</v>
      </c>
    </row>
    <row r="365" customFormat="false" ht="31.5" hidden="false" customHeight="true" outlineLevel="0" collapsed="false">
      <c r="A365" s="385" t="s">
        <v>325</v>
      </c>
      <c r="B365" s="384" t="s">
        <v>326</v>
      </c>
      <c r="C365" s="384" t="s">
        <v>656</v>
      </c>
    </row>
    <row r="366" customFormat="false" ht="31.5" hidden="false" customHeight="true" outlineLevel="0" collapsed="false">
      <c r="A366" s="385" t="s">
        <v>325</v>
      </c>
      <c r="B366" s="384" t="s">
        <v>326</v>
      </c>
      <c r="C366" s="384" t="s">
        <v>657</v>
      </c>
    </row>
    <row r="367" customFormat="false" ht="31.5" hidden="false" customHeight="true" outlineLevel="0" collapsed="false">
      <c r="A367" s="385" t="s">
        <v>325</v>
      </c>
      <c r="B367" s="384" t="s">
        <v>326</v>
      </c>
      <c r="C367" s="384" t="s">
        <v>658</v>
      </c>
    </row>
    <row r="368" customFormat="false" ht="31.5" hidden="false" customHeight="true" outlineLevel="0" collapsed="false">
      <c r="A368" s="385" t="s">
        <v>325</v>
      </c>
      <c r="B368" s="384" t="s">
        <v>326</v>
      </c>
      <c r="C368" s="384" t="s">
        <v>659</v>
      </c>
    </row>
    <row r="369" customFormat="false" ht="31.5" hidden="false" customHeight="true" outlineLevel="0" collapsed="false">
      <c r="A369" s="385" t="s">
        <v>325</v>
      </c>
      <c r="B369" s="384" t="s">
        <v>326</v>
      </c>
      <c r="C369" s="384" t="s">
        <v>660</v>
      </c>
    </row>
    <row r="370" customFormat="false" ht="31.5" hidden="false" customHeight="true" outlineLevel="0" collapsed="false">
      <c r="A370" s="385" t="s">
        <v>325</v>
      </c>
      <c r="B370" s="384" t="s">
        <v>326</v>
      </c>
      <c r="C370" s="384" t="s">
        <v>661</v>
      </c>
    </row>
    <row r="371" customFormat="false" ht="31.5" hidden="false" customHeight="true" outlineLevel="0" collapsed="false">
      <c r="A371" s="385" t="s">
        <v>325</v>
      </c>
      <c r="B371" s="384" t="s">
        <v>326</v>
      </c>
      <c r="C371" s="384" t="s">
        <v>662</v>
      </c>
    </row>
    <row r="372" customFormat="false" ht="31.5" hidden="false" customHeight="true" outlineLevel="0" collapsed="false">
      <c r="A372" s="385" t="s">
        <v>325</v>
      </c>
      <c r="B372" s="384" t="s">
        <v>326</v>
      </c>
      <c r="C372" s="384" t="s">
        <v>663</v>
      </c>
    </row>
    <row r="373" customFormat="false" ht="31.5" hidden="false" customHeight="true" outlineLevel="0" collapsed="false">
      <c r="A373" s="385" t="s">
        <v>325</v>
      </c>
      <c r="B373" s="384" t="s">
        <v>326</v>
      </c>
      <c r="C373" s="384" t="s">
        <v>664</v>
      </c>
    </row>
    <row r="374" customFormat="false" ht="31.5" hidden="false" customHeight="true" outlineLevel="0" collapsed="false">
      <c r="A374" s="385" t="s">
        <v>325</v>
      </c>
      <c r="B374" s="384" t="s">
        <v>326</v>
      </c>
      <c r="C374" s="384" t="s">
        <v>665</v>
      </c>
    </row>
    <row r="375" customFormat="false" ht="31.5" hidden="false" customHeight="true" outlineLevel="0" collapsed="false">
      <c r="A375" s="385" t="s">
        <v>325</v>
      </c>
      <c r="B375" s="384" t="s">
        <v>326</v>
      </c>
      <c r="C375" s="384" t="s">
        <v>666</v>
      </c>
    </row>
    <row r="376" customFormat="false" ht="31.5" hidden="false" customHeight="true" outlineLevel="0" collapsed="false">
      <c r="A376" s="385" t="s">
        <v>325</v>
      </c>
      <c r="B376" s="384" t="s">
        <v>326</v>
      </c>
      <c r="C376" s="384" t="s">
        <v>667</v>
      </c>
    </row>
    <row r="377" customFormat="false" ht="31.5" hidden="false" customHeight="true" outlineLevel="0" collapsed="false">
      <c r="A377" s="385" t="s">
        <v>325</v>
      </c>
      <c r="B377" s="384" t="s">
        <v>326</v>
      </c>
      <c r="C377" s="384" t="s">
        <v>668</v>
      </c>
    </row>
    <row r="378" customFormat="false" ht="31.5" hidden="false" customHeight="true" outlineLevel="0" collapsed="false">
      <c r="A378" s="385" t="s">
        <v>325</v>
      </c>
      <c r="B378" s="384" t="s">
        <v>326</v>
      </c>
      <c r="C378" s="384" t="s">
        <v>669</v>
      </c>
    </row>
    <row r="379" customFormat="false" ht="31.5" hidden="false" customHeight="true" outlineLevel="0" collapsed="false">
      <c r="A379" s="385" t="s">
        <v>325</v>
      </c>
      <c r="B379" s="384" t="s">
        <v>326</v>
      </c>
      <c r="C379" s="384" t="s">
        <v>670</v>
      </c>
    </row>
    <row r="380" customFormat="false" ht="31.5" hidden="false" customHeight="true" outlineLevel="0" collapsed="false">
      <c r="A380" s="385" t="s">
        <v>325</v>
      </c>
      <c r="B380" s="384" t="s">
        <v>326</v>
      </c>
      <c r="C380" s="384" t="s">
        <v>671</v>
      </c>
    </row>
    <row r="381" customFormat="false" ht="31.5" hidden="false" customHeight="true" outlineLevel="0" collapsed="false">
      <c r="A381" s="385" t="s">
        <v>325</v>
      </c>
      <c r="B381" s="384" t="s">
        <v>326</v>
      </c>
      <c r="C381" s="384" t="s">
        <v>672</v>
      </c>
    </row>
    <row r="382" customFormat="false" ht="31.5" hidden="false" customHeight="true" outlineLevel="0" collapsed="false">
      <c r="A382" s="385" t="s">
        <v>325</v>
      </c>
      <c r="B382" s="384" t="s">
        <v>326</v>
      </c>
      <c r="C382" s="384" t="s">
        <v>673</v>
      </c>
    </row>
    <row r="383" customFormat="false" ht="31.5" hidden="false" customHeight="true" outlineLevel="0" collapsed="false">
      <c r="A383" s="385" t="s">
        <v>325</v>
      </c>
      <c r="B383" s="384" t="s">
        <v>326</v>
      </c>
      <c r="C383" s="384" t="s">
        <v>674</v>
      </c>
    </row>
    <row r="384" customFormat="false" ht="31.5" hidden="false" customHeight="true" outlineLevel="0" collapsed="false">
      <c r="A384" s="385" t="s">
        <v>325</v>
      </c>
      <c r="B384" s="384" t="s">
        <v>326</v>
      </c>
      <c r="C384" s="384" t="s">
        <v>675</v>
      </c>
    </row>
    <row r="385" customFormat="false" ht="31.5" hidden="false" customHeight="true" outlineLevel="0" collapsed="false">
      <c r="A385" s="385" t="s">
        <v>325</v>
      </c>
      <c r="B385" s="384" t="s">
        <v>326</v>
      </c>
      <c r="C385" s="384" t="s">
        <v>676</v>
      </c>
    </row>
    <row r="386" customFormat="false" ht="31.5" hidden="false" customHeight="true" outlineLevel="0" collapsed="false">
      <c r="A386" s="385" t="s">
        <v>325</v>
      </c>
      <c r="B386" s="384" t="s">
        <v>326</v>
      </c>
      <c r="C386" s="384" t="s">
        <v>677</v>
      </c>
    </row>
    <row r="387" customFormat="false" ht="31.5" hidden="false" customHeight="true" outlineLevel="0" collapsed="false">
      <c r="A387" s="385" t="s">
        <v>325</v>
      </c>
      <c r="B387" s="384" t="s">
        <v>326</v>
      </c>
      <c r="C387" s="384" t="s">
        <v>678</v>
      </c>
    </row>
    <row r="388" customFormat="false" ht="31.5" hidden="false" customHeight="true" outlineLevel="0" collapsed="false">
      <c r="A388" s="385" t="s">
        <v>325</v>
      </c>
      <c r="B388" s="384" t="s">
        <v>326</v>
      </c>
      <c r="C388" s="384" t="s">
        <v>679</v>
      </c>
    </row>
    <row r="389" customFormat="false" ht="31.5" hidden="false" customHeight="true" outlineLevel="0" collapsed="false">
      <c r="A389" s="385" t="s">
        <v>325</v>
      </c>
      <c r="B389" s="384" t="s">
        <v>326</v>
      </c>
      <c r="C389" s="384" t="s">
        <v>680</v>
      </c>
    </row>
    <row r="390" customFormat="false" ht="31.5" hidden="false" customHeight="true" outlineLevel="0" collapsed="false">
      <c r="A390" s="385" t="s">
        <v>325</v>
      </c>
      <c r="B390" s="384" t="s">
        <v>326</v>
      </c>
      <c r="C390" s="384" t="s">
        <v>681</v>
      </c>
    </row>
    <row r="391" customFormat="false" ht="31.5" hidden="false" customHeight="true" outlineLevel="0" collapsed="false">
      <c r="A391" s="385" t="s">
        <v>325</v>
      </c>
      <c r="B391" s="384" t="s">
        <v>326</v>
      </c>
      <c r="C391" s="384" t="s">
        <v>682</v>
      </c>
    </row>
    <row r="392" customFormat="false" ht="31.5" hidden="false" customHeight="true" outlineLevel="0" collapsed="false">
      <c r="A392" s="385" t="s">
        <v>325</v>
      </c>
      <c r="B392" s="384" t="s">
        <v>326</v>
      </c>
      <c r="C392" s="384" t="s">
        <v>683</v>
      </c>
    </row>
    <row r="393" customFormat="false" ht="31.5" hidden="false" customHeight="true" outlineLevel="0" collapsed="false">
      <c r="A393" s="385" t="s">
        <v>325</v>
      </c>
      <c r="B393" s="384" t="s">
        <v>326</v>
      </c>
      <c r="C393" s="384" t="s">
        <v>684</v>
      </c>
    </row>
    <row r="394" customFormat="false" ht="31.5" hidden="false" customHeight="true" outlineLevel="0" collapsed="false">
      <c r="A394" s="385" t="s">
        <v>325</v>
      </c>
      <c r="B394" s="384" t="s">
        <v>326</v>
      </c>
      <c r="C394" s="384" t="s">
        <v>685</v>
      </c>
    </row>
    <row r="395" customFormat="false" ht="31.5" hidden="false" customHeight="true" outlineLevel="0" collapsed="false">
      <c r="A395" s="385" t="s">
        <v>325</v>
      </c>
      <c r="B395" s="384" t="s">
        <v>326</v>
      </c>
      <c r="C395" s="384" t="s">
        <v>686</v>
      </c>
    </row>
    <row r="396" customFormat="false" ht="31.5" hidden="false" customHeight="true" outlineLevel="0" collapsed="false">
      <c r="A396" s="385" t="s">
        <v>325</v>
      </c>
      <c r="B396" s="384" t="s">
        <v>326</v>
      </c>
      <c r="C396" s="384" t="s">
        <v>687</v>
      </c>
    </row>
    <row r="397" customFormat="false" ht="31.5" hidden="false" customHeight="true" outlineLevel="0" collapsed="false">
      <c r="A397" s="385" t="s">
        <v>325</v>
      </c>
      <c r="B397" s="384" t="s">
        <v>326</v>
      </c>
      <c r="C397" s="384" t="s">
        <v>688</v>
      </c>
    </row>
    <row r="398" customFormat="false" ht="31.5" hidden="false" customHeight="true" outlineLevel="0" collapsed="false">
      <c r="A398" s="385" t="s">
        <v>325</v>
      </c>
      <c r="B398" s="384" t="s">
        <v>326</v>
      </c>
      <c r="C398" s="384" t="s">
        <v>689</v>
      </c>
    </row>
    <row r="399" customFormat="false" ht="31.5" hidden="false" customHeight="true" outlineLevel="0" collapsed="false">
      <c r="A399" s="385" t="s">
        <v>325</v>
      </c>
      <c r="B399" s="384" t="s">
        <v>326</v>
      </c>
      <c r="C399" s="384" t="s">
        <v>690</v>
      </c>
    </row>
    <row r="400" customFormat="false" ht="31.5" hidden="false" customHeight="true" outlineLevel="0" collapsed="false">
      <c r="A400" s="385" t="s">
        <v>325</v>
      </c>
      <c r="B400" s="384" t="s">
        <v>326</v>
      </c>
      <c r="C400" s="384" t="s">
        <v>691</v>
      </c>
    </row>
    <row r="401" customFormat="false" ht="31.5" hidden="false" customHeight="true" outlineLevel="0" collapsed="false">
      <c r="A401" s="385" t="s">
        <v>325</v>
      </c>
      <c r="B401" s="384" t="s">
        <v>326</v>
      </c>
      <c r="C401" s="384" t="s">
        <v>692</v>
      </c>
    </row>
    <row r="402" customFormat="false" ht="31.5" hidden="false" customHeight="true" outlineLevel="0" collapsed="false">
      <c r="A402" s="385" t="s">
        <v>325</v>
      </c>
      <c r="B402" s="384" t="s">
        <v>326</v>
      </c>
      <c r="C402" s="384" t="s">
        <v>693</v>
      </c>
    </row>
    <row r="403" customFormat="false" ht="31.5" hidden="false" customHeight="true" outlineLevel="0" collapsed="false">
      <c r="A403" s="385" t="s">
        <v>325</v>
      </c>
      <c r="B403" s="384" t="s">
        <v>326</v>
      </c>
      <c r="C403" s="384" t="s">
        <v>694</v>
      </c>
    </row>
    <row r="404" customFormat="false" ht="31.5" hidden="false" customHeight="true" outlineLevel="0" collapsed="false">
      <c r="A404" s="385" t="s">
        <v>325</v>
      </c>
      <c r="B404" s="384" t="s">
        <v>326</v>
      </c>
      <c r="C404" s="384" t="s">
        <v>695</v>
      </c>
    </row>
    <row r="405" customFormat="false" ht="31.5" hidden="false" customHeight="true" outlineLevel="0" collapsed="false">
      <c r="A405" s="385" t="s">
        <v>325</v>
      </c>
      <c r="B405" s="384" t="s">
        <v>326</v>
      </c>
      <c r="C405" s="384" t="s">
        <v>696</v>
      </c>
    </row>
    <row r="406" customFormat="false" ht="31.5" hidden="false" customHeight="true" outlineLevel="0" collapsed="false">
      <c r="A406" s="385" t="s">
        <v>325</v>
      </c>
      <c r="B406" s="384" t="s">
        <v>326</v>
      </c>
      <c r="C406" s="384" t="s">
        <v>697</v>
      </c>
    </row>
    <row r="407" customFormat="false" ht="31.5" hidden="false" customHeight="true" outlineLevel="0" collapsed="false">
      <c r="A407" s="385" t="s">
        <v>325</v>
      </c>
      <c r="B407" s="384" t="s">
        <v>326</v>
      </c>
      <c r="C407" s="384" t="s">
        <v>698</v>
      </c>
    </row>
    <row r="408" customFormat="false" ht="31.5" hidden="false" customHeight="true" outlineLevel="0" collapsed="false">
      <c r="A408" s="385" t="s">
        <v>325</v>
      </c>
      <c r="B408" s="384" t="s">
        <v>326</v>
      </c>
      <c r="C408" s="384" t="s">
        <v>699</v>
      </c>
    </row>
    <row r="409" customFormat="false" ht="31.5" hidden="false" customHeight="true" outlineLevel="0" collapsed="false">
      <c r="A409" s="385" t="s">
        <v>325</v>
      </c>
      <c r="B409" s="384" t="s">
        <v>326</v>
      </c>
      <c r="C409" s="384" t="s">
        <v>700</v>
      </c>
    </row>
    <row r="410" customFormat="false" ht="31.5" hidden="false" customHeight="true" outlineLevel="0" collapsed="false">
      <c r="A410" s="385" t="s">
        <v>325</v>
      </c>
      <c r="B410" s="384" t="s">
        <v>326</v>
      </c>
      <c r="C410" s="384" t="s">
        <v>701</v>
      </c>
    </row>
    <row r="411" customFormat="false" ht="31.5" hidden="false" customHeight="true" outlineLevel="0" collapsed="false">
      <c r="A411" s="385" t="s">
        <v>325</v>
      </c>
      <c r="B411" s="384" t="s">
        <v>326</v>
      </c>
      <c r="C411" s="384" t="s">
        <v>702</v>
      </c>
    </row>
    <row r="412" customFormat="false" ht="31.5" hidden="false" customHeight="true" outlineLevel="0" collapsed="false">
      <c r="A412" s="385" t="s">
        <v>325</v>
      </c>
      <c r="B412" s="384" t="s">
        <v>326</v>
      </c>
      <c r="C412" s="384" t="s">
        <v>703</v>
      </c>
    </row>
    <row r="413" customFormat="false" ht="31.5" hidden="false" customHeight="true" outlineLevel="0" collapsed="false">
      <c r="A413" s="385" t="s">
        <v>325</v>
      </c>
      <c r="B413" s="384" t="s">
        <v>326</v>
      </c>
      <c r="C413" s="384" t="s">
        <v>704</v>
      </c>
    </row>
    <row r="414" customFormat="false" ht="31.5" hidden="false" customHeight="true" outlineLevel="0" collapsed="false">
      <c r="A414" s="385" t="s">
        <v>325</v>
      </c>
      <c r="B414" s="384" t="s">
        <v>326</v>
      </c>
      <c r="C414" s="384" t="s">
        <v>705</v>
      </c>
    </row>
    <row r="415" customFormat="false" ht="31.5" hidden="false" customHeight="true" outlineLevel="0" collapsed="false">
      <c r="A415" s="385" t="s">
        <v>325</v>
      </c>
      <c r="B415" s="384" t="s">
        <v>326</v>
      </c>
      <c r="C415" s="384" t="s">
        <v>706</v>
      </c>
    </row>
    <row r="416" customFormat="false" ht="31.5" hidden="false" customHeight="true" outlineLevel="0" collapsed="false">
      <c r="A416" s="385" t="s">
        <v>325</v>
      </c>
      <c r="B416" s="384" t="s">
        <v>326</v>
      </c>
      <c r="C416" s="384" t="s">
        <v>707</v>
      </c>
    </row>
    <row r="417" customFormat="false" ht="31.5" hidden="false" customHeight="true" outlineLevel="0" collapsed="false">
      <c r="A417" s="385" t="s">
        <v>325</v>
      </c>
      <c r="B417" s="384" t="s">
        <v>326</v>
      </c>
      <c r="C417" s="384" t="s">
        <v>708</v>
      </c>
    </row>
    <row r="418" customFormat="false" ht="31.5" hidden="false" customHeight="true" outlineLevel="0" collapsed="false">
      <c r="A418" s="385" t="s">
        <v>325</v>
      </c>
      <c r="B418" s="384" t="s">
        <v>326</v>
      </c>
      <c r="C418" s="384" t="s">
        <v>709</v>
      </c>
    </row>
    <row r="419" customFormat="false" ht="31.5" hidden="false" customHeight="true" outlineLevel="0" collapsed="false">
      <c r="A419" s="385" t="s">
        <v>325</v>
      </c>
      <c r="B419" s="384" t="s">
        <v>326</v>
      </c>
      <c r="C419" s="384" t="s">
        <v>710</v>
      </c>
    </row>
    <row r="420" customFormat="false" ht="31.5" hidden="false" customHeight="true" outlineLevel="0" collapsed="false">
      <c r="A420" s="385" t="s">
        <v>325</v>
      </c>
      <c r="B420" s="384" t="s">
        <v>326</v>
      </c>
      <c r="C420" s="384" t="s">
        <v>711</v>
      </c>
    </row>
    <row r="421" customFormat="false" ht="31.5" hidden="false" customHeight="true" outlineLevel="0" collapsed="false">
      <c r="A421" s="385" t="s">
        <v>325</v>
      </c>
      <c r="B421" s="384" t="s">
        <v>326</v>
      </c>
      <c r="C421" s="384" t="s">
        <v>712</v>
      </c>
    </row>
    <row r="422" customFormat="false" ht="31.5" hidden="false" customHeight="true" outlineLevel="0" collapsed="false">
      <c r="A422" s="385" t="s">
        <v>325</v>
      </c>
      <c r="B422" s="384" t="s">
        <v>326</v>
      </c>
      <c r="C422" s="384" t="s">
        <v>713</v>
      </c>
    </row>
    <row r="423" customFormat="false" ht="31.5" hidden="false" customHeight="true" outlineLevel="0" collapsed="false">
      <c r="A423" s="385" t="s">
        <v>325</v>
      </c>
      <c r="B423" s="384" t="s">
        <v>326</v>
      </c>
      <c r="C423" s="384" t="s">
        <v>714</v>
      </c>
    </row>
    <row r="424" customFormat="false" ht="31.5" hidden="false" customHeight="true" outlineLevel="0" collapsed="false">
      <c r="A424" s="385" t="s">
        <v>325</v>
      </c>
      <c r="B424" s="384" t="s">
        <v>326</v>
      </c>
      <c r="C424" s="384" t="s">
        <v>715</v>
      </c>
    </row>
    <row r="425" customFormat="false" ht="31.5" hidden="false" customHeight="true" outlineLevel="0" collapsed="false">
      <c r="A425" s="385" t="s">
        <v>325</v>
      </c>
      <c r="B425" s="384" t="s">
        <v>326</v>
      </c>
      <c r="C425" s="384" t="s">
        <v>716</v>
      </c>
    </row>
    <row r="426" customFormat="false" ht="31.5" hidden="false" customHeight="true" outlineLevel="0" collapsed="false">
      <c r="A426" s="385" t="s">
        <v>325</v>
      </c>
      <c r="B426" s="384" t="s">
        <v>326</v>
      </c>
      <c r="C426" s="384" t="s">
        <v>717</v>
      </c>
    </row>
    <row r="427" customFormat="false" ht="31.5" hidden="false" customHeight="true" outlineLevel="0" collapsed="false">
      <c r="A427" s="385" t="s">
        <v>325</v>
      </c>
      <c r="B427" s="384" t="s">
        <v>326</v>
      </c>
      <c r="C427" s="384" t="s">
        <v>718</v>
      </c>
    </row>
    <row r="428" customFormat="false" ht="31.5" hidden="false" customHeight="true" outlineLevel="0" collapsed="false">
      <c r="A428" s="385" t="s">
        <v>325</v>
      </c>
      <c r="B428" s="384" t="s">
        <v>326</v>
      </c>
      <c r="C428" s="384" t="s">
        <v>719</v>
      </c>
    </row>
    <row r="429" customFormat="false" ht="31.5" hidden="false" customHeight="true" outlineLevel="0" collapsed="false">
      <c r="A429" s="385" t="s">
        <v>325</v>
      </c>
      <c r="B429" s="384" t="s">
        <v>326</v>
      </c>
      <c r="C429" s="384" t="s">
        <v>720</v>
      </c>
    </row>
    <row r="430" customFormat="false" ht="31.5" hidden="false" customHeight="true" outlineLevel="0" collapsed="false">
      <c r="A430" s="385" t="s">
        <v>325</v>
      </c>
      <c r="B430" s="384" t="s">
        <v>326</v>
      </c>
      <c r="C430" s="384" t="s">
        <v>721</v>
      </c>
    </row>
    <row r="431" customFormat="false" ht="31.5" hidden="false" customHeight="true" outlineLevel="0" collapsed="false">
      <c r="A431" s="385" t="s">
        <v>325</v>
      </c>
      <c r="B431" s="384" t="s">
        <v>326</v>
      </c>
      <c r="C431" s="384" t="s">
        <v>722</v>
      </c>
    </row>
    <row r="432" customFormat="false" ht="31.5" hidden="false" customHeight="true" outlineLevel="0" collapsed="false">
      <c r="A432" s="385" t="s">
        <v>325</v>
      </c>
      <c r="B432" s="384" t="s">
        <v>326</v>
      </c>
      <c r="C432" s="384" t="s">
        <v>723</v>
      </c>
    </row>
    <row r="433" customFormat="false" ht="31.5" hidden="false" customHeight="true" outlineLevel="0" collapsed="false">
      <c r="A433" s="385" t="s">
        <v>325</v>
      </c>
      <c r="B433" s="384" t="s">
        <v>326</v>
      </c>
      <c r="C433" s="384" t="s">
        <v>724</v>
      </c>
    </row>
    <row r="434" customFormat="false" ht="31.5" hidden="false" customHeight="true" outlineLevel="0" collapsed="false">
      <c r="A434" s="385" t="s">
        <v>325</v>
      </c>
      <c r="B434" s="384" t="s">
        <v>326</v>
      </c>
      <c r="C434" s="384" t="s">
        <v>725</v>
      </c>
    </row>
    <row r="435" customFormat="false" ht="31.5" hidden="false" customHeight="true" outlineLevel="0" collapsed="false">
      <c r="A435" s="385" t="s">
        <v>325</v>
      </c>
      <c r="B435" s="384" t="s">
        <v>326</v>
      </c>
      <c r="C435" s="384" t="s">
        <v>726</v>
      </c>
    </row>
    <row r="436" customFormat="false" ht="31.5" hidden="false" customHeight="true" outlineLevel="0" collapsed="false">
      <c r="A436" s="385" t="s">
        <v>325</v>
      </c>
      <c r="B436" s="384" t="s">
        <v>326</v>
      </c>
      <c r="C436" s="384" t="s">
        <v>727</v>
      </c>
    </row>
    <row r="437" customFormat="false" ht="31.5" hidden="false" customHeight="true" outlineLevel="0" collapsed="false">
      <c r="A437" s="385" t="s">
        <v>325</v>
      </c>
      <c r="B437" s="384" t="s">
        <v>326</v>
      </c>
      <c r="C437" s="384" t="s">
        <v>728</v>
      </c>
    </row>
    <row r="438" customFormat="false" ht="31.5" hidden="false" customHeight="true" outlineLevel="0" collapsed="false">
      <c r="A438" s="385" t="s">
        <v>325</v>
      </c>
      <c r="B438" s="384" t="s">
        <v>326</v>
      </c>
      <c r="C438" s="384" t="s">
        <v>726</v>
      </c>
    </row>
    <row r="439" customFormat="false" ht="31.5" hidden="false" customHeight="true" outlineLevel="0" collapsed="false">
      <c r="A439" s="385" t="s">
        <v>325</v>
      </c>
      <c r="B439" s="384" t="s">
        <v>326</v>
      </c>
      <c r="C439" s="384" t="s">
        <v>727</v>
      </c>
    </row>
    <row r="440" customFormat="false" ht="31.5" hidden="false" customHeight="true" outlineLevel="0" collapsed="false">
      <c r="A440" s="385" t="s">
        <v>325</v>
      </c>
      <c r="B440" s="384" t="s">
        <v>326</v>
      </c>
      <c r="C440" s="384" t="s">
        <v>728</v>
      </c>
    </row>
    <row r="441" customFormat="false" ht="31.5" hidden="false" customHeight="true" outlineLevel="0" collapsed="false">
      <c r="A441" s="385" t="s">
        <v>325</v>
      </c>
      <c r="B441" s="384" t="s">
        <v>326</v>
      </c>
      <c r="C441" s="384" t="s">
        <v>729</v>
      </c>
    </row>
    <row r="442" customFormat="false" ht="31.5" hidden="false" customHeight="true" outlineLevel="0" collapsed="false">
      <c r="A442" s="385" t="s">
        <v>325</v>
      </c>
      <c r="B442" s="384" t="s">
        <v>326</v>
      </c>
      <c r="C442" s="384" t="s">
        <v>730</v>
      </c>
    </row>
    <row r="443" customFormat="false" ht="31.5" hidden="false" customHeight="true" outlineLevel="0" collapsed="false">
      <c r="A443" s="385" t="s">
        <v>325</v>
      </c>
      <c r="B443" s="384" t="s">
        <v>326</v>
      </c>
      <c r="C443" s="384" t="s">
        <v>731</v>
      </c>
    </row>
    <row r="444" customFormat="false" ht="31.5" hidden="false" customHeight="true" outlineLevel="0" collapsed="false">
      <c r="A444" s="385" t="s">
        <v>325</v>
      </c>
      <c r="B444" s="384" t="s">
        <v>326</v>
      </c>
      <c r="C444" s="384" t="s">
        <v>729</v>
      </c>
    </row>
    <row r="445" customFormat="false" ht="31.5" hidden="false" customHeight="true" outlineLevel="0" collapsed="false">
      <c r="A445" s="385" t="s">
        <v>325</v>
      </c>
      <c r="B445" s="384" t="s">
        <v>326</v>
      </c>
      <c r="C445" s="384" t="s">
        <v>730</v>
      </c>
    </row>
    <row r="446" customFormat="false" ht="31.5" hidden="false" customHeight="true" outlineLevel="0" collapsed="false">
      <c r="A446" s="385" t="s">
        <v>325</v>
      </c>
      <c r="B446" s="384" t="s">
        <v>326</v>
      </c>
      <c r="C446" s="384" t="s">
        <v>731</v>
      </c>
    </row>
    <row r="447" customFormat="false" ht="31.5" hidden="false" customHeight="true" outlineLevel="0" collapsed="false">
      <c r="A447" s="385" t="s">
        <v>325</v>
      </c>
      <c r="B447" s="384" t="s">
        <v>326</v>
      </c>
      <c r="C447" s="384" t="s">
        <v>732</v>
      </c>
    </row>
    <row r="448" customFormat="false" ht="31.5" hidden="false" customHeight="true" outlineLevel="0" collapsed="false">
      <c r="A448" s="385" t="s">
        <v>325</v>
      </c>
      <c r="B448" s="384" t="s">
        <v>326</v>
      </c>
      <c r="C448" s="384" t="s">
        <v>733</v>
      </c>
    </row>
    <row r="449" customFormat="false" ht="31.5" hidden="false" customHeight="true" outlineLevel="0" collapsed="false">
      <c r="A449" s="385" t="s">
        <v>325</v>
      </c>
      <c r="B449" s="384" t="s">
        <v>326</v>
      </c>
      <c r="C449" s="384" t="s">
        <v>734</v>
      </c>
    </row>
    <row r="450" customFormat="false" ht="31.5" hidden="false" customHeight="true" outlineLevel="0" collapsed="false">
      <c r="A450" s="385" t="s">
        <v>325</v>
      </c>
      <c r="B450" s="384" t="s">
        <v>326</v>
      </c>
      <c r="C450" s="384" t="s">
        <v>732</v>
      </c>
    </row>
    <row r="451" customFormat="false" ht="31.5" hidden="false" customHeight="true" outlineLevel="0" collapsed="false">
      <c r="A451" s="385" t="s">
        <v>325</v>
      </c>
      <c r="B451" s="384" t="s">
        <v>326</v>
      </c>
      <c r="C451" s="384" t="s">
        <v>733</v>
      </c>
    </row>
    <row r="452" customFormat="false" ht="31.5" hidden="false" customHeight="true" outlineLevel="0" collapsed="false">
      <c r="A452" s="385" t="s">
        <v>325</v>
      </c>
      <c r="B452" s="384" t="s">
        <v>326</v>
      </c>
      <c r="C452" s="384" t="s">
        <v>734</v>
      </c>
    </row>
    <row r="453" customFormat="false" ht="31.5" hidden="false" customHeight="true" outlineLevel="0" collapsed="false">
      <c r="A453" s="385" t="s">
        <v>325</v>
      </c>
      <c r="B453" s="384" t="s">
        <v>326</v>
      </c>
      <c r="C453" s="384" t="s">
        <v>735</v>
      </c>
    </row>
    <row r="454" customFormat="false" ht="31.5" hidden="false" customHeight="true" outlineLevel="0" collapsed="false">
      <c r="A454" s="385" t="s">
        <v>325</v>
      </c>
      <c r="B454" s="384" t="s">
        <v>326</v>
      </c>
      <c r="C454" s="384" t="s">
        <v>736</v>
      </c>
    </row>
    <row r="455" customFormat="false" ht="31.5" hidden="false" customHeight="true" outlineLevel="0" collapsed="false">
      <c r="A455" s="385" t="s">
        <v>325</v>
      </c>
      <c r="B455" s="384" t="s">
        <v>326</v>
      </c>
      <c r="C455" s="384" t="s">
        <v>737</v>
      </c>
    </row>
    <row r="456" customFormat="false" ht="31.5" hidden="false" customHeight="true" outlineLevel="0" collapsed="false">
      <c r="A456" s="385" t="s">
        <v>325</v>
      </c>
      <c r="B456" s="384" t="s">
        <v>326</v>
      </c>
      <c r="C456" s="384" t="s">
        <v>735</v>
      </c>
    </row>
    <row r="457" customFormat="false" ht="31.5" hidden="false" customHeight="true" outlineLevel="0" collapsed="false">
      <c r="A457" s="385" t="s">
        <v>325</v>
      </c>
      <c r="B457" s="384" t="s">
        <v>326</v>
      </c>
      <c r="C457" s="384" t="s">
        <v>736</v>
      </c>
    </row>
    <row r="458" customFormat="false" ht="31.5" hidden="false" customHeight="true" outlineLevel="0" collapsed="false">
      <c r="A458" s="385" t="s">
        <v>325</v>
      </c>
      <c r="B458" s="384" t="s">
        <v>326</v>
      </c>
      <c r="C458" s="384" t="s">
        <v>737</v>
      </c>
    </row>
    <row r="459" customFormat="false" ht="31.5" hidden="false" customHeight="true" outlineLevel="0" collapsed="false">
      <c r="A459" s="385" t="s">
        <v>325</v>
      </c>
      <c r="B459" s="384" t="s">
        <v>326</v>
      </c>
      <c r="C459" s="384" t="s">
        <v>738</v>
      </c>
    </row>
    <row r="460" customFormat="false" ht="31.5" hidden="false" customHeight="true" outlineLevel="0" collapsed="false">
      <c r="A460" s="385" t="s">
        <v>325</v>
      </c>
      <c r="B460" s="384" t="s">
        <v>326</v>
      </c>
      <c r="C460" s="384" t="s">
        <v>739</v>
      </c>
    </row>
    <row r="461" customFormat="false" ht="31.5" hidden="false" customHeight="true" outlineLevel="0" collapsed="false">
      <c r="A461" s="385" t="s">
        <v>325</v>
      </c>
      <c r="B461" s="384" t="s">
        <v>326</v>
      </c>
      <c r="C461" s="384" t="s">
        <v>740</v>
      </c>
    </row>
    <row r="462" customFormat="false" ht="31.5" hidden="false" customHeight="true" outlineLevel="0" collapsed="false">
      <c r="A462" s="385" t="s">
        <v>325</v>
      </c>
      <c r="B462" s="384" t="s">
        <v>326</v>
      </c>
      <c r="C462" s="384" t="s">
        <v>738</v>
      </c>
    </row>
    <row r="463" customFormat="false" ht="31.5" hidden="false" customHeight="true" outlineLevel="0" collapsed="false">
      <c r="A463" s="385" t="s">
        <v>325</v>
      </c>
      <c r="B463" s="384" t="s">
        <v>326</v>
      </c>
      <c r="C463" s="384" t="s">
        <v>739</v>
      </c>
    </row>
    <row r="464" customFormat="false" ht="31.5" hidden="false" customHeight="true" outlineLevel="0" collapsed="false">
      <c r="A464" s="385" t="s">
        <v>325</v>
      </c>
      <c r="B464" s="384" t="s">
        <v>326</v>
      </c>
      <c r="C464" s="384" t="s">
        <v>740</v>
      </c>
    </row>
    <row r="465" customFormat="false" ht="31.5" hidden="false" customHeight="true" outlineLevel="0" collapsed="false">
      <c r="A465" s="385" t="s">
        <v>325</v>
      </c>
      <c r="B465" s="384" t="s">
        <v>326</v>
      </c>
      <c r="C465" s="384" t="s">
        <v>741</v>
      </c>
    </row>
    <row r="466" customFormat="false" ht="31.5" hidden="false" customHeight="true" outlineLevel="0" collapsed="false">
      <c r="A466" s="385" t="s">
        <v>325</v>
      </c>
      <c r="B466" s="384" t="s">
        <v>326</v>
      </c>
      <c r="C466" s="384" t="s">
        <v>742</v>
      </c>
    </row>
    <row r="467" customFormat="false" ht="31.5" hidden="false" customHeight="true" outlineLevel="0" collapsed="false">
      <c r="A467" s="385" t="s">
        <v>325</v>
      </c>
      <c r="B467" s="384" t="s">
        <v>326</v>
      </c>
      <c r="C467" s="384" t="s">
        <v>743</v>
      </c>
    </row>
    <row r="468" customFormat="false" ht="31.5" hidden="false" customHeight="true" outlineLevel="0" collapsed="false">
      <c r="A468" s="385" t="s">
        <v>325</v>
      </c>
      <c r="B468" s="384" t="s">
        <v>326</v>
      </c>
      <c r="C468" s="384" t="s">
        <v>744</v>
      </c>
    </row>
    <row r="469" customFormat="false" ht="31.5" hidden="false" customHeight="true" outlineLevel="0" collapsed="false">
      <c r="A469" s="385" t="s">
        <v>325</v>
      </c>
      <c r="B469" s="384" t="s">
        <v>326</v>
      </c>
      <c r="C469" s="384" t="s">
        <v>745</v>
      </c>
    </row>
    <row r="470" customFormat="false" ht="31.5" hidden="false" customHeight="true" outlineLevel="0" collapsed="false">
      <c r="A470" s="385" t="s">
        <v>325</v>
      </c>
      <c r="B470" s="384" t="s">
        <v>326</v>
      </c>
      <c r="C470" s="384" t="s">
        <v>746</v>
      </c>
    </row>
    <row r="471" customFormat="false" ht="31.5" hidden="false" customHeight="true" outlineLevel="0" collapsed="false">
      <c r="A471" s="385" t="s">
        <v>325</v>
      </c>
      <c r="B471" s="384" t="s">
        <v>326</v>
      </c>
      <c r="C471" s="384" t="s">
        <v>747</v>
      </c>
    </row>
    <row r="472" customFormat="false" ht="31.5" hidden="false" customHeight="true" outlineLevel="0" collapsed="false">
      <c r="A472" s="385" t="s">
        <v>325</v>
      </c>
      <c r="B472" s="384" t="s">
        <v>326</v>
      </c>
      <c r="C472" s="384" t="s">
        <v>748</v>
      </c>
    </row>
    <row r="473" customFormat="false" ht="31.5" hidden="false" customHeight="true" outlineLevel="0" collapsed="false">
      <c r="A473" s="385" t="s">
        <v>325</v>
      </c>
      <c r="B473" s="384" t="s">
        <v>326</v>
      </c>
      <c r="C473" s="384" t="s">
        <v>749</v>
      </c>
    </row>
    <row r="474" customFormat="false" ht="31.5" hidden="false" customHeight="true" outlineLevel="0" collapsed="false">
      <c r="A474" s="385" t="s">
        <v>325</v>
      </c>
      <c r="B474" s="384" t="s">
        <v>326</v>
      </c>
      <c r="C474" s="384" t="s">
        <v>750</v>
      </c>
    </row>
    <row r="475" customFormat="false" ht="31.5" hidden="false" customHeight="true" outlineLevel="0" collapsed="false">
      <c r="A475" s="385" t="s">
        <v>325</v>
      </c>
      <c r="B475" s="384" t="s">
        <v>326</v>
      </c>
      <c r="C475" s="384" t="s">
        <v>751</v>
      </c>
    </row>
    <row r="476" customFormat="false" ht="31.5" hidden="false" customHeight="true" outlineLevel="0" collapsed="false">
      <c r="A476" s="385" t="s">
        <v>325</v>
      </c>
      <c r="B476" s="384" t="s">
        <v>326</v>
      </c>
      <c r="C476" s="384" t="s">
        <v>752</v>
      </c>
    </row>
    <row r="477" customFormat="false" ht="31.5" hidden="false" customHeight="true" outlineLevel="0" collapsed="false">
      <c r="A477" s="385" t="s">
        <v>325</v>
      </c>
      <c r="B477" s="384" t="s">
        <v>326</v>
      </c>
      <c r="C477" s="384" t="s">
        <v>753</v>
      </c>
    </row>
    <row r="478" customFormat="false" ht="31.5" hidden="false" customHeight="true" outlineLevel="0" collapsed="false">
      <c r="A478" s="385" t="s">
        <v>325</v>
      </c>
      <c r="B478" s="384" t="s">
        <v>326</v>
      </c>
      <c r="C478" s="384" t="s">
        <v>754</v>
      </c>
    </row>
    <row r="479" customFormat="false" ht="31.5" hidden="false" customHeight="true" outlineLevel="0" collapsed="false">
      <c r="A479" s="385" t="s">
        <v>325</v>
      </c>
      <c r="B479" s="384" t="s">
        <v>326</v>
      </c>
      <c r="C479" s="384" t="s">
        <v>755</v>
      </c>
    </row>
    <row r="480" customFormat="false" ht="31.5" hidden="false" customHeight="true" outlineLevel="0" collapsed="false">
      <c r="A480" s="385" t="s">
        <v>325</v>
      </c>
      <c r="B480" s="384" t="s">
        <v>326</v>
      </c>
      <c r="C480" s="384" t="s">
        <v>756</v>
      </c>
    </row>
    <row r="481" customFormat="false" ht="31.5" hidden="false" customHeight="true" outlineLevel="0" collapsed="false">
      <c r="A481" s="385" t="s">
        <v>325</v>
      </c>
      <c r="B481" s="384" t="s">
        <v>326</v>
      </c>
      <c r="C481" s="384" t="s">
        <v>757</v>
      </c>
    </row>
    <row r="482" customFormat="false" ht="31.5" hidden="false" customHeight="true" outlineLevel="0" collapsed="false">
      <c r="A482" s="385" t="s">
        <v>325</v>
      </c>
      <c r="B482" s="384" t="s">
        <v>326</v>
      </c>
      <c r="C482" s="384" t="s">
        <v>758</v>
      </c>
    </row>
    <row r="483" customFormat="false" ht="31.5" hidden="false" customHeight="true" outlineLevel="0" collapsed="false">
      <c r="A483" s="385" t="s">
        <v>325</v>
      </c>
      <c r="B483" s="384" t="s">
        <v>326</v>
      </c>
      <c r="C483" s="384" t="s">
        <v>759</v>
      </c>
    </row>
    <row r="484" customFormat="false" ht="31.5" hidden="false" customHeight="true" outlineLevel="0" collapsed="false">
      <c r="A484" s="385" t="s">
        <v>325</v>
      </c>
      <c r="B484" s="384" t="s">
        <v>326</v>
      </c>
      <c r="C484" s="384" t="s">
        <v>760</v>
      </c>
    </row>
    <row r="485" customFormat="false" ht="31.5" hidden="false" customHeight="true" outlineLevel="0" collapsed="false">
      <c r="A485" s="385" t="s">
        <v>325</v>
      </c>
      <c r="B485" s="384" t="s">
        <v>326</v>
      </c>
      <c r="C485" s="384" t="s">
        <v>761</v>
      </c>
    </row>
    <row r="486" customFormat="false" ht="31.5" hidden="false" customHeight="true" outlineLevel="0" collapsed="false">
      <c r="A486" s="385" t="s">
        <v>325</v>
      </c>
      <c r="B486" s="384" t="s">
        <v>326</v>
      </c>
      <c r="C486" s="384" t="s">
        <v>762</v>
      </c>
    </row>
    <row r="487" customFormat="false" ht="31.5" hidden="false" customHeight="true" outlineLevel="0" collapsed="false">
      <c r="A487" s="385" t="s">
        <v>325</v>
      </c>
      <c r="B487" s="384" t="s">
        <v>326</v>
      </c>
      <c r="C487" s="384" t="s">
        <v>763</v>
      </c>
    </row>
    <row r="488" customFormat="false" ht="31.5" hidden="false" customHeight="true" outlineLevel="0" collapsed="false">
      <c r="A488" s="385" t="s">
        <v>325</v>
      </c>
      <c r="B488" s="384" t="s">
        <v>326</v>
      </c>
      <c r="C488" s="384" t="s">
        <v>764</v>
      </c>
    </row>
    <row r="489" customFormat="false" ht="31.5" hidden="false" customHeight="true" outlineLevel="0" collapsed="false">
      <c r="A489" s="385" t="s">
        <v>325</v>
      </c>
      <c r="B489" s="384" t="s">
        <v>326</v>
      </c>
      <c r="C489" s="384" t="s">
        <v>765</v>
      </c>
    </row>
    <row r="490" customFormat="false" ht="31.5" hidden="false" customHeight="true" outlineLevel="0" collapsed="false">
      <c r="A490" s="385" t="s">
        <v>325</v>
      </c>
      <c r="B490" s="384" t="s">
        <v>326</v>
      </c>
      <c r="C490" s="384" t="s">
        <v>766</v>
      </c>
    </row>
    <row r="491" customFormat="false" ht="31.5" hidden="false" customHeight="true" outlineLevel="0" collapsed="false">
      <c r="A491" s="385" t="s">
        <v>325</v>
      </c>
      <c r="B491" s="384" t="s">
        <v>326</v>
      </c>
      <c r="C491" s="384" t="s">
        <v>767</v>
      </c>
    </row>
    <row r="492" customFormat="false" ht="31.5" hidden="false" customHeight="true" outlineLevel="0" collapsed="false">
      <c r="A492" s="385" t="s">
        <v>325</v>
      </c>
      <c r="B492" s="384" t="s">
        <v>326</v>
      </c>
      <c r="C492" s="384" t="s">
        <v>768</v>
      </c>
    </row>
    <row r="493" customFormat="false" ht="31.5" hidden="false" customHeight="true" outlineLevel="0" collapsed="false">
      <c r="A493" s="385" t="s">
        <v>325</v>
      </c>
      <c r="B493" s="384" t="s">
        <v>326</v>
      </c>
      <c r="C493" s="384" t="s">
        <v>769</v>
      </c>
    </row>
    <row r="494" customFormat="false" ht="31.5" hidden="false" customHeight="true" outlineLevel="0" collapsed="false">
      <c r="A494" s="385" t="s">
        <v>325</v>
      </c>
      <c r="B494" s="384" t="s">
        <v>326</v>
      </c>
      <c r="C494" s="384" t="s">
        <v>770</v>
      </c>
    </row>
    <row r="495" customFormat="false" ht="31.5" hidden="false" customHeight="true" outlineLevel="0" collapsed="false">
      <c r="A495" s="385" t="s">
        <v>325</v>
      </c>
      <c r="B495" s="384" t="s">
        <v>326</v>
      </c>
      <c r="C495" s="384" t="s">
        <v>771</v>
      </c>
    </row>
    <row r="496" customFormat="false" ht="31.5" hidden="false" customHeight="true" outlineLevel="0" collapsed="false">
      <c r="A496" s="385" t="s">
        <v>325</v>
      </c>
      <c r="B496" s="384" t="s">
        <v>326</v>
      </c>
      <c r="C496" s="384" t="s">
        <v>772</v>
      </c>
    </row>
    <row r="497" customFormat="false" ht="31.5" hidden="false" customHeight="true" outlineLevel="0" collapsed="false">
      <c r="A497" s="385" t="s">
        <v>325</v>
      </c>
      <c r="B497" s="384" t="s">
        <v>326</v>
      </c>
      <c r="C497" s="384" t="s">
        <v>773</v>
      </c>
    </row>
  </sheetData>
  <autoFilter ref="A5:C497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2026-10-03T22:47:35Z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