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urance Model" sheetId="1" state="visible" r:id="rId3"/>
    <sheet name="Data Review" sheetId="2" state="visible" r:id="rId4"/>
  </sheets>
  <definedNames>
    <definedName function="false" hidden="true" localSheetId="1" name="_xlnm._FilterDatabase" vbProcedure="false">'Data Review'!$A$5:$C$129</definedName>
    <definedName function="false" hidden="true" localSheetId="0" name="_xlnm._FilterDatabase" vbProcedure="false">'Insurance Model'!$A$5:$G$35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DCF Builder Pro</author>
  </authors>
  <commentList>
    <comment ref="B5" authorId="0">
      <text>
        <r>
          <rPr>
            <sz val="10"/>
            <rFont val="Arial"/>
            <family val="2"/>
          </rPr>
          <t xml:space="preserve">Canonical method: filed_10k_insurance_table_value_normalized.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Canonical method: filed_10k_insurance_table_value_normalized.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Canonical method: filed_10k_insurance_table_value_normalized.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Canonical method: filed_10k_insurance_table_value_normalized.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Canonical method: filed_10k_insurance_table_value_normalized.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Canonical method: acquisition_plus_general_underwriting_expenses.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Canonical method: filed_10k_insurance_table_value_normalized.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Canonical method: filed_10k_insurance_table_value_normalized.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Canonical method: filed_10k_insurance_table_value_normalized.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Canonical method: filed_10k_insurance_table_value_normalized.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Canonical method: filed_10k_insurance_table_value_normalized.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Canonical method: filed_10k_insurance_table_value_normalized.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Canonical method: companyfacts_preferred_direct.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Canonical method: filed_10k_insurance_table_value_normalized.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Canonical method: filed_10k_insurance_table_value_normalized.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Canonical method: filed_loss_payment_outflow_shown_as_positive_claims_paid.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Canonical method: filed_10k_insurance_table_value_normalized.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Canonical method: filed_10k_insurance_table_value_normalized.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Canonical method: filed_10k_insurance_table_value_normalized.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Canonical method: filed_10k_insurance_table_value_normalized.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Canonical method: opening_reserves_plus_incurred_less_paid_plus_other_changes_less_ending_reserves.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Canonical method: filed_10k_insurance_table_value_normalized.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Canonical method: filed_10k_insurance_table_value_normalized.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Canonical method: filed_10k_insurance_table_value_normalized.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Canonical method: parent_attributable_equity_less_preferred_stock.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Canonical method: common_dividends_plus_common_stock_repurchases.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Canonical method: companyfacts_preferred_direct.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Canonical method: preferred_direct.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Canonical method: income_tax_expense_over_pretax_income.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Canonical method: preferred_direct.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Canonical method: reported_pretax_less_p_and_c_underwriting_investment_and_other_operations_income. Filing accession(s): 0000005272-26-000023.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FY2024–FY2025 filed net-premium-written growth.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FY2025 filed General Insurance loss ratio; it includes prior-year reserve development.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FY2025 filed General Insurance expense ratio.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FY2023–FY2025 average filed prior-year reserve development ratio; positive values are favorable releases.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FY2025 General Insurance net investment income divided by average FY2024–FY2025 invested assets.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FY2024–FY2025 filed investment-balance growth.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FY2023–FY2025 filed loss payments divided by losses incurred.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Analyst assumption: 0.0% of earned premiums; FX, divestitures, and retroactive-reinsurance changes are shown separately and not projected as recurring items.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Analyst assumption: 0.0% growth in the separately reported Other Operations pretax line.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Analyst assumption: 0.0% growth in the filed-to-GAAP pretax reconciliation line.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FY2025 income_tax_expense_over_pretax_income: IncomeTaxExpenseBenefit accession 0000005272-26-000023 filed 2026-02-12; IncomeLossFromContinuingOperationsBeforeIncomeTaxesExtraordinaryItemsNoncontrollingInterest accession 0000005272-26-000023 filed 2026-02-12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FY2025 filed common distributions divided by net income available to common.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Ratio: FY2025 minimum required statutory capital divided by net premiums written.. Filed minimum required capital: InsuranceMinimumStatutoryCapital accession 0000005272-26-000023 filed 2026-02-12.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live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live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openbb_yfinance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Analyst base-case assumption: 2.5% terminal residual-income growth; editable in the workbook.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Current market quote, openbb_yfinance; valuation context as of 2026-10-03.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Filed weighted-average diluted shares from FY2025; see the sourced input table.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2</xdr:row>
                <xdr:rowOff>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<sst xmlns="http://schemas.openxmlformats.org/spreadsheetml/2006/main" count="684" uniqueCount="294">
  <si>
    <t xml:space="preserve">AMERICAN INTERNATIONAL GROUP, INC. (AIG) — P&amp;C Insurance Residual Income Model</t>
  </si>
  <si>
    <t xml:space="preserve">Common-equity valuation. Amounts are USD actual values displayed in millions, except per share, ratios, and shares. Blue cells are editable assumptions; forecast and valuation cells are formulas.</t>
  </si>
  <si>
    <t xml:space="preserve">Filed FY2025 reported operating, reserve, capital, and common-equity inputs</t>
  </si>
  <si>
    <t xml:space="preserve">Reported input</t>
  </si>
  <si>
    <t xml:space="preserve">FY2025 value</t>
  </si>
  <si>
    <t xml:space="preserve">SEC concept(s)</t>
  </si>
  <si>
    <t xml:space="preserve">Accession(s)</t>
  </si>
  <si>
    <t xml:space="preserve">Filed date(s)</t>
  </si>
  <si>
    <t xml:space="preserve">Fiscal period(s)</t>
  </si>
  <si>
    <t xml:space="preserve">Unit(s)</t>
  </si>
  <si>
    <t xml:space="preserve">Canonical method</t>
  </si>
  <si>
    <t xml:space="preserve">Net premiums written</t>
  </si>
  <si>
    <t xml:space="preserve">InsuranceNetPremiumsWritten</t>
  </si>
  <si>
    <t xml:space="preserve">0000005272-26-000023</t>
  </si>
  <si>
    <t xml:space="preserve">2026-02-12</t>
  </si>
  <si>
    <t xml:space="preserve">FY 2025</t>
  </si>
  <si>
    <t xml:space="preserve">USD millions</t>
  </si>
  <si>
    <t xml:space="preserve">filed_10k_insurance_table_value_normalized</t>
  </si>
  <si>
    <t xml:space="preserve">Net premiums earned</t>
  </si>
  <si>
    <t xml:space="preserve">InsuranceNetPremiumsEarned</t>
  </si>
  <si>
    <t xml:space="preserve">Losses and loss-adjustment expenses</t>
  </si>
  <si>
    <t xml:space="preserve">InsuranceLossesAndLAE</t>
  </si>
  <si>
    <t xml:space="preserve">Acquisition expenses</t>
  </si>
  <si>
    <t xml:space="preserve">InsuranceAcquisitionExpenses</t>
  </si>
  <si>
    <t xml:space="preserve">General operating expenses</t>
  </si>
  <si>
    <t xml:space="preserve">InsuranceGeneralOperatingExpenses</t>
  </si>
  <si>
    <t xml:space="preserve">Total underwriting expenses</t>
  </si>
  <si>
    <t xml:space="preserve">InsuranceAcquisitionExpenses; InsuranceGeneralOperatingExpenses</t>
  </si>
  <si>
    <t xml:space="preserve">acquisition_plus_general_underwriting_expenses</t>
  </si>
  <si>
    <t xml:space="preserve">Reported loss ratio</t>
  </si>
  <si>
    <t xml:space="preserve">InsuranceLossRatio</t>
  </si>
  <si>
    <t xml:space="preserve">percent percent</t>
  </si>
  <si>
    <t xml:space="preserve">Reported expense ratio</t>
  </si>
  <si>
    <t xml:space="preserve">InsuranceExpenseRatio</t>
  </si>
  <si>
    <t xml:space="preserve">Reported combined ratio</t>
  </si>
  <si>
    <t xml:space="preserve">InsuranceCombinedRatio</t>
  </si>
  <si>
    <t xml:space="preserve">Prior-year reserve development</t>
  </si>
  <si>
    <t xml:space="preserve">InsurancePriorYearReserveDevelopment</t>
  </si>
  <si>
    <t xml:space="preserve">Underwriting income</t>
  </si>
  <si>
    <t xml:space="preserve">InsuranceUnderwritingIncome</t>
  </si>
  <si>
    <t xml:space="preserve">General Insurance net investment income</t>
  </si>
  <si>
    <t xml:space="preserve">InsuranceNetInvestmentIncome</t>
  </si>
  <si>
    <t xml:space="preserve">General Insurance invested assets</t>
  </si>
  <si>
    <t xml:space="preserve">us-gaap:Investments</t>
  </si>
  <si>
    <t xml:space="preserve">USD actual</t>
  </si>
  <si>
    <t xml:space="preserve">companyfacts_preferred_direct</t>
  </si>
  <si>
    <t xml:space="preserve">Opening net loss reserves</t>
  </si>
  <si>
    <t xml:space="preserve">InsuranceUnpaidLossReservesBeginning</t>
  </si>
  <si>
    <t xml:space="preserve">Losses incurred for reserve roll-forward</t>
  </si>
  <si>
    <t xml:space="preserve">InsuranceLossesIncurredForReserveRollforward</t>
  </si>
  <si>
    <t xml:space="preserve">Losses paid for reserve roll-forward</t>
  </si>
  <si>
    <t xml:space="preserve">InsuranceLossesPaidForReserveRollforward</t>
  </si>
  <si>
    <t xml:space="preserve">filed_loss_payment_outflow_shown_as_positive_claims_paid</t>
  </si>
  <si>
    <t xml:space="preserve">Other reserve changes</t>
  </si>
  <si>
    <t xml:space="preserve">InsuranceReserveOtherChanges</t>
  </si>
  <si>
    <t xml:space="preserve">Ending net loss reserves</t>
  </si>
  <si>
    <t xml:space="preserve">InsuranceUnpaidLossReserves</t>
  </si>
  <si>
    <t xml:space="preserve">Reinsurance recoverables</t>
  </si>
  <si>
    <t xml:space="preserve">InsuranceReinsuranceRecoverable</t>
  </si>
  <si>
    <t xml:space="preserve">Ending gross loss reserves</t>
  </si>
  <si>
    <t xml:space="preserve">InsuranceGrossLossReserves</t>
  </si>
  <si>
    <t xml:space="preserve">Filed reserve roll-forward check</t>
  </si>
  <si>
    <t xml:space="preserve">InsuranceUnpaidLossReservesBeginning; InsuranceLossesIncurredForReserveRollforward; InsuranceLossesPaidForReserveRollforward; InsuranceReserveOtherChanges; InsuranceUnpaidLossReserves</t>
  </si>
  <si>
    <t xml:space="preserve">opening_reserves_plus_incurred_less_paid_plus_other_changes_less_ending_reserves</t>
  </si>
  <si>
    <t xml:space="preserve">Other Operations pretax income</t>
  </si>
  <si>
    <t xml:space="preserve">InsuranceOtherOperationsPretaxIncome</t>
  </si>
  <si>
    <t xml:space="preserve">Statutory capital and surplus</t>
  </si>
  <si>
    <t xml:space="preserve">InsuranceStatutoryCapitalSurplus</t>
  </si>
  <si>
    <t xml:space="preserve">Minimum required statutory capital</t>
  </si>
  <si>
    <t xml:space="preserve">InsuranceMinimumStatutoryCapital</t>
  </si>
  <si>
    <t xml:space="preserve">Common equity attributable to parent</t>
  </si>
  <si>
    <t xml:space="preserve">StockholdersEquity; parent_common_equity</t>
  </si>
  <si>
    <t xml:space="preserve">parent_attributable_equity_less_preferred_stock</t>
  </si>
  <si>
    <t xml:space="preserve">Common dividends and repurchases</t>
  </si>
  <si>
    <t xml:space="preserve">PaymentsOfDividendsCommonStock; PaymentsForRepurchaseOfCommonStock</t>
  </si>
  <si>
    <t xml:space="preserve">common_dividends_plus_common_stock_repurchases</t>
  </si>
  <si>
    <t xml:space="preserve">Weighted-average diluted shares</t>
  </si>
  <si>
    <t xml:space="preserve">us-gaap:WeightedAverageNumberOfDilutedSharesOutstanding</t>
  </si>
  <si>
    <t xml:space="preserve">shares actual</t>
  </si>
  <si>
    <t xml:space="preserve">Net income available to common</t>
  </si>
  <si>
    <t xml:space="preserve">NetIncomeLossAvailableToCommonStockholdersBasic</t>
  </si>
  <si>
    <t xml:space="preserve">preferred_direct</t>
  </si>
  <si>
    <t xml:space="preserve">Effective tax rate</t>
  </si>
  <si>
    <t xml:space="preserve">IncomeTaxExpenseBenefit; IncomeLossFromContinuingOperationsBeforeIncomeTaxesExtraordinaryItemsNoncontrollingInterest</t>
  </si>
  <si>
    <t xml:space="preserve">income_tax_expense_over_pretax_income</t>
  </si>
  <si>
    <t xml:space="preserve">Reported consolidated pretax income</t>
  </si>
  <si>
    <t xml:space="preserve">IncomeLossFromContinuingOperationsBeforeIncomeTaxesExtraordinaryItemsNoncontrollingInterest</t>
  </si>
  <si>
    <t xml:space="preserve">Other pretax reconciliation adjustments</t>
  </si>
  <si>
    <t xml:space="preserve">IncomeLossFromContinuingOperationsBeforeIncomeTaxesExtraordinaryItemsNoncontrollingInterest; InsuranceUnderwritingIncome; InsuranceNetInvestmentIncome; InsuranceOtherOperationsPretaxIncome</t>
  </si>
  <si>
    <t xml:space="preserve">USD actual; USD millions</t>
  </si>
  <si>
    <t xml:space="preserve">reported_pretax_less_p_and_c_underwriting_investment_and_other_operations_income</t>
  </si>
  <si>
    <t xml:space="preserve">Editable forecast and valuation assumptions</t>
  </si>
  <si>
    <t xml:space="preserve">Net written and earned premium growth</t>
  </si>
  <si>
    <t xml:space="preserve">Reported loss ratio starting point</t>
  </si>
  <si>
    <t xml:space="preserve">Forward prior-year reserve development</t>
  </si>
  <si>
    <t xml:space="preserve">Net investment income yield</t>
  </si>
  <si>
    <t xml:space="preserve">Invested asset growth</t>
  </si>
  <si>
    <t xml:space="preserve">Paid losses / incurred losses</t>
  </si>
  <si>
    <t xml:space="preserve">Other reserve changes / earned premium</t>
  </si>
  <si>
    <t xml:space="preserve">Other Operations pretax growth</t>
  </si>
  <si>
    <t xml:space="preserve">Other pretax adjustments growth</t>
  </si>
  <si>
    <t xml:space="preserve">Tax rate</t>
  </si>
  <si>
    <t xml:space="preserve">Target common distribution / net income</t>
  </si>
  <si>
    <t xml:space="preserve">Minimum statutory capital / written premium</t>
  </si>
  <si>
    <t xml:space="preserve">Risk-free rate</t>
  </si>
  <si>
    <t xml:space="preserve">Equity risk premium</t>
  </si>
  <si>
    <t xml:space="preserve">Beta</t>
  </si>
  <si>
    <t xml:space="preserve">Cost of equity (CAPM)</t>
  </si>
  <si>
    <t xml:space="preserve">Terminal residual-income growth</t>
  </si>
  <si>
    <t xml:space="preserve">Current share price</t>
  </si>
  <si>
    <t xml:space="preserve">Diluted shares for valuation</t>
  </si>
  <si>
    <t xml:space="preserve">Five-year underwriting, reserve, capital, and residual-income forecast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</si>
  <si>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</si>
  <si>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</si>
  <si>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</si>
  <si>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</si>
  <si>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</si>
  <si>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Forward reserve-development assumption</t>
  </si>
  <si>
    <t xml:space="preserve">Loss ratio</t>
  </si>
  <si>
    <t xml:space="preserve">Expense ratio</t>
  </si>
  <si>
    <t xml:space="preserve">Combined ratio</t>
  </si>
  <si>
    <t xml:space="preserve">Losses and LAE</t>
  </si>
  <si>
    <t xml:space="preserve">Underwriting expenses</t>
  </si>
  <si>
    <t xml:space="preserve">Ending invested assets</t>
  </si>
  <si>
    <t xml:space="preserve">Average invested assets</t>
  </si>
  <si>
    <t xml:space="preserve">Net investment income</t>
  </si>
  <si>
    <t xml:space="preserve">Other pretax adjustments</t>
  </si>
  <si>
    <t xml:space="preserve">Pretax income</t>
  </si>
  <si>
    <t xml:space="preserve">Tax expense</t>
  </si>
  <si>
    <t xml:space="preserve">Net income</t>
  </si>
  <si>
    <t xml:space="preserve">Losses incurred for reserves</t>
  </si>
  <si>
    <t xml:space="preserve">Losses paid</t>
  </si>
  <si>
    <t xml:space="preserve">Ending reinsurance recoverable</t>
  </si>
  <si>
    <t xml:space="preserve">Reserve roll-forward check</t>
  </si>
  <si>
    <t xml:space="preserve">Opening statutory capital and surplus</t>
  </si>
  <si>
    <t xml:space="preserve">Required statutory capital proxy</t>
  </si>
  <si>
    <t xml:space="preserve">Statutory capital before distributions</t>
  </si>
  <si>
    <t xml:space="preserve">Distribution capacity after minimum capital</t>
  </si>
  <si>
    <t xml:space="preserve">Target common distributions</t>
  </si>
  <si>
    <t xml:space="preserve">Allowed common distributions</t>
  </si>
  <si>
    <t xml:space="preserve">Ending statutory capital and surplus</t>
  </si>
  <si>
    <t xml:space="preserve">Minimum-capital check</t>
  </si>
  <si>
    <t xml:space="preserve">Opening common equity</t>
  </si>
  <si>
    <t xml:space="preserve">Ending common equity</t>
  </si>
  <si>
    <t xml:space="preserve">Equity charge</t>
  </si>
  <si>
    <t xml:space="preserve">Residual income</t>
  </si>
  <si>
    <t xml:space="preserve">Present value of residual income</t>
  </si>
  <si>
    <t xml:space="preserve">Common-equity residual-income valuation</t>
  </si>
  <si>
    <t xml:space="preserve">PV of forecast residual income</t>
  </si>
  <si>
    <t xml:space="preserve">Terminal residual income</t>
  </si>
  <si>
    <t xml:space="preserve">PV of terminal residual income</t>
  </si>
  <si>
    <t xml:space="preserve">Common equity value</t>
  </si>
  <si>
    <t xml:space="preserve">Implied share price</t>
  </si>
  <si>
    <t xml:space="preserve">Implied return</t>
  </si>
  <si>
    <t xml:space="preserve">Enterprise value</t>
  </si>
  <si>
    <t xml:space="preserve">Not applicable — common-equity insurance model</t>
  </si>
  <si>
    <t xml:space="preserve">Common-equity sensitivity — cost of equity and terminal growth</t>
  </si>
  <si>
    <t xml:space="preserve">Cost of equity / terminal growth</t>
  </si>
  <si>
    <t xml:space="preserve">Sensitivity basis</t>
  </si>
  <si>
    <t xml:space="preserve">Opening common equity plus discounted forecast and terminal residual income; cells are blank when terminal growth is not below cost of equity.</t>
  </si>
  <si>
    <t xml:space="preserve">Data Review — AMERICAN INTERNATIONAL GROUP, INC. (AIG)</t>
  </si>
  <si>
    <t xml:space="preserve">Review company definitions and source notes before using this P&amp;C common-equity model.</t>
  </si>
  <si>
    <t xml:space="preserve">Status</t>
  </si>
  <si>
    <t xml:space="preserve">Area</t>
  </si>
  <si>
    <t xml:space="preserve">Review note</t>
  </si>
  <si>
    <t xml:space="preserve">REVIEW</t>
  </si>
  <si>
    <t xml:space="preserve">Model limitation</t>
  </si>
  <si>
    <t xml:space="preserve">The P&amp;C underwriting schedule uses the reported General Insurance business; group common equity and other pretax operations remain in the residual-income valuation.</t>
  </si>
  <si>
    <t xml:space="preserve">The statutory capital-to-premium test is an issuer-reported proxy; it does not forecast entity-level capital, regulatory buffers, or legal-entity dividend restrictions.</t>
  </si>
  <si>
    <t xml:space="preserve">Reserve other changes, Other Operations growth, and other pretax adjustments are explicit editable assumptions; actual foreign exchange, acquisitions, and reinsurance movements may not recur.</t>
  </si>
  <si>
    <t xml:space="preserve">valuation_context: data status is cached</t>
  </si>
  <si>
    <t xml:space="preserve">insider_trades: Insider trades are intentionally lazy-loaded and do not block the primary valuation load.</t>
  </si>
  <si>
    <t xml:space="preserve">INFO</t>
  </si>
  <si>
    <t xml:space="preserve">SEC source</t>
  </si>
  <si>
    <t xml:space="preserve">FY2023 net_premiums_written: filed_10k_insurance_table_value_normalized; InsuranceNetPremiumsWritten, accession 0000005272-26-000023, filed 2026-02-12, FY 2023, USD millions</t>
  </si>
  <si>
    <t xml:space="preserve">FY2023 net_premiums_earned: filed_10k_insurance_table_value_normalized; InsuranceNetPremiumsEarned, accession 0000005272-26-000023, filed 2026-02-12, FY 2023, USD millions</t>
  </si>
  <si>
    <t xml:space="preserve">FY2023 losses_and_lae: filed_10k_insurance_table_value_normalized; InsuranceLossesAndLAE, accession 0000005272-26-000023, filed 2026-02-12, FY 2023, USD millions</t>
  </si>
  <si>
    <t xml:space="preserve">FY2023 acquisition_expenses: filed_10k_insurance_table_value_normalized; InsuranceAcquisitionExpenses, accession 0000005272-26-000023, filed 2026-02-12, FY 2023, USD millions</t>
  </si>
  <si>
    <t xml:space="preserve">FY2023 general_operating_expenses: filed_10k_insurance_table_value_normalized; InsuranceGeneralOperatingExpenses, accession 0000005272-26-000023, filed 2026-02-12, FY 2023, USD millions</t>
  </si>
  <si>
    <t xml:space="preserve">FY2023 underwriting_expenses: acquisition_plus_general_underwriting_expenses; InsuranceAcquisitionExpenses, accession 0000005272-26-000023, filed 2026-02-12, FY 2023, USD millions; InsuranceGeneralOperatingExpenses, accession 0000005272-26-000023, filed 2026-02-12, FY 2023, USD millions</t>
  </si>
  <si>
    <t xml:space="preserve">FY2023 loss_ratio: filed_10k_insurance_table_value_normalized; InsuranceLossRatio, accession 0000005272-26-000023, filed 2026-02-12, FY 2023, percent percent</t>
  </si>
  <si>
    <t xml:space="preserve">FY2023 expense_ratio: filed_10k_insurance_table_value_normalized; InsuranceExpenseRatio, accession 0000005272-26-000023, filed 2026-02-12, FY 2023, percent percent</t>
  </si>
  <si>
    <t xml:space="preserve">FY2023 combined_ratio: filed_10k_insurance_table_value_normalized; InsuranceCombinedRatio, accession 0000005272-26-000023, filed 2026-02-12, FY 2023, percent percent</t>
  </si>
  <si>
    <t xml:space="preserve">FY2023 prior_year_reserve_development: filed_10k_insurance_table_value_normalized; InsurancePriorYearReserveDevelopment, accession 0000005272-26-000023, filed 2026-02-12, FY 2023, percent percent</t>
  </si>
  <si>
    <t xml:space="preserve">FY2023 underwriting_income: filed_10k_insurance_table_value_normalized; InsuranceUnderwritingIncome, accession 0000005272-26-000023, filed 2026-02-12, FY 2023, USD millions</t>
  </si>
  <si>
    <t xml:space="preserve">FY2023 net_investment_income: filed_10k_insurance_table_value_normalized; InsuranceNetInvestmentIncome, accession 0000005272-26-000023, filed 2026-02-12, FY 2023, USD millions</t>
  </si>
  <si>
    <t xml:space="preserve">FY2023 invested_assets: companyfacts_preferred_direct; us-gaap:Investments, accession 0000005272-25-000012, filed 2025-02-13, FY 2023, USD actual</t>
  </si>
  <si>
    <t xml:space="preserve">FY2023 unpaid_loss_reserves_beginning: filed_10k_insurance_table_value_normalized; InsuranceUnpaidLossReservesBeginning, accession 0000005272-26-000023, filed 2026-02-12, FY 2023, USD millions</t>
  </si>
  <si>
    <t xml:space="preserve">FY2023 losses_incurred_for_reserve_rollforward: filed_10k_insurance_table_value_normalized; InsuranceLossesIncurredForReserveRollforward, accession 0000005272-26-000023, filed 2026-02-12, FY 2023, USD millions</t>
  </si>
  <si>
    <t xml:space="preserve">FY2023 losses_paid_for_reserve_rollforward: filed_loss_payment_outflow_shown_as_positive_claims_paid; InsuranceLossesPaidForReserveRollforward, accession 0000005272-26-000023, filed 2026-02-12, FY 2023, USD millions</t>
  </si>
  <si>
    <t xml:space="preserve">FY2023 reserve_other_changes: filed_10k_insurance_table_value_normalized; InsuranceReserveOtherChanges, accession 0000005272-26-000023, filed 2026-02-12, FY 2023, USD millions</t>
  </si>
  <si>
    <t xml:space="preserve">FY2023 unpaid_loss_reserves: filed_10k_insurance_table_value_normalized; InsuranceUnpaidLossReserves, accession 0000005272-26-000023, filed 2026-02-12, FY 2023, USD millions</t>
  </si>
  <si>
    <t xml:space="preserve">FY2023 reinsurance_recoverable: filed_10k_insurance_table_value_normalized; InsuranceReinsuranceRecoverable, accession 0000005272-26-000023, filed 2026-02-12, FY 2023, USD millions</t>
  </si>
  <si>
    <t xml:space="preserve">FY2023 gross_loss_reserves: filed_10k_insurance_table_value_normalized; InsuranceGrossLossReserves, accession 0000005272-26-000023, filed 2026-02-12, FY 2023, USD millions</t>
  </si>
  <si>
    <t xml:space="preserve">FY2023 reserve_rollforward_check: opening_reserves_plus_incurred_less_paid_plus_other_changes_less_ending_reserves; InsuranceUnpaidLossReservesBeginning, accession 0000005272-26-000023, filed 2026-02-12, FY 2023, USD millions; InsuranceLossesIncurredForReserveRollforward, accession 0000005272-26-000023, filed 2026-02-12, FY 2023, USD millions; InsuranceLossesPaidForReserveRollforward, accession 0000005272-26-000023, filed 2026-02-12, FY 2023, USD millions; InsuranceReserveOtherChanges, accession 0000005272-26-000023, filed 2026-02-12, FY 2023, USD millions; InsuranceUnpaidLossReserves, accession 0000005272-26-000023, filed 2026-02-12, FY 2023, USD millions</t>
  </si>
  <si>
    <t xml:space="preserve">FY2023 other_operations_pretax_income: filed_10k_insurance_table_value_normalized; InsuranceOtherOperationsPretaxIncome, accession 0000005272-26-000023, filed 2026-02-12, FY 2023, USD millions</t>
  </si>
  <si>
    <t xml:space="preserve">FY2023 statutory_capital_surplus: missing_filed_insurance_table_line; </t>
  </si>
  <si>
    <t xml:space="preserve">FY2023 minimum_statutory_capital: missing_filed_insurance_table_line; </t>
  </si>
  <si>
    <t xml:space="preserve">FY2023 common_equity: parent_attributable_equity_less_preferred_stock; StockholdersEquity, accession 0000005272-25-000012, filed 2025-02-13, FY 2023, USD actual; us-gaap:PreferredStockIncludingAdditionalPaidInCapital, accession 0000005272-25-000012, filed 2025-02-13, FY 2023, USD actual</t>
  </si>
  <si>
    <t xml:space="preserve">FY2023 common_equity_distributions: common_dividends_plus_common_stock_repurchases; PaymentsOfDividendsCommonStock, accession 0000005272-26-000023, filed 2026-02-12, FY 2023, USD actual; PaymentsForRepurchaseOfCommonStock, accession 0000005272-26-000023, filed 2026-02-12, FY 2023, USD actual</t>
  </si>
  <si>
    <t xml:space="preserve">FY2023 diluted_shares: companyfacts_preferred_direct; us-gaap:WeightedAverageNumberOfDilutedSharesOutstanding, accession 0000005272-26-000023, filed 2026-02-12, FY 2023, shares actual</t>
  </si>
  <si>
    <t xml:space="preserve">FY2023 net_income: preferred_direct; NetIncomeLossAvailableToCommonStockholdersBasic, accession 0000005272-26-000023, filed 2026-02-12, FY 2023, USD actual</t>
  </si>
  <si>
    <t xml:space="preserve">FY2023 tax_rate: income_tax_expense_over_pretax_income; IncomeTaxExpenseBenefit, accession 0000005272-24-000023, filed 2024-02-14, FY 2023, USD actual; IncomeLossFromContinuingOperationsBeforeIncomeTaxesExtraordinaryItemsNoncontrollingInterest, accession 0000005272-24-000023, filed 2024-02-14, FY 2023, USD actual</t>
  </si>
  <si>
    <t xml:space="preserve">FY2023 reported_pretax_income: preferred_direct; IncomeLossFromContinuingOperationsBeforeIncomeTaxesExtraordinaryItemsNoncontrollingInterest, accession 0000005272-24-000023, filed 2024-02-14, FY 2023, USD actual</t>
  </si>
  <si>
    <t xml:space="preserve">FY2023 other_pretax_adjustments: reported_pretax_less_p_and_c_underwriting_investment_and_other_operations_income; IncomeLossFromContinuingOperationsBeforeIncomeTaxesExtraordinaryItemsNoncontrollingInterest, accession 0000005272-24-000023, filed 2024-02-14, FY 2023, USD actual; InsuranceUnderwritingIncome, accession 0000005272-26-000023, filed 2026-02-12, FY 2023, USD millions; InsuranceNetInvestmentIncome, accession 0000005272-26-000023, filed 2026-02-12, FY 2023, USD millions; InsuranceOtherOperationsPretaxIncome, accession 0000005272-26-000023, filed 2026-02-12, FY 2023, USD millions</t>
  </si>
  <si>
    <t xml:space="preserve">FY2024 net_premiums_written: filed_10k_insurance_table_value_normalized; InsuranceNetPremiumsWritten, accession 0000005272-26-000023, filed 2026-02-12, FY 2024, USD millions</t>
  </si>
  <si>
    <t xml:space="preserve">FY2024 net_premiums_earned: filed_10k_insurance_table_value_normalized; InsuranceNetPremiumsEarned, accession 0000005272-26-000023, filed 2026-02-12, FY 2024, USD millions</t>
  </si>
  <si>
    <t xml:space="preserve">FY2024 losses_and_lae: filed_10k_insurance_table_value_normalized; InsuranceLossesAndLAE, accession 0000005272-26-000023, filed 2026-02-12, FY 2024, USD millions</t>
  </si>
  <si>
    <t xml:space="preserve">FY2024 acquisition_expenses: filed_10k_insurance_table_value_normalized; InsuranceAcquisitionExpenses, accession 0000005272-26-000023, filed 2026-02-12, FY 2024, USD millions</t>
  </si>
  <si>
    <t xml:space="preserve">FY2024 general_operating_expenses: filed_10k_insurance_table_value_normalized; InsuranceGeneralOperatingExpenses, accession 0000005272-26-000023, filed 2026-02-12, FY 2024, USD millions</t>
  </si>
  <si>
    <t xml:space="preserve">FY2024 underwriting_expenses: acquisition_plus_general_underwriting_expenses; InsuranceAcquisitionExpenses, accession 0000005272-26-000023, filed 2026-02-12, FY 2024, USD millions; InsuranceGeneralOperatingExpenses, accession 0000005272-26-000023, filed 2026-02-12, FY 2024, USD millions</t>
  </si>
  <si>
    <t xml:space="preserve">FY2024 loss_ratio: filed_10k_insurance_table_value_normalized; InsuranceLossRatio, accession 0000005272-26-000023, filed 2026-02-12, FY 2024, percent percent</t>
  </si>
  <si>
    <t xml:space="preserve">FY2024 expense_ratio: filed_10k_insurance_table_value_normalized; InsuranceExpenseRatio, accession 0000005272-26-000023, filed 2026-02-12, FY 2024, percent percent</t>
  </si>
  <si>
    <t xml:space="preserve">FY2024 combined_ratio: filed_10k_insurance_table_value_normalized; InsuranceCombinedRatio, accession 0000005272-26-000023, filed 2026-02-12, FY 2024, percent percent</t>
  </si>
  <si>
    <t xml:space="preserve">FY2024 prior_year_reserve_development: filed_10k_insurance_table_value_normalized; InsurancePriorYearReserveDevelopment, accession 0000005272-26-000023, filed 2026-02-12, FY 2024, percent percent</t>
  </si>
  <si>
    <t xml:space="preserve">FY2024 underwriting_income: filed_10k_insurance_table_value_normalized; InsuranceUnderwritingIncome, accession 0000005272-26-000023, filed 2026-02-12, FY 2024, USD millions</t>
  </si>
  <si>
    <t xml:space="preserve">FY2024 net_investment_income: filed_10k_insurance_table_value_normalized; InsuranceNetInvestmentIncome, accession 0000005272-26-000023, filed 2026-02-12, FY 2024, USD millions</t>
  </si>
  <si>
    <t xml:space="preserve">FY2024 invested_assets: companyfacts_preferred_direct; us-gaap:Investments, accession 0000005272-26-000023, filed 2026-02-12, FY 2024, USD actual</t>
  </si>
  <si>
    <t xml:space="preserve">FY2024 unpaid_loss_reserves_beginning: filed_10k_insurance_table_value_normalized; InsuranceUnpaidLossReservesBeginning, accession 0000005272-26-000023, filed 2026-02-12, FY 2024, USD millions</t>
  </si>
  <si>
    <t xml:space="preserve">FY2024 losses_incurred_for_reserve_rollforward: filed_10k_insurance_table_value_normalized; InsuranceLossesIncurredForReserveRollforward, accession 0000005272-26-000023, filed 2026-02-12, FY 2024, USD millions</t>
  </si>
  <si>
    <t xml:space="preserve">FY2024 losses_paid_for_reserve_rollforward: filed_loss_payment_outflow_shown_as_positive_claims_paid; InsuranceLossesPaidForReserveRollforward, accession 0000005272-26-000023, filed 2026-02-12, FY 2024, USD millions</t>
  </si>
  <si>
    <t xml:space="preserve">FY2024 reserve_other_changes: filed_10k_insurance_table_value_normalized; InsuranceReserveOtherChanges, accession 0000005272-26-000023, filed 2026-02-12, FY 2024, USD millions</t>
  </si>
  <si>
    <t xml:space="preserve">FY2024 unpaid_loss_reserves: filed_10k_insurance_table_value_normalized; InsuranceUnpaidLossReserves, accession 0000005272-26-000023, filed 2026-02-12, FY 2024, USD millions</t>
  </si>
  <si>
    <t xml:space="preserve">FY2024 reinsurance_recoverable: filed_10k_insurance_table_value_normalized; InsuranceReinsuranceRecoverable, accession 0000005272-26-000023, filed 2026-02-12, FY 2024, USD millions</t>
  </si>
  <si>
    <t xml:space="preserve">FY2024 gross_loss_reserves: filed_10k_insurance_table_value_normalized; InsuranceGrossLossReserves, accession 0000005272-26-000023, filed 2026-02-12, FY 2024, USD millions</t>
  </si>
  <si>
    <t xml:space="preserve">FY2024 reserve_rollforward_check: opening_reserves_plus_incurred_less_paid_plus_other_changes_less_ending_reserves; InsuranceUnpaidLossReservesBeginning, accession 0000005272-26-000023, filed 2026-02-12, FY 2024, USD millions; InsuranceLossesIncurredForReserveRollforward, accession 0000005272-26-000023, filed 2026-02-12, FY 2024, USD millions; InsuranceLossesPaidForReserveRollforward, accession 0000005272-26-000023, filed 2026-02-12, FY 2024, USD millions; InsuranceReserveOtherChanges, accession 0000005272-26-000023, filed 2026-02-12, FY 2024, USD millions; InsuranceUnpaidLossReserves, accession 0000005272-26-000023, filed 2026-02-12, FY 2024, USD millions</t>
  </si>
  <si>
    <t xml:space="preserve">FY2024 other_operations_pretax_income: filed_10k_insurance_table_value_normalized; InsuranceOtherOperationsPretaxIncome, accession 0000005272-26-000023, filed 2026-02-12, FY 2024, USD millions</t>
  </si>
  <si>
    <t xml:space="preserve">FY2024 statutory_capital_surplus: filed_10k_insurance_table_value_normalized; InsuranceStatutoryCapitalSurplus, accession 0000005272-26-000023, filed 2026-02-12, FY 2024, USD millions</t>
  </si>
  <si>
    <t xml:space="preserve">FY2024 minimum_statutory_capital: filed_10k_insurance_table_value_normalized; InsuranceMinimumStatutoryCapital, accession 0000005272-26-000023, filed 2026-02-12, FY 2024, USD millions</t>
  </si>
  <si>
    <t xml:space="preserve">FY2024 common_equity: parent_attributable_equity_less_preferred_stock; StockholdersEquity, accession 0000005272-26-000023, filed 2026-02-12, FY 2024, USD actual; us-gaap:PreferredStockIncludingAdditionalPaidInCapital, accession 0000005272-25-000012, filed 2025-02-13, FY 2024, USD actual</t>
  </si>
  <si>
    <t xml:space="preserve">FY2024 common_equity_distributions: common_dividends_plus_common_stock_repurchases; PaymentsOfDividendsCommonStock, accession 0000005272-26-000023, filed 2026-02-12, FY 2024, USD actual; PaymentsForRepurchaseOfCommonStock, accession 0000005272-26-000023, filed 2026-02-12, FY 2024, USD actual</t>
  </si>
  <si>
    <t xml:space="preserve">FY2024 diluted_shares: companyfacts_preferred_direct; us-gaap:WeightedAverageNumberOfDilutedSharesOutstanding, accession 0000005272-26-000023, filed 2026-02-12, FY 2024, shares actual</t>
  </si>
  <si>
    <t xml:space="preserve">FY2024 net_income: preferred_direct; NetIncomeLossAvailableToCommonStockholdersBasic, accession 0000005272-26-000023, filed 2026-02-12, FY 2024, USD actual</t>
  </si>
  <si>
    <t xml:space="preserve">FY2024 tax_rate: income_tax_expense_over_pretax_income; IncomeTaxExpenseBenefit, accession 0000005272-26-000023, filed 2026-02-12, FY 2024, USD actual; IncomeLossFromContinuingOperationsBeforeIncomeTaxesExtraordinaryItemsNoncontrollingInterest, accession 0000005272-26-000023, filed 2026-02-12, FY 2024, USD actual</t>
  </si>
  <si>
    <t xml:space="preserve">FY2024 reported_pretax_income: preferred_direct; IncomeLossFromContinuingOperationsBeforeIncomeTaxesExtraordinaryItemsNoncontrollingInterest, accession 0000005272-26-000023, filed 2026-02-12, FY 2024, USD actual</t>
  </si>
  <si>
    <t xml:space="preserve">FY2024 other_pretax_adjustments: reported_pretax_less_p_and_c_underwriting_investment_and_other_operations_income; IncomeLossFromContinuingOperationsBeforeIncomeTaxesExtraordinaryItemsNoncontrollingInterest, accession 0000005272-26-000023, filed 2026-02-12, FY 2024, USD actual; InsuranceUnderwritingIncome, accession 0000005272-26-000023, filed 2026-02-12, FY 2024, USD millions; InsuranceNetInvestmentIncome, accession 0000005272-26-000023, filed 2026-02-12, FY 2024, USD millions; InsuranceOtherOperationsPretaxIncome, accession 0000005272-26-000023, filed 2026-02-12, FY 2024, USD millions</t>
  </si>
  <si>
    <t xml:space="preserve">FY2025 net_premiums_written: filed_10k_insurance_table_value_normalized; InsuranceNetPremiumsWritten, accession 0000005272-26-000023, filed 2026-02-12, FY 2025, USD millions</t>
  </si>
  <si>
    <t xml:space="preserve">FY2025 net_premiums_earned: filed_10k_insurance_table_value_normalized; InsuranceNetPremiumsEarned, accession 0000005272-26-000023, filed 2026-02-12, FY 2025, USD millions</t>
  </si>
  <si>
    <t xml:space="preserve">FY2025 losses_and_lae: filed_10k_insurance_table_value_normalized; InsuranceLossesAndLAE, accession 0000005272-26-000023, filed 2026-02-12, FY 2025, USD millions</t>
  </si>
  <si>
    <t xml:space="preserve">FY2025 acquisition_expenses: filed_10k_insurance_table_value_normalized; InsuranceAcquisitionExpenses, accession 0000005272-26-000023, filed 2026-02-12, FY 2025, USD millions</t>
  </si>
  <si>
    <t xml:space="preserve">FY2025 general_operating_expenses: filed_10k_insurance_table_value_normalized; InsuranceGeneralOperatingExpenses, accession 0000005272-26-000023, filed 2026-02-12, FY 2025, USD millions</t>
  </si>
  <si>
    <t xml:space="preserve">FY2025 underwriting_expenses: acquisition_plus_general_underwriting_expenses; InsuranceAcquisitionExpenses, accession 0000005272-26-000023, filed 2026-02-12, FY 2025, USD millions; InsuranceGeneralOperatingExpenses, accession 0000005272-26-000023, filed 2026-02-12, FY 2025, USD millions</t>
  </si>
  <si>
    <t xml:space="preserve">FY2025 loss_ratio: filed_10k_insurance_table_value_normalized; InsuranceLossRatio, accession 0000005272-26-000023, filed 2026-02-12, FY 2025, percent percent</t>
  </si>
  <si>
    <t xml:space="preserve">FY2025 expense_ratio: filed_10k_insurance_table_value_normalized; InsuranceExpenseRatio, accession 0000005272-26-000023, filed 2026-02-12, FY 2025, percent percent</t>
  </si>
  <si>
    <t xml:space="preserve">FY2025 combined_ratio: filed_10k_insurance_table_value_normalized; InsuranceCombinedRatio, accession 0000005272-26-000023, filed 2026-02-12, FY 2025, percent percent</t>
  </si>
  <si>
    <t xml:space="preserve">FY2025 prior_year_reserve_development: filed_10k_insurance_table_value_normalized; InsurancePriorYearReserveDevelopment, accession 0000005272-26-000023, filed 2026-02-12, FY 2025, percent percent</t>
  </si>
  <si>
    <t xml:space="preserve">FY2025 underwriting_income: filed_10k_insurance_table_value_normalized; InsuranceUnderwritingIncome, accession 0000005272-26-000023, filed 2026-02-12, FY 2025, USD millions</t>
  </si>
  <si>
    <t xml:space="preserve">FY2025 net_investment_income: filed_10k_insurance_table_value_normalized; InsuranceNetInvestmentIncome, accession 0000005272-26-000023, filed 2026-02-12, FY 2025, USD millions</t>
  </si>
  <si>
    <t xml:space="preserve">FY2025 invested_assets: companyfacts_preferred_direct; us-gaap:Investments, accession 0000005272-26-000023, filed 2026-02-12, FY 2025, USD actual</t>
  </si>
  <si>
    <t xml:space="preserve">FY2025 unpaid_loss_reserves_beginning: filed_10k_insurance_table_value_normalized; InsuranceUnpaidLossReservesBeginning, accession 0000005272-26-000023, filed 2026-02-12, FY 2025, USD millions</t>
  </si>
  <si>
    <t xml:space="preserve">FY2025 losses_incurred_for_reserve_rollforward: filed_10k_insurance_table_value_normalized; InsuranceLossesIncurredForReserveRollforward, accession 0000005272-26-000023, filed 2026-02-12, FY 2025, USD millions</t>
  </si>
  <si>
    <t xml:space="preserve">FY2025 losses_paid_for_reserve_rollforward: filed_loss_payment_outflow_shown_as_positive_claims_paid; InsuranceLossesPaidForReserveRollforward, accession 0000005272-26-000023, filed 2026-02-12, FY 2025, USD millions</t>
  </si>
  <si>
    <t xml:space="preserve">FY2025 reserve_other_changes: filed_10k_insurance_table_value_normalized; InsuranceReserveOtherChanges, accession 0000005272-26-000023, filed 2026-02-12, FY 2025, USD millions</t>
  </si>
  <si>
    <t xml:space="preserve">FY2025 unpaid_loss_reserves: filed_10k_insurance_table_value_normalized; InsuranceUnpaidLossReserves, accession 0000005272-26-000023, filed 2026-02-12, FY 2025, USD millions</t>
  </si>
  <si>
    <t xml:space="preserve">FY2025 reinsurance_recoverable: filed_10k_insurance_table_value_normalized; InsuranceReinsuranceRecoverable, accession 0000005272-26-000023, filed 2026-02-12, FY 2025, USD millions</t>
  </si>
  <si>
    <t xml:space="preserve">FY2025 gross_loss_reserves: filed_10k_insurance_table_value_normalized; InsuranceGrossLossReserves, accession 0000005272-26-000023, filed 2026-02-12, FY 2025, USD millions</t>
  </si>
  <si>
    <t xml:space="preserve">FY2025 reserve_rollforward_check: opening_reserves_plus_incurred_less_paid_plus_other_changes_less_ending_reserves; InsuranceUnpaidLossReservesBeginning, accession 0000005272-26-000023, filed 2026-02-12, FY 2025, USD millions; InsuranceLossesIncurredForReserveRollforward, accession 0000005272-26-000023, filed 2026-02-12, FY 2025, USD millions; InsuranceLossesPaidForReserveRollforward, accession 0000005272-26-000023, filed 2026-02-12, FY 2025, USD millions; InsuranceReserveOtherChanges, accession 0000005272-26-000023, filed 2026-02-12, FY 2025, USD millions; InsuranceUnpaidLossReserves, accession 0000005272-26-000023, filed 2026-02-12, FY 2025, USD millions</t>
  </si>
  <si>
    <t xml:space="preserve">FY2025 other_operations_pretax_income: filed_10k_insurance_table_value_normalized; InsuranceOtherOperationsPretaxIncome, accession 0000005272-26-000023, filed 2026-02-12, FY 2025, USD millions</t>
  </si>
  <si>
    <t xml:space="preserve">FY2025 statutory_capital_surplus: filed_10k_insurance_table_value_normalized; InsuranceStatutoryCapitalSurplus, accession 0000005272-26-000023, filed 2026-02-12, FY 2025, USD millions</t>
  </si>
  <si>
    <t xml:space="preserve">FY2025 minimum_statutory_capital: filed_10k_insurance_table_value_normalized; InsuranceMinimumStatutoryCapital, accession 0000005272-26-000023, filed 2026-02-12, FY 2025, USD millions</t>
  </si>
  <si>
    <t xml:space="preserve">FY2025 common_equity: parent_attributable_equity_less_preferred_stock; StockholdersEquity, accession 0000005272-26-000023, filed 2026-02-12, FY 2025, USD actual; parent_common_equity, accession 0000005272-26-000023, filed 2026-02-12, FY 2025, USD actual</t>
  </si>
  <si>
    <t xml:space="preserve">FY2025 common_equity_distributions: common_dividends_plus_common_stock_repurchases; PaymentsOfDividendsCommonStock, accession 0000005272-26-000023, filed 2026-02-12, FY 2025, USD actual; PaymentsForRepurchaseOfCommonStock, accession 0000005272-26-000023, filed 2026-02-12, FY 2025, USD actual</t>
  </si>
  <si>
    <t xml:space="preserve">FY2025 diluted_shares: companyfacts_preferred_direct; us-gaap:WeightedAverageNumberOfDilutedSharesOutstanding, accession 0000005272-26-000023, filed 2026-02-12, FY 2025, shares actual</t>
  </si>
  <si>
    <t xml:space="preserve">FY2025 net_income: preferred_direct; NetIncomeLossAvailableToCommonStockholdersBasic, accession 0000005272-26-000023, filed 2026-02-12, FY 2025, USD actual</t>
  </si>
  <si>
    <t xml:space="preserve">FY2025 tax_rate: income_tax_expense_over_pretax_income; IncomeTaxExpenseBenefit, accession 0000005272-26-000023, filed 2026-02-12, FY 2025, USD actual; IncomeLossFromContinuingOperationsBeforeIncomeTaxesExtraordinaryItemsNoncontrollingInterest, accession 0000005272-26-000023, filed 2026-02-12, FY 2025, USD actual</t>
  </si>
  <si>
    <t xml:space="preserve">FY2025 reported_pretax_income: preferred_direct; IncomeLossFromContinuingOperationsBeforeIncomeTaxesExtraordinaryItemsNoncontrollingInterest, accession 0000005272-26-000023, filed 2026-02-12, FY 2025, USD actual</t>
  </si>
  <si>
    <t xml:space="preserve">FY2025 other_pretax_adjustments: reported_pretax_less_p_and_c_underwriting_investment_and_other_operations_income; IncomeLossFromContinuingOperationsBeforeIncomeTaxesExtraordinaryItemsNoncontrollingInterest, accession 0000005272-26-000023, filed 2026-02-12, FY 2025, USD actual; InsuranceUnderwritingIncome, accession 0000005272-26-000023, filed 2026-02-12, FY 2025, USD millions; InsuranceNetInvestmentIncome, accession 0000005272-26-000023, filed 2026-02-12, FY 2025, USD millions; InsuranceOtherOperationsPretaxIncome, accession 0000005272-26-000023, filed 2026-02-12, FY 2025, USD millions</t>
  </si>
  <si>
    <t xml:space="preserve">Risk-free rate 0.0528 from live; equity risk premium 0.0838 from live; beta 0.51 from openbb_yfinance; market context as of 2026-10-03.</t>
  </si>
  <si>
    <t xml:space="preserve">Minimum statutory capital-to-premium ratio 0.4372; source: InsuranceMinimumStatutoryCapital accession 0000005272-26-000023 filed 2026-02-12.</t>
  </si>
  <si>
    <t xml:space="preserve">Equity valuation uses common-equity residual income; enterprise value is not applicable to this insurance model.</t>
  </si>
  <si>
    <t xml:space="preserve">premiumGrowth assumption source: FY2024–FY2025 filed net-premium-written growth..</t>
  </si>
  <si>
    <t xml:space="preserve">lossRatio assumption source: FY2025 filed General Insurance loss ratio; it includes prior-year reserve development..</t>
  </si>
  <si>
    <t xml:space="preserve">expenseRatio assumption source: FY2025 filed General Insurance expense ratio..</t>
  </si>
  <si>
    <t xml:space="preserve">priorYearReserveDevelopmentRate assumption source: FY2023–FY2025 average filed prior-year reserve development ratio; positive values are favorable releases..</t>
  </si>
  <si>
    <t xml:space="preserve">netInvestmentIncomeYield assumption source: FY2025 General Insurance net investment income divided by average FY2024–FY2025 invested assets..</t>
  </si>
  <si>
    <t xml:space="preserve">investedAssetGrowth assumption source: FY2024–FY2025 filed investment-balance growth..</t>
  </si>
  <si>
    <t xml:space="preserve">paidLossRatio assumption source: FY2023–FY2025 filed loss payments divided by losses incurred..</t>
  </si>
  <si>
    <t xml:space="preserve">reserveOtherChangesRate assumption source: Analyst assumption: 0.0% of earned premiums; FX, divestitures, and retroactive-reinsurance changes are shown separately and not projected as recurring items..</t>
  </si>
  <si>
    <t xml:space="preserve">otherOperationsPretaxGrowth assumption source: Analyst assumption: 0.0% growth in the separately reported Other Operations pretax line..</t>
  </si>
  <si>
    <t xml:space="preserve">otherPretaxAdjustmentGrowth assumption source: Analyst assumption: 0.0% growth in the filed-to-GAAP pretax reconciliation line..</t>
  </si>
  <si>
    <t xml:space="preserve">taxRate assumption source: FY2025 income_tax_expense_over_pretax_income: IncomeTaxExpenseBenefit accession 0000005272-26-000023 filed 2026-02-12; IncomeLossFromContinuingOperationsBeforeIncomeTaxesExtraordinaryItemsNoncontrollingInterest accession 0000005272-26-000023 filed 2026-02-12.</t>
  </si>
  <si>
    <t xml:space="preserve">payoutRatio assumption source: FY2025 filed common distributions divided by net income available to common..</t>
  </si>
  <si>
    <t xml:space="preserve">minimumStatutoryCapitalToPremiumRatio assumption source: FY2025 minimum required statutory capital divided by net premiums written..</t>
  </si>
  <si>
    <t xml:space="preserve">terminalGrowthRate assumption source: Analyst base-case assumption: 2.5% terminal residual-income growth; editable in the workbook..</t>
  </si>
  <si>
    <t xml:space="preserve">Financial statements are annual through FY2025; interim filings are not included. Review current-year forecasts against the latest SEC quarterly results.</t>
  </si>
  <si>
    <t xml:space="preserve">Market context as of 2026-10-03</t>
  </si>
  <si>
    <t xml:space="preserve">financials: edgartools_native</t>
  </si>
  <si>
    <t xml:space="preserve">profile: SEC Edgar</t>
  </si>
  <si>
    <t xml:space="preserve">market_data: openbb_yfinance</t>
  </si>
  <si>
    <t xml:space="preserve">market_context: backend_canonical_valuation_context</t>
  </si>
  <si>
    <t xml:space="preserve">peers: backend_peer_pipeline</t>
  </si>
  <si>
    <t xml:space="preserve">insider_trades: lazy_optional</t>
  </si>
  <si>
    <t xml:space="preserve">Sensitivity</t>
  </si>
  <si>
    <t xml:space="preserve">The two-way sensitivity revalues residual income at each cost-of-equity and terminal-growth combination.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</si>
</sst>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* #,##0.00_-;\-* #,##0.00_-;_-* \-??_-;_-@_-"/>
    <numFmt numFmtId="166" formatCode="_-\$* #,##0.00_-;&quot;-$&quot;* #,##0.00_-;_-\$* \-??_-;_-@_-"/>
    <numFmt numFmtId="167" formatCode="0%"/>
    <numFmt numFmtId="168" formatCode="#,##0.0,,;[RED]\(#,##0.0,,\);\-"/>
    <numFmt numFmtId="169" formatCode="0.0%;[RED]\(0.0%\);\-"/>
    <numFmt numFmtId="170" formatCode="0.00"/>
    <numFmt numFmtId="171" formatCode="\$#,##0.00;[RED]&quot;($&quot;#,##0.00\);\-"/>
  </numFmts>
  <fonts count="2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Aptos Narrow"/>
      <family val="2"/>
      <charset val="1"/>
    </font>
    <font>
      <sz val="8"/>
      <name val="Arial"/>
      <family val="2"/>
      <charset val="1"/>
    </font>
    <font>
      <sz val="11"/>
      <color rgb="FF000000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0"/>
      <color rgb="FF000000"/>
      <name val="Times New Roman"/>
      <family val="1"/>
      <charset val="1"/>
    </font>
    <font>
      <sz val="9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10"/>
      <color rgb="FF000000"/>
      <name val="Aptos Narrow"/>
      <family val="2"/>
      <charset val="1"/>
    </font>
    <font>
      <sz val="10"/>
      <color theme="1"/>
      <name val="Trebuchet MS"/>
      <family val="2"/>
      <charset val="1"/>
    </font>
    <font>
      <sz val="9"/>
      <color rgb="FF000000"/>
      <name val="Arial"/>
      <family val="2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8"/>
      <color rgb="FF40404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sz val="10"/>
      <name val="Arial"/>
      <family val="2"/>
    </font>
    <font>
      <i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D9EAF7"/>
        <bgColor rgb="FFDDEBF7"/>
      </patternFill>
    </fill>
    <fill>
      <patternFill patternType="solid">
        <fgColor rgb="FF365F91"/>
        <bgColor rgb="FF333399"/>
      </patternFill>
    </fill>
    <fill>
      <patternFill patternType="solid">
        <fgColor rgb="FFFFF2CC"/>
        <bgColor rgb="FFFCE4D6"/>
      </patternFill>
    </fill>
    <fill>
      <patternFill patternType="solid">
        <fgColor rgb="FFE2F0D9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5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3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FE" xfId="20"/>
    <cellStyle name="Comma 2" xfId="21"/>
    <cellStyle name="Comma 3" xfId="22"/>
    <cellStyle name="Comma 4" xfId="23"/>
    <cellStyle name="Comma 4 2" xfId="24"/>
    <cellStyle name="Comma 5" xfId="25"/>
    <cellStyle name="Comma 6" xfId="26"/>
    <cellStyle name="Currency 2" xfId="27"/>
    <cellStyle name="Currency 4" xfId="28"/>
    <cellStyle name="HeaderCellStyle" xfId="29"/>
    <cellStyle name="Normal 10" xfId="30"/>
    <cellStyle name="Normal 17" xfId="31"/>
    <cellStyle name="Normal 18" xfId="32"/>
    <cellStyle name="Normal 2" xfId="33"/>
    <cellStyle name="Normal 2 2" xfId="34"/>
    <cellStyle name="Normal 2 2 2" xfId="35"/>
    <cellStyle name="Normal 2 3" xfId="36"/>
    <cellStyle name="Normal 3" xfId="37"/>
    <cellStyle name="Normal 3 2 3" xfId="38"/>
    <cellStyle name="Normal 3 2 3 2" xfId="39"/>
    <cellStyle name="Normal 4" xfId="40"/>
    <cellStyle name="Normal 5" xfId="41"/>
    <cellStyle name="Normal 5 2" xfId="42"/>
    <cellStyle name="Normal 5 3" xfId="43"/>
    <cellStyle name="Normal 5 4" xfId="44"/>
    <cellStyle name="Normal 6" xfId="45"/>
    <cellStyle name="Normal 7" xfId="46"/>
    <cellStyle name="Normal 8" xfId="47"/>
    <cellStyle name="Normal_Ch01 Pics v2.2" xfId="48"/>
    <cellStyle name="Percent 2" xfId="49"/>
    <cellStyle name="Percent 3" xfId="50"/>
  </cellStyles>
  <dxfs count="8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365F91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365F91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3" topLeftCell="C64" activePane="bottomRight" state="frozen"/>
      <selection pane="topLeft" activeCell="A1" activeCellId="0" sqref="A1"/>
      <selection pane="topRight" activeCell="C1" activeCellId="0" sqref="C1"/>
      <selection pane="bottomLeft" activeCell="A64" activeCellId="0" sqref="A64"/>
      <selection pane="bottomRigh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7" min="3" style="0" width="18"/>
    <col collapsed="false" customWidth="true" hidden="false" outlineLevel="0" max="8" min="8" style="0" width="34"/>
    <col collapsed="false" customWidth="true" hidden="false" outlineLevel="0" max="9" min="9" style="0" width="24"/>
    <col collapsed="false" customWidth="true" hidden="false" outlineLevel="0" max="11" min="10" style="0" width="14"/>
    <col collapsed="false" customWidth="true" hidden="false" outlineLevel="0" max="12" min="12" style="0" width="3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customFormat="false" ht="30" hidden="false" customHeight="true" outlineLevel="0" collapsed="false">
      <c r="A5" s="5" t="s">
        <v>11</v>
      </c>
      <c r="B5" s="6" t="n">
        <v>23675000000</v>
      </c>
      <c r="C5" s="7" t="s">
        <v>12</v>
      </c>
      <c r="D5" s="7" t="s">
        <v>13</v>
      </c>
      <c r="E5" s="7" t="s">
        <v>14</v>
      </c>
      <c r="F5" s="7" t="s">
        <v>15</v>
      </c>
      <c r="G5" s="7" t="s">
        <v>16</v>
      </c>
      <c r="H5" s="7" t="s">
        <v>17</v>
      </c>
    </row>
    <row r="6" customFormat="false" ht="30" hidden="false" customHeight="true" outlineLevel="0" collapsed="false">
      <c r="A6" s="5" t="s">
        <v>18</v>
      </c>
      <c r="B6" s="6" t="n">
        <v>23678000000</v>
      </c>
      <c r="C6" s="7" t="s">
        <v>19</v>
      </c>
      <c r="D6" s="7" t="s">
        <v>13</v>
      </c>
      <c r="E6" s="7" t="s">
        <v>14</v>
      </c>
      <c r="F6" s="7" t="s">
        <v>15</v>
      </c>
      <c r="G6" s="7" t="s">
        <v>16</v>
      </c>
      <c r="H6" s="7" t="s">
        <v>17</v>
      </c>
    </row>
    <row r="7" customFormat="false" ht="30" hidden="false" customHeight="true" outlineLevel="0" collapsed="false">
      <c r="A7" s="5" t="s">
        <v>20</v>
      </c>
      <c r="B7" s="6" t="n">
        <v>13968000000</v>
      </c>
      <c r="C7" s="7" t="s">
        <v>21</v>
      </c>
      <c r="D7" s="7" t="s">
        <v>13</v>
      </c>
      <c r="E7" s="7" t="s">
        <v>14</v>
      </c>
      <c r="F7" s="7" t="s">
        <v>15</v>
      </c>
      <c r="G7" s="7" t="s">
        <v>16</v>
      </c>
      <c r="H7" s="7" t="s">
        <v>17</v>
      </c>
    </row>
    <row r="8" customFormat="false" ht="30" hidden="false" customHeight="true" outlineLevel="0" collapsed="false">
      <c r="A8" s="5" t="s">
        <v>22</v>
      </c>
      <c r="B8" s="6" t="n">
        <v>4295000000</v>
      </c>
      <c r="C8" s="7" t="s">
        <v>23</v>
      </c>
      <c r="D8" s="7" t="s">
        <v>13</v>
      </c>
      <c r="E8" s="7" t="s">
        <v>14</v>
      </c>
      <c r="F8" s="7" t="s">
        <v>15</v>
      </c>
      <c r="G8" s="7" t="s">
        <v>16</v>
      </c>
      <c r="H8" s="7" t="s">
        <v>17</v>
      </c>
    </row>
    <row r="9" customFormat="false" ht="30" hidden="false" customHeight="true" outlineLevel="0" collapsed="false">
      <c r="A9" s="5" t="s">
        <v>24</v>
      </c>
      <c r="B9" s="6" t="n">
        <v>3083000000</v>
      </c>
      <c r="C9" s="7" t="s">
        <v>25</v>
      </c>
      <c r="D9" s="7" t="s">
        <v>13</v>
      </c>
      <c r="E9" s="7" t="s">
        <v>14</v>
      </c>
      <c r="F9" s="7" t="s">
        <v>15</v>
      </c>
      <c r="G9" s="7" t="s">
        <v>16</v>
      </c>
      <c r="H9" s="7" t="s">
        <v>17</v>
      </c>
    </row>
    <row r="10" customFormat="false" ht="30" hidden="false" customHeight="true" outlineLevel="0" collapsed="false">
      <c r="A10" s="5" t="s">
        <v>26</v>
      </c>
      <c r="B10" s="6" t="n">
        <v>7378000000</v>
      </c>
      <c r="C10" s="7" t="s">
        <v>27</v>
      </c>
      <c r="D10" s="7" t="s">
        <v>13</v>
      </c>
      <c r="E10" s="7" t="s">
        <v>14</v>
      </c>
      <c r="F10" s="7" t="s">
        <v>15</v>
      </c>
      <c r="G10" s="7" t="s">
        <v>16</v>
      </c>
      <c r="H10" s="7" t="s">
        <v>28</v>
      </c>
    </row>
    <row r="11" customFormat="false" ht="30" hidden="false" customHeight="true" outlineLevel="0" collapsed="false">
      <c r="A11" s="5" t="s">
        <v>29</v>
      </c>
      <c r="B11" s="8" t="n">
        <v>0.59</v>
      </c>
      <c r="C11" s="7" t="s">
        <v>30</v>
      </c>
      <c r="D11" s="7" t="s">
        <v>13</v>
      </c>
      <c r="E11" s="7" t="s">
        <v>14</v>
      </c>
      <c r="F11" s="7" t="s">
        <v>15</v>
      </c>
      <c r="G11" s="7" t="s">
        <v>31</v>
      </c>
      <c r="H11" s="7" t="s">
        <v>17</v>
      </c>
    </row>
    <row r="12" customFormat="false" ht="30" hidden="false" customHeight="true" outlineLevel="0" collapsed="false">
      <c r="A12" s="5" t="s">
        <v>32</v>
      </c>
      <c r="B12" s="8" t="n">
        <v>0.311</v>
      </c>
      <c r="C12" s="7" t="s">
        <v>33</v>
      </c>
      <c r="D12" s="7" t="s">
        <v>13</v>
      </c>
      <c r="E12" s="7" t="s">
        <v>14</v>
      </c>
      <c r="F12" s="7" t="s">
        <v>15</v>
      </c>
      <c r="G12" s="7" t="s">
        <v>31</v>
      </c>
      <c r="H12" s="7" t="s">
        <v>17</v>
      </c>
    </row>
    <row r="13" customFormat="false" ht="30" hidden="false" customHeight="true" outlineLevel="0" collapsed="false">
      <c r="A13" s="5" t="s">
        <v>34</v>
      </c>
      <c r="B13" s="8" t="n">
        <v>0.901</v>
      </c>
      <c r="C13" s="7" t="s">
        <v>35</v>
      </c>
      <c r="D13" s="7" t="s">
        <v>13</v>
      </c>
      <c r="E13" s="7" t="s">
        <v>14</v>
      </c>
      <c r="F13" s="7" t="s">
        <v>15</v>
      </c>
      <c r="G13" s="7" t="s">
        <v>31</v>
      </c>
      <c r="H13" s="7" t="s">
        <v>17</v>
      </c>
    </row>
    <row r="14" customFormat="false" ht="30" hidden="false" customHeight="true" outlineLevel="0" collapsed="false">
      <c r="A14" s="5" t="s">
        <v>36</v>
      </c>
      <c r="B14" s="8" t="n">
        <v>0.021</v>
      </c>
      <c r="C14" s="7" t="s">
        <v>37</v>
      </c>
      <c r="D14" s="7" t="s">
        <v>13</v>
      </c>
      <c r="E14" s="7" t="s">
        <v>14</v>
      </c>
      <c r="F14" s="7" t="s">
        <v>15</v>
      </c>
      <c r="G14" s="7" t="s">
        <v>31</v>
      </c>
      <c r="H14" s="7" t="s">
        <v>17</v>
      </c>
    </row>
    <row r="15" customFormat="false" ht="30" hidden="false" customHeight="true" outlineLevel="0" collapsed="false">
      <c r="A15" s="5" t="s">
        <v>38</v>
      </c>
      <c r="B15" s="6" t="n">
        <v>2332000000</v>
      </c>
      <c r="C15" s="7" t="s">
        <v>39</v>
      </c>
      <c r="D15" s="7" t="s">
        <v>13</v>
      </c>
      <c r="E15" s="7" t="s">
        <v>14</v>
      </c>
      <c r="F15" s="7" t="s">
        <v>15</v>
      </c>
      <c r="G15" s="7" t="s">
        <v>16</v>
      </c>
      <c r="H15" s="7" t="s">
        <v>17</v>
      </c>
    </row>
    <row r="16" customFormat="false" ht="30" hidden="false" customHeight="true" outlineLevel="0" collapsed="false">
      <c r="A16" s="5" t="s">
        <v>40</v>
      </c>
      <c r="B16" s="6" t="n">
        <v>3433000000</v>
      </c>
      <c r="C16" s="7" t="s">
        <v>41</v>
      </c>
      <c r="D16" s="7" t="s">
        <v>13</v>
      </c>
      <c r="E16" s="7" t="s">
        <v>14</v>
      </c>
      <c r="F16" s="7" t="s">
        <v>15</v>
      </c>
      <c r="G16" s="7" t="s">
        <v>16</v>
      </c>
      <c r="H16" s="7" t="s">
        <v>17</v>
      </c>
    </row>
    <row r="17" customFormat="false" ht="30" hidden="false" customHeight="true" outlineLevel="0" collapsed="false">
      <c r="A17" s="5" t="s">
        <v>42</v>
      </c>
      <c r="B17" s="6" t="n">
        <v>92999000000</v>
      </c>
      <c r="C17" s="7" t="s">
        <v>43</v>
      </c>
      <c r="D17" s="7" t="s">
        <v>13</v>
      </c>
      <c r="E17" s="7" t="s">
        <v>14</v>
      </c>
      <c r="F17" s="7" t="s">
        <v>15</v>
      </c>
      <c r="G17" s="7" t="s">
        <v>44</v>
      </c>
      <c r="H17" s="7" t="s">
        <v>45</v>
      </c>
    </row>
    <row r="18" customFormat="false" ht="30" hidden="false" customHeight="true" outlineLevel="0" collapsed="false">
      <c r="A18" s="5" t="s">
        <v>46</v>
      </c>
      <c r="B18" s="6" t="n">
        <v>40142000000</v>
      </c>
      <c r="C18" s="7" t="s">
        <v>47</v>
      </c>
      <c r="D18" s="7" t="s">
        <v>13</v>
      </c>
      <c r="E18" s="7" t="s">
        <v>14</v>
      </c>
      <c r="F18" s="7" t="s">
        <v>15</v>
      </c>
      <c r="G18" s="7" t="s">
        <v>16</v>
      </c>
      <c r="H18" s="7" t="s">
        <v>17</v>
      </c>
    </row>
    <row r="19" customFormat="false" ht="30" hidden="false" customHeight="true" outlineLevel="0" collapsed="false">
      <c r="A19" s="5" t="s">
        <v>48</v>
      </c>
      <c r="B19" s="6" t="n">
        <v>14162000000</v>
      </c>
      <c r="C19" s="7" t="s">
        <v>49</v>
      </c>
      <c r="D19" s="7" t="s">
        <v>13</v>
      </c>
      <c r="E19" s="7" t="s">
        <v>14</v>
      </c>
      <c r="F19" s="7" t="s">
        <v>15</v>
      </c>
      <c r="G19" s="7" t="s">
        <v>16</v>
      </c>
      <c r="H19" s="7" t="s">
        <v>17</v>
      </c>
    </row>
    <row r="20" customFormat="false" ht="30" hidden="false" customHeight="true" outlineLevel="0" collapsed="false">
      <c r="A20" s="5" t="s">
        <v>50</v>
      </c>
      <c r="B20" s="6" t="n">
        <v>13876000000</v>
      </c>
      <c r="C20" s="7" t="s">
        <v>51</v>
      </c>
      <c r="D20" s="7" t="s">
        <v>13</v>
      </c>
      <c r="E20" s="7" t="s">
        <v>14</v>
      </c>
      <c r="F20" s="7" t="s">
        <v>15</v>
      </c>
      <c r="G20" s="7" t="s">
        <v>16</v>
      </c>
      <c r="H20" s="7" t="s">
        <v>52</v>
      </c>
    </row>
    <row r="21" customFormat="false" ht="30" hidden="false" customHeight="true" outlineLevel="0" collapsed="false">
      <c r="A21" s="5" t="s">
        <v>53</v>
      </c>
      <c r="B21" s="6" t="n">
        <v>1367000000</v>
      </c>
      <c r="C21" s="7" t="s">
        <v>54</v>
      </c>
      <c r="D21" s="7" t="s">
        <v>13</v>
      </c>
      <c r="E21" s="7" t="s">
        <v>14</v>
      </c>
      <c r="F21" s="7" t="s">
        <v>15</v>
      </c>
      <c r="G21" s="7" t="s">
        <v>16</v>
      </c>
      <c r="H21" s="7" t="s">
        <v>17</v>
      </c>
    </row>
    <row r="22" customFormat="false" ht="30" hidden="false" customHeight="true" outlineLevel="0" collapsed="false">
      <c r="A22" s="5" t="s">
        <v>55</v>
      </c>
      <c r="B22" s="6" t="n">
        <v>41795000000</v>
      </c>
      <c r="C22" s="7" t="s">
        <v>56</v>
      </c>
      <c r="D22" s="7" t="s">
        <v>13</v>
      </c>
      <c r="E22" s="7" t="s">
        <v>14</v>
      </c>
      <c r="F22" s="7" t="s">
        <v>15</v>
      </c>
      <c r="G22" s="7" t="s">
        <v>16</v>
      </c>
      <c r="H22" s="7" t="s">
        <v>17</v>
      </c>
    </row>
    <row r="23" customFormat="false" ht="30" hidden="false" customHeight="true" outlineLevel="0" collapsed="false">
      <c r="A23" s="5" t="s">
        <v>57</v>
      </c>
      <c r="B23" s="6" t="n">
        <v>28871000000</v>
      </c>
      <c r="C23" s="7" t="s">
        <v>58</v>
      </c>
      <c r="D23" s="7" t="s">
        <v>13</v>
      </c>
      <c r="E23" s="7" t="s">
        <v>14</v>
      </c>
      <c r="F23" s="7" t="s">
        <v>15</v>
      </c>
      <c r="G23" s="7" t="s">
        <v>16</v>
      </c>
      <c r="H23" s="7" t="s">
        <v>17</v>
      </c>
    </row>
    <row r="24" customFormat="false" ht="30" hidden="false" customHeight="true" outlineLevel="0" collapsed="false">
      <c r="A24" s="5" t="s">
        <v>59</v>
      </c>
      <c r="B24" s="6" t="n">
        <v>70666000000</v>
      </c>
      <c r="C24" s="7" t="s">
        <v>60</v>
      </c>
      <c r="D24" s="7" t="s">
        <v>13</v>
      </c>
      <c r="E24" s="7" t="s">
        <v>14</v>
      </c>
      <c r="F24" s="7" t="s">
        <v>15</v>
      </c>
      <c r="G24" s="7" t="s">
        <v>16</v>
      </c>
      <c r="H24" s="7" t="s">
        <v>17</v>
      </c>
    </row>
    <row r="25" customFormat="false" ht="30" hidden="false" customHeight="true" outlineLevel="0" collapsed="false">
      <c r="A25" s="5" t="s">
        <v>61</v>
      </c>
      <c r="B25" s="6" t="n">
        <v>0</v>
      </c>
      <c r="C25" s="7" t="s">
        <v>62</v>
      </c>
      <c r="D25" s="7" t="s">
        <v>13</v>
      </c>
      <c r="E25" s="7" t="s">
        <v>14</v>
      </c>
      <c r="F25" s="7" t="s">
        <v>15</v>
      </c>
      <c r="G25" s="7" t="s">
        <v>16</v>
      </c>
      <c r="H25" s="7" t="s">
        <v>63</v>
      </c>
    </row>
    <row r="26" customFormat="false" ht="30" hidden="false" customHeight="true" outlineLevel="0" collapsed="false">
      <c r="A26" s="5" t="s">
        <v>64</v>
      </c>
      <c r="B26" s="6" t="n">
        <v>-421000000</v>
      </c>
      <c r="C26" s="7" t="s">
        <v>65</v>
      </c>
      <c r="D26" s="7" t="s">
        <v>13</v>
      </c>
      <c r="E26" s="7" t="s">
        <v>14</v>
      </c>
      <c r="F26" s="7" t="s">
        <v>15</v>
      </c>
      <c r="G26" s="7" t="s">
        <v>16</v>
      </c>
      <c r="H26" s="7" t="s">
        <v>17</v>
      </c>
    </row>
    <row r="27" customFormat="false" ht="30" hidden="false" customHeight="true" outlineLevel="0" collapsed="false">
      <c r="A27" s="5" t="s">
        <v>66</v>
      </c>
      <c r="B27" s="6" t="n">
        <v>28664000000</v>
      </c>
      <c r="C27" s="7" t="s">
        <v>67</v>
      </c>
      <c r="D27" s="7" t="s">
        <v>13</v>
      </c>
      <c r="E27" s="7" t="s">
        <v>14</v>
      </c>
      <c r="F27" s="7" t="s">
        <v>15</v>
      </c>
      <c r="G27" s="7" t="s">
        <v>16</v>
      </c>
      <c r="H27" s="7" t="s">
        <v>17</v>
      </c>
    </row>
    <row r="28" customFormat="false" ht="30" hidden="false" customHeight="true" outlineLevel="0" collapsed="false">
      <c r="A28" s="5" t="s">
        <v>68</v>
      </c>
      <c r="B28" s="6" t="n">
        <v>10350000000</v>
      </c>
      <c r="C28" s="7" t="s">
        <v>69</v>
      </c>
      <c r="D28" s="7" t="s">
        <v>13</v>
      </c>
      <c r="E28" s="7" t="s">
        <v>14</v>
      </c>
      <c r="F28" s="7" t="s">
        <v>15</v>
      </c>
      <c r="G28" s="7" t="s">
        <v>16</v>
      </c>
      <c r="H28" s="7" t="s">
        <v>17</v>
      </c>
    </row>
    <row r="29" customFormat="false" ht="30" hidden="false" customHeight="true" outlineLevel="0" collapsed="false">
      <c r="A29" s="5" t="s">
        <v>70</v>
      </c>
      <c r="B29" s="6" t="n">
        <v>41139000000</v>
      </c>
      <c r="C29" s="7" t="s">
        <v>71</v>
      </c>
      <c r="D29" s="7" t="s">
        <v>13</v>
      </c>
      <c r="E29" s="7" t="s">
        <v>14</v>
      </c>
      <c r="F29" s="7" t="s">
        <v>15</v>
      </c>
      <c r="G29" s="7" t="s">
        <v>44</v>
      </c>
      <c r="H29" s="7" t="s">
        <v>72</v>
      </c>
    </row>
    <row r="30" customFormat="false" ht="30" hidden="false" customHeight="true" outlineLevel="0" collapsed="false">
      <c r="A30" s="5" t="s">
        <v>73</v>
      </c>
      <c r="B30" s="6" t="n">
        <v>6812000000</v>
      </c>
      <c r="C30" s="7" t="s">
        <v>74</v>
      </c>
      <c r="D30" s="7" t="s">
        <v>13</v>
      </c>
      <c r="E30" s="7" t="s">
        <v>14</v>
      </c>
      <c r="F30" s="7" t="s">
        <v>15</v>
      </c>
      <c r="G30" s="7" t="s">
        <v>44</v>
      </c>
      <c r="H30" s="7" t="s">
        <v>75</v>
      </c>
    </row>
    <row r="31" customFormat="false" ht="30" hidden="false" customHeight="true" outlineLevel="0" collapsed="false">
      <c r="A31" s="5" t="s">
        <v>76</v>
      </c>
      <c r="B31" s="6" t="n">
        <v>570349988</v>
      </c>
      <c r="C31" s="7" t="s">
        <v>77</v>
      </c>
      <c r="D31" s="7" t="s">
        <v>13</v>
      </c>
      <c r="E31" s="7" t="s">
        <v>14</v>
      </c>
      <c r="F31" s="7" t="s">
        <v>15</v>
      </c>
      <c r="G31" s="7" t="s">
        <v>78</v>
      </c>
      <c r="H31" s="7" t="s">
        <v>45</v>
      </c>
    </row>
    <row r="32" customFormat="false" ht="30" hidden="false" customHeight="true" outlineLevel="0" collapsed="false">
      <c r="A32" s="5" t="s">
        <v>79</v>
      </c>
      <c r="B32" s="6" t="n">
        <v>3096000000</v>
      </c>
      <c r="C32" s="7" t="s">
        <v>80</v>
      </c>
      <c r="D32" s="7" t="s">
        <v>13</v>
      </c>
      <c r="E32" s="7" t="s">
        <v>14</v>
      </c>
      <c r="F32" s="7" t="s">
        <v>15</v>
      </c>
      <c r="G32" s="7" t="s">
        <v>44</v>
      </c>
      <c r="H32" s="7" t="s">
        <v>81</v>
      </c>
    </row>
    <row r="33" customFormat="false" ht="30" hidden="false" customHeight="true" outlineLevel="0" collapsed="false">
      <c r="A33" s="5" t="s">
        <v>82</v>
      </c>
      <c r="B33" s="8" t="n">
        <v>0.201598350090229</v>
      </c>
      <c r="C33" s="7" t="s">
        <v>83</v>
      </c>
      <c r="D33" s="7" t="s">
        <v>13</v>
      </c>
      <c r="E33" s="7" t="s">
        <v>14</v>
      </c>
      <c r="F33" s="7" t="s">
        <v>15</v>
      </c>
      <c r="G33" s="7" t="s">
        <v>44</v>
      </c>
      <c r="H33" s="7" t="s">
        <v>84</v>
      </c>
    </row>
    <row r="34" customFormat="false" ht="30" hidden="false" customHeight="true" outlineLevel="0" collapsed="false">
      <c r="A34" s="5" t="s">
        <v>85</v>
      </c>
      <c r="B34" s="6" t="n">
        <v>3879000000</v>
      </c>
      <c r="C34" s="7" t="s">
        <v>86</v>
      </c>
      <c r="D34" s="7" t="s">
        <v>13</v>
      </c>
      <c r="E34" s="7" t="s">
        <v>14</v>
      </c>
      <c r="F34" s="7" t="s">
        <v>15</v>
      </c>
      <c r="G34" s="7" t="s">
        <v>44</v>
      </c>
      <c r="H34" s="7" t="s">
        <v>81</v>
      </c>
    </row>
    <row r="35" customFormat="false" ht="30" hidden="false" customHeight="true" outlineLevel="0" collapsed="false">
      <c r="A35" s="5" t="s">
        <v>87</v>
      </c>
      <c r="B35" s="6" t="n">
        <v>-1465000000</v>
      </c>
      <c r="C35" s="7" t="s">
        <v>88</v>
      </c>
      <c r="D35" s="7" t="s">
        <v>13</v>
      </c>
      <c r="E35" s="7" t="s">
        <v>14</v>
      </c>
      <c r="F35" s="7" t="s">
        <v>15</v>
      </c>
      <c r="G35" s="7" t="s">
        <v>89</v>
      </c>
      <c r="H35" s="7" t="s">
        <v>90</v>
      </c>
    </row>
    <row r="39" customFormat="false" ht="15" hidden="false" customHeight="false" outlineLevel="0" collapsed="false">
      <c r="A39" s="3" t="s">
        <v>91</v>
      </c>
      <c r="B39" s="3"/>
    </row>
    <row r="41" customFormat="false" ht="15" hidden="false" customHeight="false" outlineLevel="0" collapsed="false">
      <c r="A41" s="5" t="s">
        <v>92</v>
      </c>
      <c r="B41" s="9" t="n">
        <v>-0.00949711321228353</v>
      </c>
    </row>
    <row r="42" customFormat="false" ht="15" hidden="false" customHeight="false" outlineLevel="0" collapsed="false">
      <c r="A42" s="5" t="s">
        <v>93</v>
      </c>
      <c r="B42" s="9" t="n">
        <v>0.59</v>
      </c>
    </row>
    <row r="43" customFormat="false" ht="15" hidden="false" customHeight="false" outlineLevel="0" collapsed="false">
      <c r="A43" s="5" t="s">
        <v>32</v>
      </c>
      <c r="B43" s="9" t="n">
        <v>0.311</v>
      </c>
    </row>
    <row r="44" customFormat="false" ht="15" hidden="false" customHeight="false" outlineLevel="0" collapsed="false">
      <c r="A44" s="5" t="s">
        <v>94</v>
      </c>
      <c r="B44" s="9" t="n">
        <v>0.0163333333333333</v>
      </c>
    </row>
    <row r="45" customFormat="false" ht="15" hidden="false" customHeight="false" outlineLevel="0" collapsed="false">
      <c r="A45" s="5" t="s">
        <v>95</v>
      </c>
      <c r="B45" s="9" t="n">
        <v>0.036792917925964</v>
      </c>
    </row>
    <row r="46" customFormat="false" ht="15" hidden="false" customHeight="false" outlineLevel="0" collapsed="false">
      <c r="A46" s="5" t="s">
        <v>96</v>
      </c>
      <c r="B46" s="9" t="n">
        <v>-0.00655891809898201</v>
      </c>
    </row>
    <row r="47" customFormat="false" ht="15" hidden="false" customHeight="false" outlineLevel="0" collapsed="false">
      <c r="A47" s="5" t="s">
        <v>97</v>
      </c>
      <c r="B47" s="9" t="n">
        <v>0.987632549298033</v>
      </c>
    </row>
    <row r="48" customFormat="false" ht="15" hidden="false" customHeight="false" outlineLevel="0" collapsed="false">
      <c r="A48" s="5" t="s">
        <v>98</v>
      </c>
      <c r="B48" s="9" t="n">
        <v>0</v>
      </c>
    </row>
    <row r="49" customFormat="false" ht="15" hidden="false" customHeight="false" outlineLevel="0" collapsed="false">
      <c r="A49" s="5" t="s">
        <v>99</v>
      </c>
      <c r="B49" s="9" t="n">
        <v>0</v>
      </c>
    </row>
    <row r="50" customFormat="false" ht="15" hidden="false" customHeight="false" outlineLevel="0" collapsed="false">
      <c r="A50" s="5" t="s">
        <v>100</v>
      </c>
      <c r="B50" s="9" t="n">
        <v>0</v>
      </c>
    </row>
    <row r="51" customFormat="false" ht="15" hidden="false" customHeight="false" outlineLevel="0" collapsed="false">
      <c r="A51" s="5" t="s">
        <v>101</v>
      </c>
      <c r="B51" s="9" t="n">
        <v>0.201598350090229</v>
      </c>
    </row>
    <row r="52" customFormat="false" ht="15" hidden="false" customHeight="false" outlineLevel="0" collapsed="false">
      <c r="A52" s="5" t="s">
        <v>102</v>
      </c>
      <c r="B52" s="9" t="n">
        <v>2.20025839793282</v>
      </c>
    </row>
    <row r="53" customFormat="false" ht="15" hidden="false" customHeight="false" outlineLevel="0" collapsed="false">
      <c r="A53" s="5" t="s">
        <v>103</v>
      </c>
      <c r="B53" s="9" t="n">
        <v>0.437170010559662</v>
      </c>
    </row>
    <row r="54" customFormat="false" ht="15" hidden="false" customHeight="false" outlineLevel="0" collapsed="false">
      <c r="A54" s="5" t="s">
        <v>104</v>
      </c>
      <c r="B54" s="9" t="n">
        <v>0.0527699995040894</v>
      </c>
    </row>
    <row r="55" customFormat="false" ht="15" hidden="false" customHeight="false" outlineLevel="0" collapsed="false">
      <c r="A55" s="5" t="s">
        <v>105</v>
      </c>
      <c r="B55" s="9" t="n">
        <v>0.0838371068129586</v>
      </c>
    </row>
    <row r="56" customFormat="false" ht="15" hidden="false" customHeight="false" outlineLevel="0" collapsed="false">
      <c r="A56" s="5" t="s">
        <v>106</v>
      </c>
      <c r="B56" s="10" t="n">
        <v>0.511</v>
      </c>
    </row>
    <row r="57" customFormat="false" ht="15" hidden="false" customHeight="false" outlineLevel="0" collapsed="false">
      <c r="A57" s="5" t="s">
        <v>107</v>
      </c>
      <c r="B57" s="11" t="n">
        <f aca="false">B54+B55*B56</f>
        <v>0.0956107610855112</v>
      </c>
    </row>
    <row r="58" customFormat="false" ht="15" hidden="false" customHeight="false" outlineLevel="0" collapsed="false">
      <c r="A58" s="5" t="s">
        <v>108</v>
      </c>
      <c r="B58" s="9" t="n">
        <v>0.025</v>
      </c>
    </row>
    <row r="59" customFormat="false" ht="15" hidden="false" customHeight="false" outlineLevel="0" collapsed="false">
      <c r="A59" s="5" t="s">
        <v>109</v>
      </c>
      <c r="B59" s="12" t="n">
        <v>74.93</v>
      </c>
    </row>
    <row r="60" customFormat="false" ht="15" hidden="false" customHeight="false" outlineLevel="0" collapsed="false">
      <c r="A60" s="5" t="s">
        <v>110</v>
      </c>
      <c r="B60" s="13" t="n">
        <v>570349988</v>
      </c>
    </row>
    <row r="62" customFormat="false" ht="15" hidden="false" customHeight="false" outlineLevel="0" collapsed="false">
      <c r="A62" s="3" t="s">
        <v>111</v>
      </c>
      <c r="B62" s="3"/>
      <c r="C62" s="3"/>
      <c r="D62" s="3"/>
      <c r="E62" s="3"/>
      <c r="F62" s="3"/>
      <c r="G62" s="3"/>
    </row>
    <row r="64" customFormat="false" ht="15" hidden="false" customHeight="false" outlineLevel="0" collapsed="false">
      <c r="C64" s="14" t="s">
        <v>112</v>
      </c>
      <c r="D64" s="14" t="s">
        <v>113</v>
      </c>
      <c r="E64" s="14" t="s">
        <v>114</v>
      </c>
      <c r="F64" s="14" t="s">
        <v>115</v>
      </c>
      <c r="G64" s="14" t="s">
        <v>116</v>
      </c>
    </row>
    <row r="65" customFormat="false" ht="15" hidden="false" customHeight="false" outlineLevel="0" collapsed="false">
      <c r="A65" s="5" t="s">
        <v>11</v>
      </c>
      <c r="C65" s="15" t="n">
        <f aca="false">$B$5*(1+$B$41)</f>
        <v>23450155844.6992</v>
      </c>
      <c r="D65" s="15" t="n">
        <f aca="false">C65*(1+$B$41)</f>
        <v>23227447059.7964</v>
      </c>
      <c r="E65" s="15" t="n">
        <f aca="false">D65*(1+$B$41)</f>
        <v>23006853365.4372</v>
      </c>
      <c r="F65" s="15" t="n">
        <f aca="false">E65*(1+$B$41)</f>
        <v>22788354674.3672</v>
      </c>
      <c r="G65" s="15" t="n">
        <f aca="false">F65*(1+$B$41)</f>
        <v>22571931090.1031</v>
      </c>
    </row>
    <row r="66" customFormat="false" ht="15" hidden="false" customHeight="false" outlineLevel="0" collapsed="false">
      <c r="A66" s="5" t="s">
        <v>18</v>
      </c>
      <c r="C66" s="15" t="n">
        <f aca="false">$B$6*(1+$B$41)</f>
        <v>23453127353.3596</v>
      </c>
      <c r="D66" s="15" t="n">
        <f aca="false">C66*(1+$B$41)</f>
        <v>23230390347.7026</v>
      </c>
      <c r="E66" s="15" t="n">
        <f aca="false">D66*(1+$B$41)</f>
        <v>23009768700.6049</v>
      </c>
      <c r="F66" s="15" t="n">
        <f aca="false">E66*(1+$B$41)</f>
        <v>22791242322.2668</v>
      </c>
      <c r="G66" s="15" t="n">
        <f aca="false">F66*(1+$B$41)</f>
        <v>22574791313.6837</v>
      </c>
    </row>
    <row r="67" customFormat="false" ht="15" hidden="false" customHeight="false" outlineLevel="0" collapsed="false">
      <c r="A67" s="5" t="s">
        <v>117</v>
      </c>
      <c r="C67" s="11" t="n">
        <f aca="false">$B$44</f>
        <v>0.0163333333333333</v>
      </c>
      <c r="D67" s="11" t="n">
        <f aca="false">$B$44</f>
        <v>0.0163333333333333</v>
      </c>
      <c r="E67" s="11" t="n">
        <f aca="false">$B$44</f>
        <v>0.0163333333333333</v>
      </c>
      <c r="F67" s="11" t="n">
        <f aca="false">$B$44</f>
        <v>0.0163333333333333</v>
      </c>
      <c r="G67" s="11" t="n">
        <f aca="false">$B$44</f>
        <v>0.0163333333333333</v>
      </c>
    </row>
    <row r="68" customFormat="false" ht="15" hidden="false" customHeight="false" outlineLevel="0" collapsed="false">
      <c r="A68" s="5" t="s">
        <v>118</v>
      </c>
      <c r="C68" s="11" t="n">
        <f aca="false">MAX(0,$B$42+$B$14-$B$44)</f>
        <v>0.594666666666667</v>
      </c>
      <c r="D68" s="11" t="n">
        <f aca="false">MAX(0,$B$42+$B$14-$B$44)</f>
        <v>0.594666666666667</v>
      </c>
      <c r="E68" s="11" t="n">
        <f aca="false">MAX(0,$B$42+$B$14-$B$44)</f>
        <v>0.594666666666667</v>
      </c>
      <c r="F68" s="11" t="n">
        <f aca="false">MAX(0,$B$42+$B$14-$B$44)</f>
        <v>0.594666666666667</v>
      </c>
      <c r="G68" s="11" t="n">
        <f aca="false">MAX(0,$B$42+$B$14-$B$44)</f>
        <v>0.594666666666667</v>
      </c>
    </row>
    <row r="69" customFormat="false" ht="15" hidden="false" customHeight="false" outlineLevel="0" collapsed="false">
      <c r="A69" s="5" t="s">
        <v>119</v>
      </c>
      <c r="C69" s="11" t="n">
        <f aca="false">$B$43</f>
        <v>0.311</v>
      </c>
      <c r="D69" s="11" t="n">
        <f aca="false">$B$43</f>
        <v>0.311</v>
      </c>
      <c r="E69" s="11" t="n">
        <f aca="false">$B$43</f>
        <v>0.311</v>
      </c>
      <c r="F69" s="11" t="n">
        <f aca="false">$B$43</f>
        <v>0.311</v>
      </c>
      <c r="G69" s="11" t="n">
        <f aca="false">$B$43</f>
        <v>0.311</v>
      </c>
    </row>
    <row r="70" customFormat="false" ht="15" hidden="false" customHeight="false" outlineLevel="0" collapsed="false">
      <c r="A70" s="5" t="s">
        <v>120</v>
      </c>
      <c r="C70" s="11" t="n">
        <f aca="false">C68+C69</f>
        <v>0.905666666666667</v>
      </c>
      <c r="D70" s="11" t="n">
        <f aca="false">D68+D69</f>
        <v>0.905666666666667</v>
      </c>
      <c r="E70" s="11" t="n">
        <f aca="false">E68+E69</f>
        <v>0.905666666666667</v>
      </c>
      <c r="F70" s="11" t="n">
        <f aca="false">F68+F69</f>
        <v>0.905666666666667</v>
      </c>
      <c r="G70" s="11" t="n">
        <f aca="false">G68+G69</f>
        <v>0.905666666666667</v>
      </c>
    </row>
    <row r="71" customFormat="false" ht="15" hidden="false" customHeight="false" outlineLevel="0" collapsed="false">
      <c r="A71" s="5" t="s">
        <v>121</v>
      </c>
      <c r="C71" s="15" t="n">
        <f aca="false">C66*C68</f>
        <v>13946793066.1311</v>
      </c>
      <c r="D71" s="15" t="n">
        <f aca="false">D66*D68</f>
        <v>13814338793.4338</v>
      </c>
      <c r="E71" s="15" t="n">
        <f aca="false">E66*E68</f>
        <v>13683142453.9597</v>
      </c>
      <c r="F71" s="15" t="n">
        <f aca="false">F66*F68</f>
        <v>13553192100.9747</v>
      </c>
      <c r="G71" s="15" t="n">
        <f aca="false">G66*G68</f>
        <v>13424475901.2039</v>
      </c>
    </row>
    <row r="72" customFormat="false" ht="15" hidden="false" customHeight="false" outlineLevel="0" collapsed="false">
      <c r="A72" s="5" t="s">
        <v>122</v>
      </c>
      <c r="C72" s="15" t="n">
        <f aca="false">C66*C69</f>
        <v>7293922606.89482</v>
      </c>
      <c r="D72" s="15" t="n">
        <f aca="false">D66*D69</f>
        <v>7224651398.13551</v>
      </c>
      <c r="E72" s="15" t="n">
        <f aca="false">E66*E69</f>
        <v>7156038065.88813</v>
      </c>
      <c r="F72" s="15" t="n">
        <f aca="false">F66*F69</f>
        <v>7088076362.22498</v>
      </c>
      <c r="G72" s="15" t="n">
        <f aca="false">G66*G69</f>
        <v>7020760098.55562</v>
      </c>
    </row>
    <row r="73" customFormat="false" ht="15" hidden="false" customHeight="false" outlineLevel="0" collapsed="false">
      <c r="A73" s="5" t="s">
        <v>38</v>
      </c>
      <c r="C73" s="15" t="n">
        <f aca="false">C66-C71-C72</f>
        <v>2212411680.33359</v>
      </c>
      <c r="D73" s="15" t="n">
        <f aca="false">D66-D71-D72</f>
        <v>2191400156.13328</v>
      </c>
      <c r="E73" s="15" t="n">
        <f aca="false">E66-E71-E72</f>
        <v>2170588180.75706</v>
      </c>
      <c r="F73" s="15" t="n">
        <f aca="false">F66-F71-F72</f>
        <v>2149973859.06717</v>
      </c>
      <c r="G73" s="15" t="n">
        <f aca="false">G66-G71-G72</f>
        <v>2129555313.92416</v>
      </c>
    </row>
    <row r="74" customFormat="false" ht="15" hidden="false" customHeight="false" outlineLevel="0" collapsed="false">
      <c r="A74" s="5" t="s">
        <v>123</v>
      </c>
      <c r="C74" s="15" t="n">
        <f aca="false">$B$17*(1+$B$46)</f>
        <v>92389027175.7128</v>
      </c>
      <c r="D74" s="15" t="n">
        <f aca="false">C74*(1+$B$46)</f>
        <v>91783055113.2226</v>
      </c>
      <c r="E74" s="15" t="n">
        <f aca="false">D74*(1+$B$46)</f>
        <v>91181057571.8607</v>
      </c>
      <c r="F74" s="15" t="n">
        <f aca="false">E74*(1+$B$46)</f>
        <v>90583008483.0683</v>
      </c>
      <c r="G74" s="15" t="n">
        <f aca="false">F74*(1+$B$46)</f>
        <v>89988881949.2684</v>
      </c>
    </row>
    <row r="75" customFormat="false" ht="15" hidden="false" customHeight="false" outlineLevel="0" collapsed="false">
      <c r="A75" s="5" t="s">
        <v>124</v>
      </c>
      <c r="C75" s="15" t="n">
        <f aca="false">AVERAGE($B$17,C74)</f>
        <v>92694013587.8564</v>
      </c>
      <c r="D75" s="15" t="n">
        <f aca="false">AVERAGE(C74,D74)</f>
        <v>92086041144.4677</v>
      </c>
      <c r="E75" s="15" t="n">
        <f aca="false">AVERAGE(D74,E74)</f>
        <v>91482056342.5417</v>
      </c>
      <c r="F75" s="15" t="n">
        <f aca="false">AVERAGE(E74,F74)</f>
        <v>90882033027.4645</v>
      </c>
      <c r="G75" s="15" t="n">
        <f aca="false">AVERAGE(F74,G74)</f>
        <v>90285945216.1683</v>
      </c>
    </row>
    <row r="76" customFormat="false" ht="15" hidden="false" customHeight="false" outlineLevel="0" collapsed="false">
      <c r="A76" s="5" t="s">
        <v>125</v>
      </c>
      <c r="C76" s="15" t="n">
        <f aca="false">C75*$B$45</f>
        <v>3410483234.16619</v>
      </c>
      <c r="D76" s="15" t="n">
        <f aca="false">D75*$B$45</f>
        <v>3388114153.95535</v>
      </c>
      <c r="E76" s="15" t="n">
        <f aca="false">E75*$B$45</f>
        <v>3365891790.70955</v>
      </c>
      <c r="F76" s="15" t="n">
        <f aca="false">F75*$B$45</f>
        <v>3343815182.12425</v>
      </c>
      <c r="G76" s="15" t="n">
        <f aca="false">G75*$B$45</f>
        <v>3321883372.20657</v>
      </c>
    </row>
    <row r="77" customFormat="false" ht="15" hidden="false" customHeight="false" outlineLevel="0" collapsed="false">
      <c r="A77" s="5" t="s">
        <v>64</v>
      </c>
      <c r="C77" s="15" t="n">
        <f aca="false">$B$26*(1+$B$49)</f>
        <v>-421000000</v>
      </c>
      <c r="D77" s="15" t="n">
        <f aca="false">C77*(1+$B$49)</f>
        <v>-421000000</v>
      </c>
      <c r="E77" s="15" t="n">
        <f aca="false">D77*(1+$B$49)</f>
        <v>-421000000</v>
      </c>
      <c r="F77" s="15" t="n">
        <f aca="false">E77*(1+$B$49)</f>
        <v>-421000000</v>
      </c>
      <c r="G77" s="15" t="n">
        <f aca="false">F77*(1+$B$49)</f>
        <v>-421000000</v>
      </c>
    </row>
    <row r="78" customFormat="false" ht="15" hidden="false" customHeight="false" outlineLevel="0" collapsed="false">
      <c r="A78" s="5" t="s">
        <v>126</v>
      </c>
      <c r="C78" s="15" t="n">
        <f aca="false">$B$35*(1+$B$50)</f>
        <v>-1465000000</v>
      </c>
      <c r="D78" s="15" t="n">
        <f aca="false">C78*(1+$B$50)</f>
        <v>-1465000000</v>
      </c>
      <c r="E78" s="15" t="n">
        <f aca="false">D78*(1+$B$50)</f>
        <v>-1465000000</v>
      </c>
      <c r="F78" s="15" t="n">
        <f aca="false">E78*(1+$B$50)</f>
        <v>-1465000000</v>
      </c>
      <c r="G78" s="15" t="n">
        <f aca="false">F78*(1+$B$50)</f>
        <v>-1465000000</v>
      </c>
    </row>
    <row r="79" customFormat="false" ht="15" hidden="false" customHeight="false" outlineLevel="0" collapsed="false">
      <c r="A79" s="5" t="s">
        <v>127</v>
      </c>
      <c r="C79" s="15" t="n">
        <f aca="false">C73+C76+C77+C78</f>
        <v>3736894914.49978</v>
      </c>
      <c r="D79" s="15" t="n">
        <f aca="false">D73+D76+D77+D78</f>
        <v>3693514310.08863</v>
      </c>
      <c r="E79" s="15" t="n">
        <f aca="false">E73+E76+E77+E78</f>
        <v>3650479971.46662</v>
      </c>
      <c r="F79" s="15" t="n">
        <f aca="false">F73+F76+F77+F78</f>
        <v>3607789041.19142</v>
      </c>
      <c r="G79" s="15" t="n">
        <f aca="false">G73+G76+G77+G78</f>
        <v>3565438686.13073</v>
      </c>
    </row>
    <row r="80" customFormat="false" ht="15" hidden="false" customHeight="false" outlineLevel="0" collapsed="false">
      <c r="A80" s="5" t="s">
        <v>128</v>
      </c>
      <c r="C80" s="15" t="n">
        <f aca="false">MAX(0,C79*$B$51)</f>
        <v>753351849.223724</v>
      </c>
      <c r="D80" s="15" t="n">
        <f aca="false">MAX(0,D79*$B$51)</f>
        <v>744606390.948519</v>
      </c>
      <c r="E80" s="15" t="n">
        <f aca="false">MAX(0,E79*$B$51)</f>
        <v>735930739.285097</v>
      </c>
      <c r="F80" s="15" t="n">
        <f aca="false">MAX(0,F79*$B$51)</f>
        <v>727324318.177801</v>
      </c>
      <c r="G80" s="15" t="n">
        <f aca="false">MAX(0,G79*$B$51)</f>
        <v>718786556.47183</v>
      </c>
    </row>
    <row r="81" customFormat="false" ht="15" hidden="false" customHeight="false" outlineLevel="0" collapsed="false">
      <c r="A81" s="5" t="s">
        <v>129</v>
      </c>
      <c r="C81" s="15" t="n">
        <f aca="false">C79-C80</f>
        <v>2983543065.27605</v>
      </c>
      <c r="D81" s="15" t="n">
        <f aca="false">D79-D80</f>
        <v>2948907919.14011</v>
      </c>
      <c r="E81" s="15" t="n">
        <f aca="false">E79-E80</f>
        <v>2914549232.18152</v>
      </c>
      <c r="F81" s="15" t="n">
        <f aca="false">F79-F80</f>
        <v>2880464723.01362</v>
      </c>
      <c r="G81" s="15" t="n">
        <f aca="false">G79-G80</f>
        <v>2846652129.6589</v>
      </c>
    </row>
    <row r="82" customFormat="false" ht="15" hidden="false" customHeight="false" outlineLevel="0" collapsed="false">
      <c r="A82" s="5" t="s">
        <v>46</v>
      </c>
      <c r="C82" s="15" t="n">
        <f aca="false">$B$22</f>
        <v>41795000000</v>
      </c>
      <c r="D82" s="15" t="n">
        <f aca="false">C86</f>
        <v>41967486275.6959</v>
      </c>
      <c r="E82" s="15" t="n">
        <f aca="false">D86</f>
        <v>42138334429.704</v>
      </c>
      <c r="F82" s="15" t="n">
        <f aca="false">E86</f>
        <v>42307560019.4513</v>
      </c>
      <c r="G82" s="15" t="n">
        <f aca="false">F86</f>
        <v>42475178454.6144</v>
      </c>
    </row>
    <row r="83" customFormat="false" ht="15" hidden="false" customHeight="false" outlineLevel="0" collapsed="false">
      <c r="A83" s="5" t="s">
        <v>130</v>
      </c>
      <c r="C83" s="15" t="n">
        <f aca="false">C71</f>
        <v>13946793066.1311</v>
      </c>
      <c r="D83" s="15" t="n">
        <f aca="false">D71</f>
        <v>13814338793.4338</v>
      </c>
      <c r="E83" s="15" t="n">
        <f aca="false">E71</f>
        <v>13683142453.9597</v>
      </c>
      <c r="F83" s="15" t="n">
        <f aca="false">F71</f>
        <v>13553192100.9747</v>
      </c>
      <c r="G83" s="15" t="n">
        <f aca="false">G71</f>
        <v>13424475901.2039</v>
      </c>
    </row>
    <row r="84" customFormat="false" ht="15" hidden="false" customHeight="false" outlineLevel="0" collapsed="false">
      <c r="A84" s="5" t="s">
        <v>131</v>
      </c>
      <c r="C84" s="15" t="n">
        <f aca="false">C83*$B$47</f>
        <v>13774306790.4352</v>
      </c>
      <c r="D84" s="15" t="n">
        <f aca="false">D83*$B$47</f>
        <v>13643490639.4257</v>
      </c>
      <c r="E84" s="15" t="n">
        <f aca="false">E83*$B$47</f>
        <v>13513916864.2124</v>
      </c>
      <c r="F84" s="15" t="n">
        <f aca="false">F83*$B$47</f>
        <v>13385573665.8116</v>
      </c>
      <c r="G84" s="15" t="n">
        <f aca="false">G83*$B$47</f>
        <v>13258449357.296</v>
      </c>
    </row>
    <row r="85" customFormat="false" ht="15" hidden="false" customHeight="false" outlineLevel="0" collapsed="false">
      <c r="A85" s="5" t="s">
        <v>53</v>
      </c>
      <c r="C85" s="15" t="n">
        <f aca="false">C66*$B$48</f>
        <v>0</v>
      </c>
      <c r="D85" s="15" t="n">
        <f aca="false">D66*$B$48</f>
        <v>0</v>
      </c>
      <c r="E85" s="15" t="n">
        <f aca="false">E66*$B$48</f>
        <v>0</v>
      </c>
      <c r="F85" s="15" t="n">
        <f aca="false">F66*$B$48</f>
        <v>0</v>
      </c>
      <c r="G85" s="15" t="n">
        <f aca="false">G66*$B$48</f>
        <v>0</v>
      </c>
    </row>
    <row r="86" customFormat="false" ht="15" hidden="false" customHeight="false" outlineLevel="0" collapsed="false">
      <c r="A86" s="5" t="s">
        <v>55</v>
      </c>
      <c r="C86" s="15" t="n">
        <f aca="false">C82+C83-C84+C85</f>
        <v>41967486275.6959</v>
      </c>
      <c r="D86" s="15" t="n">
        <f aca="false">D82+D83-D84+D85</f>
        <v>42138334429.704</v>
      </c>
      <c r="E86" s="15" t="n">
        <f aca="false">E82+E83-E84+E85</f>
        <v>42307560019.4513</v>
      </c>
      <c r="F86" s="15" t="n">
        <f aca="false">F82+F83-F84+F85</f>
        <v>42475178454.6144</v>
      </c>
      <c r="G86" s="15" t="n">
        <f aca="false">G82+G83-G84+G85</f>
        <v>42641204998.5223</v>
      </c>
    </row>
    <row r="87" customFormat="false" ht="15" hidden="false" customHeight="false" outlineLevel="0" collapsed="false">
      <c r="A87" s="5" t="s">
        <v>132</v>
      </c>
      <c r="C87" s="15" t="n">
        <f aca="false">C86*$B$23/$B$22</f>
        <v>28990149450.0686</v>
      </c>
      <c r="D87" s="15" t="n">
        <f aca="false">D86*$B$23/$B$22</f>
        <v>29108167324.3207</v>
      </c>
      <c r="E87" s="15" t="n">
        <f aca="false">E86*$B$23/$B$22</f>
        <v>29225064369.46</v>
      </c>
      <c r="F87" s="15" t="n">
        <f aca="false">F86*$B$23/$B$22</f>
        <v>29340851230.1274</v>
      </c>
      <c r="G87" s="15" t="n">
        <f aca="false">G86*$B$23/$B$22</f>
        <v>29455538449.8705</v>
      </c>
    </row>
    <row r="88" customFormat="false" ht="15" hidden="false" customHeight="false" outlineLevel="0" collapsed="false">
      <c r="A88" s="5" t="s">
        <v>59</v>
      </c>
      <c r="C88" s="15" t="n">
        <f aca="false">C86+C87</f>
        <v>70957635725.7645</v>
      </c>
      <c r="D88" s="15" t="n">
        <f aca="false">D86+D87</f>
        <v>71246501754.0247</v>
      </c>
      <c r="E88" s="15" t="n">
        <f aca="false">E86+E87</f>
        <v>71532624388.9113</v>
      </c>
      <c r="F88" s="15" t="n">
        <f aca="false">F86+F87</f>
        <v>71816029684.7418</v>
      </c>
      <c r="G88" s="15" t="n">
        <f aca="false">G86+G87</f>
        <v>72096743448.3928</v>
      </c>
    </row>
    <row r="89" customFormat="false" ht="15" hidden="false" customHeight="false" outlineLevel="0" collapsed="false">
      <c r="A89" s="5" t="s">
        <v>133</v>
      </c>
      <c r="C89" s="15" t="n">
        <f aca="false">C82+C83-C84+C85-C86</f>
        <v>0</v>
      </c>
      <c r="D89" s="15" t="n">
        <f aca="false">D82+D83-D84+D85-D86</f>
        <v>0</v>
      </c>
      <c r="E89" s="15" t="n">
        <f aca="false">E82+E83-E84+E85-E86</f>
        <v>0</v>
      </c>
      <c r="F89" s="15" t="n">
        <f aca="false">F82+F83-F84+F85-F86</f>
        <v>0</v>
      </c>
      <c r="G89" s="15" t="n">
        <f aca="false">G82+G83-G84+G85-G86</f>
        <v>0</v>
      </c>
    </row>
    <row r="90" customFormat="false" ht="15" hidden="false" customHeight="false" outlineLevel="0" collapsed="false">
      <c r="A90" s="5" t="s">
        <v>134</v>
      </c>
      <c r="C90" s="15" t="n">
        <f aca="false">$B$27</f>
        <v>28664000000</v>
      </c>
      <c r="D90" s="15" t="n">
        <f aca="false">C96</f>
        <v>25082977380.3082</v>
      </c>
      <c r="E90" s="15" t="n">
        <f aca="false">D96</f>
        <v>21543525885.6297</v>
      </c>
      <c r="F90" s="15" t="n">
        <f aca="false">E96</f>
        <v>18045313693.5152</v>
      </c>
      <c r="G90" s="15" t="n">
        <f aca="false">F96</f>
        <v>14588011719.7689</v>
      </c>
    </row>
    <row r="91" customFormat="false" ht="15" hidden="false" customHeight="false" outlineLevel="0" collapsed="false">
      <c r="A91" s="5" t="s">
        <v>135</v>
      </c>
      <c r="C91" s="15" t="n">
        <f aca="false">C65*$B$53</f>
        <v>10251704878.2529</v>
      </c>
      <c r="D91" s="15" t="n">
        <f aca="false">D65*$B$53</f>
        <v>10154343276.4052</v>
      </c>
      <c r="E91" s="15" t="n">
        <f aca="false">E65*$B$53</f>
        <v>10057906328.7128</v>
      </c>
      <c r="F91" s="15" t="n">
        <f aca="false">F65*$B$53</f>
        <v>9962385253.63044</v>
      </c>
      <c r="G91" s="15" t="n">
        <f aca="false">G65*$B$53</f>
        <v>9867771353.01233</v>
      </c>
    </row>
    <row r="92" customFormat="false" ht="15" hidden="false" customHeight="false" outlineLevel="0" collapsed="false">
      <c r="A92" s="5" t="s">
        <v>136</v>
      </c>
      <c r="C92" s="15" t="n">
        <f aca="false">C90+C81</f>
        <v>31647543065.2761</v>
      </c>
      <c r="D92" s="15" t="n">
        <f aca="false">D90+D81</f>
        <v>28031885299.4483</v>
      </c>
      <c r="E92" s="15" t="n">
        <f aca="false">E90+E81</f>
        <v>24458075117.8112</v>
      </c>
      <c r="F92" s="15" t="n">
        <f aca="false">F90+F81</f>
        <v>20925778416.5288</v>
      </c>
      <c r="G92" s="15" t="n">
        <f aca="false">G90+G81</f>
        <v>17434663849.4278</v>
      </c>
    </row>
    <row r="93" customFormat="false" ht="15" hidden="false" customHeight="false" outlineLevel="0" collapsed="false">
      <c r="A93" s="5" t="s">
        <v>137</v>
      </c>
      <c r="C93" s="15" t="n">
        <f aca="false">C92-C91</f>
        <v>21395838187.0232</v>
      </c>
      <c r="D93" s="15" t="n">
        <f aca="false">D92-D91</f>
        <v>17877542023.0431</v>
      </c>
      <c r="E93" s="15" t="n">
        <f aca="false">E92-E91</f>
        <v>14400168789.0984</v>
      </c>
      <c r="F93" s="15" t="n">
        <f aca="false">F92-F91</f>
        <v>10963393162.8984</v>
      </c>
      <c r="G93" s="15" t="n">
        <f aca="false">G92-G91</f>
        <v>7566892496.41543</v>
      </c>
    </row>
    <row r="94" customFormat="false" ht="15" hidden="false" customHeight="false" outlineLevel="0" collapsed="false">
      <c r="A94" s="5" t="s">
        <v>138</v>
      </c>
      <c r="C94" s="15" t="n">
        <f aca="false">MAX(0,C81*$B$52)</f>
        <v>6564565684.96786</v>
      </c>
      <c r="D94" s="15" t="n">
        <f aca="false">MAX(0,D81*$B$52)</f>
        <v>6488359413.81861</v>
      </c>
      <c r="E94" s="15" t="n">
        <f aca="false">MAX(0,E81*$B$52)</f>
        <v>6412761424.29603</v>
      </c>
      <c r="F94" s="15" t="n">
        <f aca="false">MAX(0,F81*$B$52)</f>
        <v>6337766696.75994</v>
      </c>
      <c r="G94" s="15" t="n">
        <f aca="false">MAX(0,G81*$B$52)</f>
        <v>6263370254.27533</v>
      </c>
    </row>
    <row r="95" customFormat="false" ht="15" hidden="false" customHeight="false" outlineLevel="0" collapsed="false">
      <c r="A95" s="5" t="s">
        <v>139</v>
      </c>
      <c r="C95" s="15" t="n">
        <f aca="false">IF(C93&lt;0,0,MIN(C94,C93))</f>
        <v>6564565684.96786</v>
      </c>
      <c r="D95" s="15" t="n">
        <f aca="false">IF(D93&lt;0,0,MIN(D94,D93))</f>
        <v>6488359413.81861</v>
      </c>
      <c r="E95" s="15" t="n">
        <f aca="false">IF(E93&lt;0,0,MIN(E94,E93))</f>
        <v>6412761424.29603</v>
      </c>
      <c r="F95" s="15" t="n">
        <f aca="false">IF(F93&lt;0,0,MIN(F94,F93))</f>
        <v>6337766696.75994</v>
      </c>
      <c r="G95" s="15" t="n">
        <f aca="false">IF(G93&lt;0,0,MIN(G94,G93))</f>
        <v>6263370254.27533</v>
      </c>
    </row>
    <row r="96" customFormat="false" ht="15" hidden="false" customHeight="false" outlineLevel="0" collapsed="false">
      <c r="A96" s="5" t="s">
        <v>140</v>
      </c>
      <c r="C96" s="15" t="n">
        <f aca="false">C92-C95</f>
        <v>25082977380.3082</v>
      </c>
      <c r="D96" s="15" t="n">
        <f aca="false">D92-D95</f>
        <v>21543525885.6297</v>
      </c>
      <c r="E96" s="15" t="n">
        <f aca="false">E92-E95</f>
        <v>18045313693.5152</v>
      </c>
      <c r="F96" s="15" t="n">
        <f aca="false">F92-F95</f>
        <v>14588011719.7689</v>
      </c>
      <c r="G96" s="15" t="n">
        <f aca="false">G92-G95</f>
        <v>11171293595.1524</v>
      </c>
    </row>
    <row r="97" customFormat="false" ht="15" hidden="false" customHeight="false" outlineLevel="0" collapsed="false">
      <c r="A97" s="5" t="s">
        <v>141</v>
      </c>
      <c r="C97" s="15" t="str">
        <f aca="false">IF(C93&gt;=0,"PASS","BREACH")</f>
        <v>PASS</v>
      </c>
      <c r="D97" s="15" t="str">
        <f aca="false">IF(D93&gt;=0,"PASS","BREACH")</f>
        <v>PASS</v>
      </c>
      <c r="E97" s="15" t="str">
        <f aca="false">IF(E93&gt;=0,"PASS","BREACH")</f>
        <v>PASS</v>
      </c>
      <c r="F97" s="15" t="str">
        <f aca="false">IF(F93&gt;=0,"PASS","BREACH")</f>
        <v>PASS</v>
      </c>
      <c r="G97" s="15" t="str">
        <f aca="false">IF(G93&gt;=0,"PASS","BREACH")</f>
        <v>PASS</v>
      </c>
    </row>
    <row r="98" customFormat="false" ht="15" hidden="false" customHeight="false" outlineLevel="0" collapsed="false">
      <c r="A98" s="5" t="s">
        <v>142</v>
      </c>
      <c r="C98" s="15" t="n">
        <f aca="false">$B$29</f>
        <v>41139000000</v>
      </c>
      <c r="D98" s="15" t="n">
        <f aca="false">C99</f>
        <v>37557977380.3082</v>
      </c>
      <c r="E98" s="15" t="n">
        <f aca="false">D99</f>
        <v>34018525885.6297</v>
      </c>
      <c r="F98" s="15" t="n">
        <f aca="false">E99</f>
        <v>30520313693.5152</v>
      </c>
      <c r="G98" s="15" t="n">
        <f aca="false">F99</f>
        <v>27063011719.7689</v>
      </c>
    </row>
    <row r="99" customFormat="false" ht="15" hidden="false" customHeight="false" outlineLevel="0" collapsed="false">
      <c r="A99" s="5" t="s">
        <v>143</v>
      </c>
      <c r="C99" s="15" t="n">
        <f aca="false">C98+C81-C95</f>
        <v>37557977380.3082</v>
      </c>
      <c r="D99" s="15" t="n">
        <f aca="false">D98+D81-D95</f>
        <v>34018525885.6297</v>
      </c>
      <c r="E99" s="15" t="n">
        <f aca="false">E98+E81-E95</f>
        <v>30520313693.5152</v>
      </c>
      <c r="F99" s="15" t="n">
        <f aca="false">F98+F81-F95</f>
        <v>27063011719.7689</v>
      </c>
      <c r="G99" s="15" t="n">
        <f aca="false">G98+G81-G95</f>
        <v>23646293595.1524</v>
      </c>
    </row>
    <row r="100" customFormat="false" ht="15" hidden="false" customHeight="false" outlineLevel="0" collapsed="false">
      <c r="A100" s="5" t="s">
        <v>144</v>
      </c>
      <c r="C100" s="15" t="n">
        <f aca="false">C98*$B$57</f>
        <v>3933331100.29685</v>
      </c>
      <c r="D100" s="15" t="n">
        <f aca="false">D98*$B$57</f>
        <v>3590946802.16368</v>
      </c>
      <c r="E100" s="15" t="n">
        <f aca="false">E98*$B$57</f>
        <v>3252537150.93222</v>
      </c>
      <c r="F100" s="15" t="n">
        <f aca="false">F98*$B$57</f>
        <v>2918070420.80554</v>
      </c>
      <c r="G100" s="15" t="n">
        <f aca="false">G98*$B$57</f>
        <v>2587515147.79321</v>
      </c>
    </row>
    <row r="101" customFormat="false" ht="15" hidden="false" customHeight="false" outlineLevel="0" collapsed="false">
      <c r="A101" s="5" t="s">
        <v>145</v>
      </c>
      <c r="C101" s="15" t="n">
        <f aca="false">C81-C100</f>
        <v>-949788035.020792</v>
      </c>
      <c r="D101" s="15" t="n">
        <f aca="false">D81-D100</f>
        <v>-642038883.023575</v>
      </c>
      <c r="E101" s="15" t="n">
        <f aca="false">E81-E100</f>
        <v>-337987918.750701</v>
      </c>
      <c r="F101" s="15" t="n">
        <f aca="false">F81-F100</f>
        <v>-37605697.7919178</v>
      </c>
      <c r="G101" s="15" t="n">
        <f aca="false">G81-G100</f>
        <v>259136981.865685</v>
      </c>
    </row>
    <row r="102" customFormat="false" ht="15" hidden="false" customHeight="false" outlineLevel="0" collapsed="false">
      <c r="A102" s="5" t="s">
        <v>146</v>
      </c>
      <c r="C102" s="15" t="n">
        <f aca="false">C101/(1+$B$57)^1</f>
        <v>-866902798.654295</v>
      </c>
      <c r="D102" s="15" t="n">
        <f aca="false">D101/(1+$B$57)^2</f>
        <v>-534870630.983609</v>
      </c>
      <c r="E102" s="15" t="n">
        <f aca="false">E101/(1+$B$57)^3</f>
        <v>-256999518.190233</v>
      </c>
      <c r="F102" s="15" t="n">
        <f aca="false">F101/(1+$B$57)^4</f>
        <v>-26099278.0787117</v>
      </c>
      <c r="G102" s="15" t="n">
        <f aca="false">G101/(1+$B$57)^5</f>
        <v>164152669.624817</v>
      </c>
    </row>
    <row r="104" customFormat="false" ht="15" hidden="false" customHeight="false" outlineLevel="0" collapsed="false">
      <c r="A104" s="3" t="s">
        <v>147</v>
      </c>
      <c r="B104" s="3"/>
    </row>
    <row r="105" customFormat="false" ht="15" hidden="false" customHeight="false" outlineLevel="0" collapsed="false">
      <c r="A105" s="16" t="s">
        <v>148</v>
      </c>
      <c r="B105" s="15" t="n">
        <f aca="false">SUM(C102:G102)</f>
        <v>-1520719556.28203</v>
      </c>
    </row>
    <row r="106" customFormat="false" ht="15" hidden="false" customHeight="false" outlineLevel="0" collapsed="false">
      <c r="A106" s="16" t="s">
        <v>149</v>
      </c>
      <c r="B106" s="15" t="n">
        <f aca="false">IF($B$57&lt;=$B$58,"",G101*(1+$B$58)/($B$57-$B$58))</f>
        <v>3761684512.79914</v>
      </c>
    </row>
    <row r="107" customFormat="false" ht="15" hidden="false" customHeight="false" outlineLevel="0" collapsed="false">
      <c r="A107" s="16" t="s">
        <v>150</v>
      </c>
      <c r="B107" s="15" t="n">
        <f aca="false">IF(B106="","",B106/(1+$B$57)^5)</f>
        <v>2382873145.379</v>
      </c>
    </row>
    <row r="108" customFormat="false" ht="15" hidden="false" customHeight="false" outlineLevel="0" collapsed="false">
      <c r="A108" s="17" t="s">
        <v>151</v>
      </c>
      <c r="B108" s="15" t="n">
        <f aca="false">IF(B107="","",MAX(0,$B$29+B105+B107))</f>
        <v>42001153589.097</v>
      </c>
    </row>
    <row r="109" customFormat="false" ht="15" hidden="false" customHeight="false" outlineLevel="0" collapsed="false">
      <c r="A109" s="17" t="s">
        <v>152</v>
      </c>
      <c r="B109" s="18" t="n">
        <f aca="false">IFERROR(B108/$B$60,0)</f>
        <v>73.6410177483811</v>
      </c>
    </row>
    <row r="110" customFormat="false" ht="15" hidden="false" customHeight="false" outlineLevel="0" collapsed="false">
      <c r="A110" s="16" t="s">
        <v>109</v>
      </c>
      <c r="B110" s="18" t="n">
        <f aca="false">B59</f>
        <v>74.93</v>
      </c>
    </row>
    <row r="111" customFormat="false" ht="15" hidden="false" customHeight="false" outlineLevel="0" collapsed="false">
      <c r="A111" s="17" t="s">
        <v>153</v>
      </c>
      <c r="B111" s="11" t="n">
        <f aca="false">IFERROR(B109/B110-1,0)</f>
        <v>-0.0172024856748816</v>
      </c>
    </row>
    <row r="112" customFormat="false" ht="15" hidden="false" customHeight="false" outlineLevel="0" collapsed="false">
      <c r="A112" s="5" t="s">
        <v>154</v>
      </c>
      <c r="B112" s="5" t="s">
        <v>155</v>
      </c>
    </row>
    <row r="114" customFormat="false" ht="15" hidden="false" customHeight="false" outlineLevel="0" collapsed="false">
      <c r="A114" s="3" t="s">
        <v>156</v>
      </c>
      <c r="B114" s="3"/>
      <c r="C114" s="3"/>
      <c r="D114" s="3"/>
      <c r="E114" s="3"/>
      <c r="F114" s="3"/>
      <c r="G114" s="3"/>
    </row>
    <row r="115" customFormat="false" ht="15" hidden="false" customHeight="false" outlineLevel="0" collapsed="false">
      <c r="B115" s="19" t="s">
        <v>157</v>
      </c>
      <c r="C115" s="20" t="n">
        <f aca="false">$B$58-2%</f>
        <v>0.005</v>
      </c>
      <c r="D115" s="20" t="n">
        <f aca="false">$B$58-1%</f>
        <v>0.015</v>
      </c>
      <c r="E115" s="20" t="n">
        <f aca="false">$B$58</f>
        <v>0.025</v>
      </c>
      <c r="F115" s="20" t="n">
        <f aca="false">$B$58+1%</f>
        <v>0.035</v>
      </c>
      <c r="G115" s="20" t="n">
        <f aca="false">$B$58+2%</f>
        <v>0.045</v>
      </c>
    </row>
    <row r="116" customFormat="false" ht="15" hidden="false" customHeight="false" outlineLevel="0" collapsed="false">
      <c r="B116" s="11" t="n">
        <f aca="false">$B$57-2%</f>
        <v>0.0756107610855112</v>
      </c>
      <c r="C116" s="15" t="n">
        <f aca="false">IF(OR($B116&lt;=C$115,$B116&lt;=0),"",MAX(0,$B$29+$H116+($I116*(1+C$115)/($B116-C$115))/(1+$B116)^5))</f>
        <v>50286962623.8595</v>
      </c>
      <c r="D116" s="15" t="n">
        <f aca="false">IF(OR($B116&lt;=D$115,$B116&lt;=0),"",MAX(0,$B$29+$H116+($I116*(1+D$115)/($B116-D$115))/(1+$B116)^5))</f>
        <v>51684181310.5276</v>
      </c>
      <c r="E116" s="15" t="n">
        <f aca="false">IF(OR($B116&lt;=E$115,$B116&lt;=0),"",MAX(0,$B$29+$H116+($I116*(1+E$115)/($B116-E$115))/(1+$B116)^5))</f>
        <v>53633542923.6013</v>
      </c>
      <c r="F116" s="15" t="n">
        <f aca="false">IF(OR($B116&lt;=F$115,$B116&lt;=0),"",MAX(0,$B$29+$H116+($I116*(1+F$115)/($B116-F$115))/(1+$B116)^5))</f>
        <v>56542926738.1643</v>
      </c>
      <c r="G116" s="15" t="n">
        <f aca="false">IF(OR($B116&lt;=G$115,$B116&lt;=0),"",MAX(0,$B$29+$H116+($I116*(1+G$115)/($B116-G$115))/(1+$B116)^5))</f>
        <v>61353200116.6527</v>
      </c>
      <c r="H116" s="15" t="n">
        <f aca="false">(C81-$B116*C98)/(1+$B116)^1+(D81-$B116*D98)/(1+$B116)^2+(E81-$B116*E98)/(1+$B116)^3+(F81-$B116*F98)/(1+$B116)^4+(G81-$B116*G98)/(1+$B116)^5</f>
        <v>1235256325.16359</v>
      </c>
      <c r="I116" s="15" t="n">
        <f aca="false">G81-$B116*G98</f>
        <v>800397216.261063</v>
      </c>
    </row>
    <row r="117" customFormat="false" ht="15" hidden="false" customHeight="false" outlineLevel="0" collapsed="false">
      <c r="B117" s="11" t="n">
        <f aca="false">$B$57-1%</f>
        <v>0.0856107610855112</v>
      </c>
      <c r="C117" s="15" t="n">
        <f aca="false">IF(OR($B117&lt;=C$115,$B117&lt;=0),"",MAX(0,$B$29+$H117+($I117*(1+C$115)/($B117-C$115))/(1+$B117)^5))</f>
        <v>45342806484.5716</v>
      </c>
      <c r="D117" s="15" t="n">
        <f aca="false">IF(OR($B117&lt;=D$115,$B117&lt;=0),"",MAX(0,$B$29+$H117+($I117*(1+D$115)/($B117-D$115))/(1+$B117)^5))</f>
        <v>46012883174.864</v>
      </c>
      <c r="E117" s="15" t="n">
        <f aca="false">IF(OR($B117&lt;=E$115,$B117&lt;=0),"",MAX(0,$B$29+$H117+($I117*(1+E$115)/($B117-E$115))/(1+$B117)^5))</f>
        <v>46904068024.266</v>
      </c>
      <c r="F117" s="15" t="n">
        <f aca="false">IF(OR($B117&lt;=F$115,$B117&lt;=0),"",MAX(0,$B$29+$H117+($I117*(1+F$115)/($B117-F$115))/(1+$B117)^5))</f>
        <v>48147424953.3948</v>
      </c>
      <c r="G117" s="15" t="n">
        <f aca="false">IF(OR($B117&lt;=G$115,$B117&lt;=0),"",MAX(0,$B$29+$H117+($I117*(1+G$115)/($B117-G$115))/(1+$B117)^5))</f>
        <v>50003110682.0311</v>
      </c>
      <c r="H117" s="15" t="n">
        <f aca="false">(C81-$B117*C98)/(1+$B117)^1+(D81-$B117*D98)/(1+$B117)^2+(E81-$B117*E98)/(1+$B117)^3+(F81-$B117*F98)/(1+$B117)^4+(G81-$B117*G98)/(1+$B117)^5</f>
        <v>-176326793.132572</v>
      </c>
      <c r="I117" s="15" t="n">
        <f aca="false">G81-$B117*G98</f>
        <v>529767099.063374</v>
      </c>
    </row>
    <row r="118" customFormat="false" ht="15" hidden="false" customHeight="false" outlineLevel="0" collapsed="false">
      <c r="B118" s="11" t="n">
        <f aca="false">$B$57</f>
        <v>0.0956107610855112</v>
      </c>
      <c r="C118" s="15" t="n">
        <f aca="false">IF(OR($B118&lt;=C$115,$B118&lt;=0),"",MAX(0,$B$29+$H118+($I118*(1+C$115)/($B118-C$115))/(1+$B118)^5))</f>
        <v>41438963009.4151</v>
      </c>
      <c r="D118" s="15" t="n">
        <f aca="false">IF(OR($B118&lt;=D$115,$B118&lt;=0),"",MAX(0,$B$29+$H118+($I118*(1+D$115)/($B118-D$115))/(1+$B118)^5))</f>
        <v>41685187608.7855</v>
      </c>
      <c r="E118" s="15" t="n">
        <f aca="false">IF(OR($B118&lt;=E$115,$B118&lt;=0),"",MAX(0,$B$29+$H118+($I118*(1+E$115)/($B118-E$115))/(1+$B118)^5))</f>
        <v>42001153589.097</v>
      </c>
      <c r="F118" s="15" t="n">
        <f aca="false">IF(OR($B118&lt;=F$115,$B118&lt;=0),"",MAX(0,$B$29+$H118+($I118*(1+F$115)/($B118-F$115))/(1+$B118)^5))</f>
        <v>42421380256.6701</v>
      </c>
      <c r="G118" s="15" t="n">
        <f aca="false">IF(OR($B118&lt;=G$115,$B118&lt;=0),"",MAX(0,$B$29+$H118+($I118*(1+G$115)/($B118-G$115))/(1+$B118)^5))</f>
        <v>43007669104.918</v>
      </c>
      <c r="H118" s="15" t="n">
        <f aca="false">(C81-$B118*C98)/(1+$B118)^1+(D81-$B118*D98)/(1+$B118)^2+(E81-$B118*E98)/(1+$B118)^3+(F81-$B118*F98)/(1+$B118)^4+(G81-$B118*G98)/(1+$B118)^5</f>
        <v>-1520719556.28203</v>
      </c>
      <c r="I118" s="15" t="n">
        <f aca="false">G81-$B118*G98</f>
        <v>259136981.865685</v>
      </c>
    </row>
    <row r="119" customFormat="false" ht="15" hidden="false" customHeight="false" outlineLevel="0" collapsed="false">
      <c r="B119" s="11" t="n">
        <f aca="false">$B$57+1%</f>
        <v>0.105610761085511</v>
      </c>
      <c r="C119" s="15" t="n">
        <f aca="false">IF(OR($B119&lt;=C$115,$B119&lt;=0),"",MAX(0,$B$29+$H119+($I119*(1+C$115)/($B119-C$115))/(1+$B119)^5))</f>
        <v>38267671059.408</v>
      </c>
      <c r="D119" s="15" t="n">
        <f aca="false">IF(OR($B119&lt;=D$115,$B119&lt;=0),"",MAX(0,$B$29+$H119+($I119*(1+D$115)/($B119-D$115))/(1+$B119)^5))</f>
        <v>38259233724.6671</v>
      </c>
      <c r="E119" s="15" t="n">
        <f aca="false">IF(OR($B119&lt;=E$115,$B119&lt;=0),"",MAX(0,$B$29+$H119+($I119*(1+E$115)/($B119-E$115))/(1+$B119)^5))</f>
        <v>38248703037.9648</v>
      </c>
      <c r="F119" s="15" t="n">
        <f aca="false">IF(OR($B119&lt;=F$115,$B119&lt;=0),"",MAX(0,$B$29+$H119+($I119*(1+F$115)/($B119-F$115))/(1+$B119)^5))</f>
        <v>38235189608.536</v>
      </c>
      <c r="G119" s="15" t="n">
        <f aca="false">IF(OR($B119&lt;=G$115,$B119&lt;=0),"",MAX(0,$B$29+$H119+($I119*(1+G$115)/($B119-G$115))/(1+$B119)^5))</f>
        <v>38217217093.2331</v>
      </c>
      <c r="H119" s="15" t="n">
        <f aca="false">(C81-$B119*C98)/(1+$B119)^1+(D81-$B119*D98)/(1+$B119)^2+(E81-$B119*E98)/(1+$B119)^3+(F81-$B119*F98)/(1+$B119)^4+(G81-$B119*G98)/(1+$B119)^5</f>
        <v>-2801834692.1578</v>
      </c>
      <c r="I119" s="15" t="n">
        <f aca="false">G81-$B119*G98</f>
        <v>-11493135.3320031</v>
      </c>
    </row>
    <row r="120" customFormat="false" ht="15" hidden="false" customHeight="false" outlineLevel="0" collapsed="false">
      <c r="B120" s="11" t="n">
        <f aca="false">$B$57+2%</f>
        <v>0.115610761085511</v>
      </c>
      <c r="C120" s="15" t="n">
        <f aca="false">IF(OR($B120&lt;=C$115,$B120&lt;=0),"",MAX(0,$B$29+$H120+($I120*(1+C$115)/($B120-C$115))/(1+$B120)^5))</f>
        <v>35632328072.23</v>
      </c>
      <c r="D120" s="15" t="n">
        <f aca="false">IF(OR($B120&lt;=D$115,$B120&lt;=0),"",MAX(0,$B$29+$H120+($I120*(1+D$115)/($B120-D$115))/(1+$B120)^5))</f>
        <v>35468666662.386</v>
      </c>
      <c r="E120" s="15" t="n">
        <f aca="false">IF(OR($B120&lt;=E$115,$B120&lt;=0),"",MAX(0,$B$29+$H120+($I120*(1+E$115)/($B120-E$115))/(1+$B120)^5))</f>
        <v>35268881196.6608</v>
      </c>
      <c r="F120" s="15" t="n">
        <f aca="false">IF(OR($B120&lt;=F$115,$B120&lt;=0),"",MAX(0,$B$29+$H120+($I120*(1+F$115)/($B120-F$115))/(1+$B120)^5))</f>
        <v>35019527791.6096</v>
      </c>
      <c r="G120" s="15" t="n">
        <f aca="false">IF(OR($B120&lt;=G$115,$B120&lt;=0),"",MAX(0,$B$29+$H120+($I120*(1+G$115)/($B120-G$115))/(1+$B120)^5))</f>
        <v>34699546793.4784</v>
      </c>
      <c r="H120" s="15" t="n">
        <f aca="false">(C81-$B120*C98)/(1+$B120)^1+(D81-$B120*D98)/(1+$B120)^2+(E81-$B120*E98)/(1+$B120)^3+(F81-$B120*F98)/(1+$B120)^4+(G81-$B120*G98)/(1+$B120)^5</f>
        <v>-4023320379.27253</v>
      </c>
      <c r="I120" s="15" t="n">
        <f aca="false">G81-$B120*G98</f>
        <v>-282123252.529692</v>
      </c>
    </row>
    <row r="121" customFormat="false" ht="27.75" hidden="false" customHeight="true" outlineLevel="0" collapsed="false">
      <c r="A121" s="5" t="s">
        <v>158</v>
      </c>
      <c r="B121" s="21" t="s">
        <v>159</v>
      </c>
      <c r="C121" s="21"/>
      <c r="D121" s="21"/>
      <c r="E121" s="21"/>
      <c r="F121" s="21"/>
      <c r="G121" s="21"/>
      <c r="H121" s="21"/>
      <c r="I121" s="21"/>
    </row>
  </sheetData>
  <autoFilter ref="A5:G35"/>
  <mergeCells count="3">
    <mergeCell ref="A1:L1"/>
    <mergeCell ref="A2:L2"/>
    <mergeCell ref="B121:I1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12"/>
  </cols>
  <sheetData>
    <row r="1" customFormat="false" ht="19.7" hidden="false" customHeight="false" outlineLevel="0" collapsed="false">
      <c r="A1" s="22" t="s">
        <v>160</v>
      </c>
      <c r="B1" s="22"/>
      <c r="C1" s="22"/>
    </row>
    <row r="2" customFormat="false" ht="15" hidden="false" customHeight="true" outlineLevel="0" collapsed="false">
      <c r="A2" s="23" t="s">
        <v>161</v>
      </c>
      <c r="B2" s="23"/>
      <c r="C2" s="23"/>
    </row>
    <row r="5" customFormat="false" ht="15" hidden="false" customHeight="false" outlineLevel="0" collapsed="false">
      <c r="A5" s="19" t="s">
        <v>162</v>
      </c>
      <c r="B5" s="19" t="s">
        <v>163</v>
      </c>
      <c r="C5" s="19" t="s">
        <v>164</v>
      </c>
    </row>
    <row r="6" customFormat="false" ht="33.75" hidden="false" customHeight="true" outlineLevel="0" collapsed="false">
      <c r="A6" s="24" t="s">
        <v>165</v>
      </c>
      <c r="B6" s="25" t="s">
        <v>166</v>
      </c>
      <c r="C6" s="25" t="s">
        <v>167</v>
      </c>
    </row>
    <row r="7" customFormat="false" ht="33.75" hidden="false" customHeight="true" outlineLevel="0" collapsed="false">
      <c r="A7" s="24" t="s">
        <v>165</v>
      </c>
      <c r="B7" s="25" t="s">
        <v>166</v>
      </c>
      <c r="C7" s="25" t="s">
        <v>168</v>
      </c>
    </row>
    <row r="8" customFormat="false" ht="33.75" hidden="false" customHeight="true" outlineLevel="0" collapsed="false">
      <c r="A8" s="24" t="s">
        <v>165</v>
      </c>
      <c r="B8" s="25" t="s">
        <v>166</v>
      </c>
      <c r="C8" s="25" t="s">
        <v>169</v>
      </c>
    </row>
    <row r="9" customFormat="false" ht="33.75" hidden="false" customHeight="true" outlineLevel="0" collapsed="false">
      <c r="A9" s="24" t="s">
        <v>165</v>
      </c>
      <c r="B9" s="25" t="s">
        <v>166</v>
      </c>
      <c r="C9" s="25" t="s">
        <v>170</v>
      </c>
    </row>
    <row r="10" customFormat="false" ht="33.75" hidden="false" customHeight="true" outlineLevel="0" collapsed="false">
      <c r="A10" s="24" t="s">
        <v>165</v>
      </c>
      <c r="B10" s="25" t="s">
        <v>166</v>
      </c>
      <c r="C10" s="25" t="s">
        <v>171</v>
      </c>
    </row>
    <row r="11" customFormat="false" ht="33.75" hidden="false" customHeight="true" outlineLevel="0" collapsed="false">
      <c r="A11" s="26" t="s">
        <v>172</v>
      </c>
      <c r="B11" s="25" t="s">
        <v>173</v>
      </c>
      <c r="C11" s="25" t="s">
        <v>174</v>
      </c>
    </row>
    <row r="12" customFormat="false" ht="33.75" hidden="false" customHeight="true" outlineLevel="0" collapsed="false">
      <c r="A12" s="26" t="s">
        <v>172</v>
      </c>
      <c r="B12" s="25" t="s">
        <v>173</v>
      </c>
      <c r="C12" s="25" t="s">
        <v>175</v>
      </c>
    </row>
    <row r="13" customFormat="false" ht="33.75" hidden="false" customHeight="true" outlineLevel="0" collapsed="false">
      <c r="A13" s="26" t="s">
        <v>172</v>
      </c>
      <c r="B13" s="25" t="s">
        <v>173</v>
      </c>
      <c r="C13" s="25" t="s">
        <v>176</v>
      </c>
    </row>
    <row r="14" customFormat="false" ht="33.75" hidden="false" customHeight="true" outlineLevel="0" collapsed="false">
      <c r="A14" s="26" t="s">
        <v>172</v>
      </c>
      <c r="B14" s="25" t="s">
        <v>173</v>
      </c>
      <c r="C14" s="25" t="s">
        <v>177</v>
      </c>
    </row>
    <row r="15" customFormat="false" ht="33.75" hidden="false" customHeight="true" outlineLevel="0" collapsed="false">
      <c r="A15" s="26" t="s">
        <v>172</v>
      </c>
      <c r="B15" s="25" t="s">
        <v>173</v>
      </c>
      <c r="C15" s="25" t="s">
        <v>178</v>
      </c>
    </row>
    <row r="16" customFormat="false" ht="33.75" hidden="false" customHeight="true" outlineLevel="0" collapsed="false">
      <c r="A16" s="26" t="s">
        <v>172</v>
      </c>
      <c r="B16" s="25" t="s">
        <v>173</v>
      </c>
      <c r="C16" s="25" t="s">
        <v>179</v>
      </c>
    </row>
    <row r="17" customFormat="false" ht="33.75" hidden="false" customHeight="true" outlineLevel="0" collapsed="false">
      <c r="A17" s="26" t="s">
        <v>172</v>
      </c>
      <c r="B17" s="25" t="s">
        <v>173</v>
      </c>
      <c r="C17" s="25" t="s">
        <v>180</v>
      </c>
    </row>
    <row r="18" customFormat="false" ht="33.75" hidden="false" customHeight="true" outlineLevel="0" collapsed="false">
      <c r="A18" s="26" t="s">
        <v>172</v>
      </c>
      <c r="B18" s="25" t="s">
        <v>173</v>
      </c>
      <c r="C18" s="25" t="s">
        <v>181</v>
      </c>
    </row>
    <row r="19" customFormat="false" ht="33.75" hidden="false" customHeight="true" outlineLevel="0" collapsed="false">
      <c r="A19" s="26" t="s">
        <v>172</v>
      </c>
      <c r="B19" s="25" t="s">
        <v>173</v>
      </c>
      <c r="C19" s="25" t="s">
        <v>182</v>
      </c>
    </row>
    <row r="20" customFormat="false" ht="33.75" hidden="false" customHeight="true" outlineLevel="0" collapsed="false">
      <c r="A20" s="26" t="s">
        <v>172</v>
      </c>
      <c r="B20" s="25" t="s">
        <v>173</v>
      </c>
      <c r="C20" s="25" t="s">
        <v>183</v>
      </c>
    </row>
    <row r="21" customFormat="false" ht="33.75" hidden="false" customHeight="true" outlineLevel="0" collapsed="false">
      <c r="A21" s="26" t="s">
        <v>172</v>
      </c>
      <c r="B21" s="25" t="s">
        <v>173</v>
      </c>
      <c r="C21" s="25" t="s">
        <v>184</v>
      </c>
    </row>
    <row r="22" customFormat="false" ht="33.75" hidden="false" customHeight="true" outlineLevel="0" collapsed="false">
      <c r="A22" s="26" t="s">
        <v>172</v>
      </c>
      <c r="B22" s="25" t="s">
        <v>173</v>
      </c>
      <c r="C22" s="25" t="s">
        <v>185</v>
      </c>
    </row>
    <row r="23" customFormat="false" ht="33.75" hidden="false" customHeight="true" outlineLevel="0" collapsed="false">
      <c r="A23" s="26" t="s">
        <v>172</v>
      </c>
      <c r="B23" s="25" t="s">
        <v>173</v>
      </c>
      <c r="C23" s="25" t="s">
        <v>186</v>
      </c>
    </row>
    <row r="24" customFormat="false" ht="33.75" hidden="false" customHeight="true" outlineLevel="0" collapsed="false">
      <c r="A24" s="26" t="s">
        <v>172</v>
      </c>
      <c r="B24" s="25" t="s">
        <v>173</v>
      </c>
      <c r="C24" s="25" t="s">
        <v>187</v>
      </c>
    </row>
    <row r="25" customFormat="false" ht="33.75" hidden="false" customHeight="true" outlineLevel="0" collapsed="false">
      <c r="A25" s="26" t="s">
        <v>172</v>
      </c>
      <c r="B25" s="25" t="s">
        <v>173</v>
      </c>
      <c r="C25" s="25" t="s">
        <v>188</v>
      </c>
    </row>
    <row r="26" customFormat="false" ht="33.75" hidden="false" customHeight="true" outlineLevel="0" collapsed="false">
      <c r="A26" s="26" t="s">
        <v>172</v>
      </c>
      <c r="B26" s="25" t="s">
        <v>173</v>
      </c>
      <c r="C26" s="25" t="s">
        <v>189</v>
      </c>
    </row>
    <row r="27" customFormat="false" ht="33.75" hidden="false" customHeight="true" outlineLevel="0" collapsed="false">
      <c r="A27" s="26" t="s">
        <v>172</v>
      </c>
      <c r="B27" s="25" t="s">
        <v>173</v>
      </c>
      <c r="C27" s="25" t="s">
        <v>190</v>
      </c>
    </row>
    <row r="28" customFormat="false" ht="33.75" hidden="false" customHeight="true" outlineLevel="0" collapsed="false">
      <c r="A28" s="26" t="s">
        <v>172</v>
      </c>
      <c r="B28" s="25" t="s">
        <v>173</v>
      </c>
      <c r="C28" s="25" t="s">
        <v>191</v>
      </c>
    </row>
    <row r="29" customFormat="false" ht="33.75" hidden="false" customHeight="true" outlineLevel="0" collapsed="false">
      <c r="A29" s="26" t="s">
        <v>172</v>
      </c>
      <c r="B29" s="25" t="s">
        <v>173</v>
      </c>
      <c r="C29" s="25" t="s">
        <v>192</v>
      </c>
    </row>
    <row r="30" customFormat="false" ht="33.75" hidden="false" customHeight="true" outlineLevel="0" collapsed="false">
      <c r="A30" s="26" t="s">
        <v>172</v>
      </c>
      <c r="B30" s="25" t="s">
        <v>173</v>
      </c>
      <c r="C30" s="25" t="s">
        <v>193</v>
      </c>
    </row>
    <row r="31" customFormat="false" ht="33.75" hidden="false" customHeight="true" outlineLevel="0" collapsed="false">
      <c r="A31" s="26" t="s">
        <v>172</v>
      </c>
      <c r="B31" s="25" t="s">
        <v>173</v>
      </c>
      <c r="C31" s="25" t="s">
        <v>194</v>
      </c>
    </row>
    <row r="32" customFormat="false" ht="33.75" hidden="false" customHeight="true" outlineLevel="0" collapsed="false">
      <c r="A32" s="26" t="s">
        <v>172</v>
      </c>
      <c r="B32" s="25" t="s">
        <v>173</v>
      </c>
      <c r="C32" s="25" t="s">
        <v>195</v>
      </c>
    </row>
    <row r="33" customFormat="false" ht="33.75" hidden="false" customHeight="true" outlineLevel="0" collapsed="false">
      <c r="A33" s="26" t="s">
        <v>172</v>
      </c>
      <c r="B33" s="25" t="s">
        <v>173</v>
      </c>
      <c r="C33" s="25" t="s">
        <v>196</v>
      </c>
    </row>
    <row r="34" customFormat="false" ht="33.75" hidden="false" customHeight="true" outlineLevel="0" collapsed="false">
      <c r="A34" s="26" t="s">
        <v>172</v>
      </c>
      <c r="B34" s="25" t="s">
        <v>173</v>
      </c>
      <c r="C34" s="25" t="s">
        <v>197</v>
      </c>
    </row>
    <row r="35" customFormat="false" ht="33.75" hidden="false" customHeight="true" outlineLevel="0" collapsed="false">
      <c r="A35" s="26" t="s">
        <v>172</v>
      </c>
      <c r="B35" s="25" t="s">
        <v>173</v>
      </c>
      <c r="C35" s="25" t="s">
        <v>198</v>
      </c>
    </row>
    <row r="36" customFormat="false" ht="33.75" hidden="false" customHeight="true" outlineLevel="0" collapsed="false">
      <c r="A36" s="26" t="s">
        <v>172</v>
      </c>
      <c r="B36" s="25" t="s">
        <v>173</v>
      </c>
      <c r="C36" s="25" t="s">
        <v>199</v>
      </c>
    </row>
    <row r="37" customFormat="false" ht="33.75" hidden="false" customHeight="true" outlineLevel="0" collapsed="false">
      <c r="A37" s="26" t="s">
        <v>172</v>
      </c>
      <c r="B37" s="25" t="s">
        <v>173</v>
      </c>
      <c r="C37" s="25" t="s">
        <v>200</v>
      </c>
    </row>
    <row r="38" customFormat="false" ht="33.75" hidden="false" customHeight="true" outlineLevel="0" collapsed="false">
      <c r="A38" s="26" t="s">
        <v>172</v>
      </c>
      <c r="B38" s="25" t="s">
        <v>173</v>
      </c>
      <c r="C38" s="25" t="s">
        <v>201</v>
      </c>
    </row>
    <row r="39" customFormat="false" ht="33.75" hidden="false" customHeight="true" outlineLevel="0" collapsed="false">
      <c r="A39" s="26" t="s">
        <v>172</v>
      </c>
      <c r="B39" s="25" t="s">
        <v>173</v>
      </c>
      <c r="C39" s="25" t="s">
        <v>202</v>
      </c>
    </row>
    <row r="40" customFormat="false" ht="33.75" hidden="false" customHeight="true" outlineLevel="0" collapsed="false">
      <c r="A40" s="26" t="s">
        <v>172</v>
      </c>
      <c r="B40" s="25" t="s">
        <v>173</v>
      </c>
      <c r="C40" s="25" t="s">
        <v>203</v>
      </c>
    </row>
    <row r="41" customFormat="false" ht="33.75" hidden="false" customHeight="true" outlineLevel="0" collapsed="false">
      <c r="A41" s="26" t="s">
        <v>172</v>
      </c>
      <c r="B41" s="25" t="s">
        <v>173</v>
      </c>
      <c r="C41" s="25" t="s">
        <v>204</v>
      </c>
    </row>
    <row r="42" customFormat="false" ht="33.75" hidden="false" customHeight="true" outlineLevel="0" collapsed="false">
      <c r="A42" s="26" t="s">
        <v>172</v>
      </c>
      <c r="B42" s="25" t="s">
        <v>173</v>
      </c>
      <c r="C42" s="25" t="s">
        <v>205</v>
      </c>
    </row>
    <row r="43" customFormat="false" ht="33.75" hidden="false" customHeight="true" outlineLevel="0" collapsed="false">
      <c r="A43" s="26" t="s">
        <v>172</v>
      </c>
      <c r="B43" s="25" t="s">
        <v>173</v>
      </c>
      <c r="C43" s="25" t="s">
        <v>206</v>
      </c>
    </row>
    <row r="44" customFormat="false" ht="33.75" hidden="false" customHeight="true" outlineLevel="0" collapsed="false">
      <c r="A44" s="26" t="s">
        <v>172</v>
      </c>
      <c r="B44" s="25" t="s">
        <v>173</v>
      </c>
      <c r="C44" s="25" t="s">
        <v>207</v>
      </c>
    </row>
    <row r="45" customFormat="false" ht="33.75" hidden="false" customHeight="true" outlineLevel="0" collapsed="false">
      <c r="A45" s="26" t="s">
        <v>172</v>
      </c>
      <c r="B45" s="25" t="s">
        <v>173</v>
      </c>
      <c r="C45" s="25" t="s">
        <v>208</v>
      </c>
    </row>
    <row r="46" customFormat="false" ht="33.75" hidden="false" customHeight="true" outlineLevel="0" collapsed="false">
      <c r="A46" s="26" t="s">
        <v>172</v>
      </c>
      <c r="B46" s="25" t="s">
        <v>173</v>
      </c>
      <c r="C46" s="25" t="s">
        <v>209</v>
      </c>
    </row>
    <row r="47" customFormat="false" ht="33.75" hidden="false" customHeight="true" outlineLevel="0" collapsed="false">
      <c r="A47" s="26" t="s">
        <v>172</v>
      </c>
      <c r="B47" s="25" t="s">
        <v>173</v>
      </c>
      <c r="C47" s="25" t="s">
        <v>210</v>
      </c>
    </row>
    <row r="48" customFormat="false" ht="33.75" hidden="false" customHeight="true" outlineLevel="0" collapsed="false">
      <c r="A48" s="26" t="s">
        <v>172</v>
      </c>
      <c r="B48" s="25" t="s">
        <v>173</v>
      </c>
      <c r="C48" s="25" t="s">
        <v>211</v>
      </c>
    </row>
    <row r="49" customFormat="false" ht="33.75" hidden="false" customHeight="true" outlineLevel="0" collapsed="false">
      <c r="A49" s="26" t="s">
        <v>172</v>
      </c>
      <c r="B49" s="25" t="s">
        <v>173</v>
      </c>
      <c r="C49" s="25" t="s">
        <v>212</v>
      </c>
    </row>
    <row r="50" customFormat="false" ht="33.75" hidden="false" customHeight="true" outlineLevel="0" collapsed="false">
      <c r="A50" s="26" t="s">
        <v>172</v>
      </c>
      <c r="B50" s="25" t="s">
        <v>173</v>
      </c>
      <c r="C50" s="25" t="s">
        <v>213</v>
      </c>
    </row>
    <row r="51" customFormat="false" ht="33.75" hidden="false" customHeight="true" outlineLevel="0" collapsed="false">
      <c r="A51" s="26" t="s">
        <v>172</v>
      </c>
      <c r="B51" s="25" t="s">
        <v>173</v>
      </c>
      <c r="C51" s="25" t="s">
        <v>214</v>
      </c>
    </row>
    <row r="52" customFormat="false" ht="33.75" hidden="false" customHeight="true" outlineLevel="0" collapsed="false">
      <c r="A52" s="26" t="s">
        <v>172</v>
      </c>
      <c r="B52" s="25" t="s">
        <v>173</v>
      </c>
      <c r="C52" s="25" t="s">
        <v>215</v>
      </c>
    </row>
    <row r="53" customFormat="false" ht="33.75" hidden="false" customHeight="true" outlineLevel="0" collapsed="false">
      <c r="A53" s="26" t="s">
        <v>172</v>
      </c>
      <c r="B53" s="25" t="s">
        <v>173</v>
      </c>
      <c r="C53" s="25" t="s">
        <v>216</v>
      </c>
    </row>
    <row r="54" customFormat="false" ht="33.75" hidden="false" customHeight="true" outlineLevel="0" collapsed="false">
      <c r="A54" s="26" t="s">
        <v>172</v>
      </c>
      <c r="B54" s="25" t="s">
        <v>173</v>
      </c>
      <c r="C54" s="25" t="s">
        <v>217</v>
      </c>
    </row>
    <row r="55" customFormat="false" ht="33.75" hidden="false" customHeight="true" outlineLevel="0" collapsed="false">
      <c r="A55" s="26" t="s">
        <v>172</v>
      </c>
      <c r="B55" s="25" t="s">
        <v>173</v>
      </c>
      <c r="C55" s="25" t="s">
        <v>218</v>
      </c>
    </row>
    <row r="56" customFormat="false" ht="33.75" hidden="false" customHeight="true" outlineLevel="0" collapsed="false">
      <c r="A56" s="26" t="s">
        <v>172</v>
      </c>
      <c r="B56" s="25" t="s">
        <v>173</v>
      </c>
      <c r="C56" s="25" t="s">
        <v>219</v>
      </c>
    </row>
    <row r="57" customFormat="false" ht="33.75" hidden="false" customHeight="true" outlineLevel="0" collapsed="false">
      <c r="A57" s="26" t="s">
        <v>172</v>
      </c>
      <c r="B57" s="25" t="s">
        <v>173</v>
      </c>
      <c r="C57" s="25" t="s">
        <v>220</v>
      </c>
    </row>
    <row r="58" customFormat="false" ht="33.75" hidden="false" customHeight="true" outlineLevel="0" collapsed="false">
      <c r="A58" s="26" t="s">
        <v>172</v>
      </c>
      <c r="B58" s="25" t="s">
        <v>173</v>
      </c>
      <c r="C58" s="25" t="s">
        <v>221</v>
      </c>
    </row>
    <row r="59" customFormat="false" ht="33.75" hidden="false" customHeight="true" outlineLevel="0" collapsed="false">
      <c r="A59" s="26" t="s">
        <v>172</v>
      </c>
      <c r="B59" s="25" t="s">
        <v>173</v>
      </c>
      <c r="C59" s="25" t="s">
        <v>222</v>
      </c>
    </row>
    <row r="60" customFormat="false" ht="33.75" hidden="false" customHeight="true" outlineLevel="0" collapsed="false">
      <c r="A60" s="26" t="s">
        <v>172</v>
      </c>
      <c r="B60" s="25" t="s">
        <v>173</v>
      </c>
      <c r="C60" s="25" t="s">
        <v>223</v>
      </c>
    </row>
    <row r="61" customFormat="false" ht="33.75" hidden="false" customHeight="true" outlineLevel="0" collapsed="false">
      <c r="A61" s="26" t="s">
        <v>172</v>
      </c>
      <c r="B61" s="25" t="s">
        <v>173</v>
      </c>
      <c r="C61" s="25" t="s">
        <v>224</v>
      </c>
    </row>
    <row r="62" customFormat="false" ht="33.75" hidden="false" customHeight="true" outlineLevel="0" collapsed="false">
      <c r="A62" s="26" t="s">
        <v>172</v>
      </c>
      <c r="B62" s="25" t="s">
        <v>173</v>
      </c>
      <c r="C62" s="25" t="s">
        <v>225</v>
      </c>
    </row>
    <row r="63" customFormat="false" ht="33.75" hidden="false" customHeight="true" outlineLevel="0" collapsed="false">
      <c r="A63" s="26" t="s">
        <v>172</v>
      </c>
      <c r="B63" s="25" t="s">
        <v>173</v>
      </c>
      <c r="C63" s="25" t="s">
        <v>226</v>
      </c>
    </row>
    <row r="64" customFormat="false" ht="33.75" hidden="false" customHeight="true" outlineLevel="0" collapsed="false">
      <c r="A64" s="26" t="s">
        <v>172</v>
      </c>
      <c r="B64" s="25" t="s">
        <v>173</v>
      </c>
      <c r="C64" s="25" t="s">
        <v>227</v>
      </c>
    </row>
    <row r="65" customFormat="false" ht="33.75" hidden="false" customHeight="true" outlineLevel="0" collapsed="false">
      <c r="A65" s="26" t="s">
        <v>172</v>
      </c>
      <c r="B65" s="25" t="s">
        <v>173</v>
      </c>
      <c r="C65" s="25" t="s">
        <v>228</v>
      </c>
    </row>
    <row r="66" customFormat="false" ht="33.75" hidden="false" customHeight="true" outlineLevel="0" collapsed="false">
      <c r="A66" s="26" t="s">
        <v>172</v>
      </c>
      <c r="B66" s="25" t="s">
        <v>173</v>
      </c>
      <c r="C66" s="25" t="s">
        <v>229</v>
      </c>
    </row>
    <row r="67" customFormat="false" ht="33.75" hidden="false" customHeight="true" outlineLevel="0" collapsed="false">
      <c r="A67" s="26" t="s">
        <v>172</v>
      </c>
      <c r="B67" s="25" t="s">
        <v>173</v>
      </c>
      <c r="C67" s="25" t="s">
        <v>230</v>
      </c>
    </row>
    <row r="68" customFormat="false" ht="33.75" hidden="false" customHeight="true" outlineLevel="0" collapsed="false">
      <c r="A68" s="26" t="s">
        <v>172</v>
      </c>
      <c r="B68" s="25" t="s">
        <v>173</v>
      </c>
      <c r="C68" s="25" t="s">
        <v>231</v>
      </c>
    </row>
    <row r="69" customFormat="false" ht="33.75" hidden="false" customHeight="true" outlineLevel="0" collapsed="false">
      <c r="A69" s="26" t="s">
        <v>172</v>
      </c>
      <c r="B69" s="25" t="s">
        <v>173</v>
      </c>
      <c r="C69" s="25" t="s">
        <v>232</v>
      </c>
    </row>
    <row r="70" customFormat="false" ht="33.75" hidden="false" customHeight="true" outlineLevel="0" collapsed="false">
      <c r="A70" s="26" t="s">
        <v>172</v>
      </c>
      <c r="B70" s="25" t="s">
        <v>173</v>
      </c>
      <c r="C70" s="25" t="s">
        <v>233</v>
      </c>
    </row>
    <row r="71" customFormat="false" ht="33.75" hidden="false" customHeight="true" outlineLevel="0" collapsed="false">
      <c r="A71" s="26" t="s">
        <v>172</v>
      </c>
      <c r="B71" s="25" t="s">
        <v>173</v>
      </c>
      <c r="C71" s="25" t="s">
        <v>234</v>
      </c>
    </row>
    <row r="72" customFormat="false" ht="33.75" hidden="false" customHeight="true" outlineLevel="0" collapsed="false">
      <c r="A72" s="26" t="s">
        <v>172</v>
      </c>
      <c r="B72" s="25" t="s">
        <v>173</v>
      </c>
      <c r="C72" s="25" t="s">
        <v>235</v>
      </c>
    </row>
    <row r="73" customFormat="false" ht="33.75" hidden="false" customHeight="true" outlineLevel="0" collapsed="false">
      <c r="A73" s="26" t="s">
        <v>172</v>
      </c>
      <c r="B73" s="25" t="s">
        <v>173</v>
      </c>
      <c r="C73" s="25" t="s">
        <v>236</v>
      </c>
    </row>
    <row r="74" customFormat="false" ht="33.75" hidden="false" customHeight="true" outlineLevel="0" collapsed="false">
      <c r="A74" s="26" t="s">
        <v>172</v>
      </c>
      <c r="B74" s="25" t="s">
        <v>173</v>
      </c>
      <c r="C74" s="25" t="s">
        <v>237</v>
      </c>
    </row>
    <row r="75" customFormat="false" ht="33.75" hidden="false" customHeight="true" outlineLevel="0" collapsed="false">
      <c r="A75" s="26" t="s">
        <v>172</v>
      </c>
      <c r="B75" s="25" t="s">
        <v>173</v>
      </c>
      <c r="C75" s="25" t="s">
        <v>238</v>
      </c>
    </row>
    <row r="76" customFormat="false" ht="33.75" hidden="false" customHeight="true" outlineLevel="0" collapsed="false">
      <c r="A76" s="26" t="s">
        <v>172</v>
      </c>
      <c r="B76" s="25" t="s">
        <v>173</v>
      </c>
      <c r="C76" s="25" t="s">
        <v>239</v>
      </c>
    </row>
    <row r="77" customFormat="false" ht="33.75" hidden="false" customHeight="true" outlineLevel="0" collapsed="false">
      <c r="A77" s="26" t="s">
        <v>172</v>
      </c>
      <c r="B77" s="25" t="s">
        <v>173</v>
      </c>
      <c r="C77" s="25" t="s">
        <v>240</v>
      </c>
    </row>
    <row r="78" customFormat="false" ht="33.75" hidden="false" customHeight="true" outlineLevel="0" collapsed="false">
      <c r="A78" s="26" t="s">
        <v>172</v>
      </c>
      <c r="B78" s="25" t="s">
        <v>173</v>
      </c>
      <c r="C78" s="25" t="s">
        <v>241</v>
      </c>
    </row>
    <row r="79" customFormat="false" ht="33.75" hidden="false" customHeight="true" outlineLevel="0" collapsed="false">
      <c r="A79" s="26" t="s">
        <v>172</v>
      </c>
      <c r="B79" s="25" t="s">
        <v>173</v>
      </c>
      <c r="C79" s="25" t="s">
        <v>242</v>
      </c>
    </row>
    <row r="80" customFormat="false" ht="33.75" hidden="false" customHeight="true" outlineLevel="0" collapsed="false">
      <c r="A80" s="26" t="s">
        <v>172</v>
      </c>
      <c r="B80" s="25" t="s">
        <v>173</v>
      </c>
      <c r="C80" s="25" t="s">
        <v>243</v>
      </c>
    </row>
    <row r="81" customFormat="false" ht="33.75" hidden="false" customHeight="true" outlineLevel="0" collapsed="false">
      <c r="A81" s="26" t="s">
        <v>172</v>
      </c>
      <c r="B81" s="25" t="s">
        <v>173</v>
      </c>
      <c r="C81" s="25" t="s">
        <v>244</v>
      </c>
    </row>
    <row r="82" customFormat="false" ht="33.75" hidden="false" customHeight="true" outlineLevel="0" collapsed="false">
      <c r="A82" s="26" t="s">
        <v>172</v>
      </c>
      <c r="B82" s="25" t="s">
        <v>173</v>
      </c>
      <c r="C82" s="25" t="s">
        <v>245</v>
      </c>
    </row>
    <row r="83" customFormat="false" ht="33.75" hidden="false" customHeight="true" outlineLevel="0" collapsed="false">
      <c r="A83" s="26" t="s">
        <v>172</v>
      </c>
      <c r="B83" s="25" t="s">
        <v>173</v>
      </c>
      <c r="C83" s="25" t="s">
        <v>246</v>
      </c>
    </row>
    <row r="84" customFormat="false" ht="33.75" hidden="false" customHeight="true" outlineLevel="0" collapsed="false">
      <c r="A84" s="26" t="s">
        <v>172</v>
      </c>
      <c r="B84" s="25" t="s">
        <v>173</v>
      </c>
      <c r="C84" s="25" t="s">
        <v>247</v>
      </c>
    </row>
    <row r="85" customFormat="false" ht="33.75" hidden="false" customHeight="true" outlineLevel="0" collapsed="false">
      <c r="A85" s="26" t="s">
        <v>172</v>
      </c>
      <c r="B85" s="25" t="s">
        <v>173</v>
      </c>
      <c r="C85" s="25" t="s">
        <v>248</v>
      </c>
    </row>
    <row r="86" customFormat="false" ht="33.75" hidden="false" customHeight="true" outlineLevel="0" collapsed="false">
      <c r="A86" s="26" t="s">
        <v>172</v>
      </c>
      <c r="B86" s="25" t="s">
        <v>173</v>
      </c>
      <c r="C86" s="25" t="s">
        <v>249</v>
      </c>
    </row>
    <row r="87" customFormat="false" ht="33.75" hidden="false" customHeight="true" outlineLevel="0" collapsed="false">
      <c r="A87" s="26" t="s">
        <v>172</v>
      </c>
      <c r="B87" s="25" t="s">
        <v>173</v>
      </c>
      <c r="C87" s="25" t="s">
        <v>250</v>
      </c>
    </row>
    <row r="88" customFormat="false" ht="33.75" hidden="false" customHeight="true" outlineLevel="0" collapsed="false">
      <c r="A88" s="26" t="s">
        <v>172</v>
      </c>
      <c r="B88" s="25" t="s">
        <v>173</v>
      </c>
      <c r="C88" s="25" t="s">
        <v>251</v>
      </c>
    </row>
    <row r="89" customFormat="false" ht="33.75" hidden="false" customHeight="true" outlineLevel="0" collapsed="false">
      <c r="A89" s="26" t="s">
        <v>172</v>
      </c>
      <c r="B89" s="25" t="s">
        <v>173</v>
      </c>
      <c r="C89" s="25" t="s">
        <v>252</v>
      </c>
    </row>
    <row r="90" customFormat="false" ht="33.75" hidden="false" customHeight="true" outlineLevel="0" collapsed="false">
      <c r="A90" s="26" t="s">
        <v>172</v>
      </c>
      <c r="B90" s="25" t="s">
        <v>173</v>
      </c>
      <c r="C90" s="25" t="s">
        <v>253</v>
      </c>
    </row>
    <row r="91" customFormat="false" ht="33.75" hidden="false" customHeight="true" outlineLevel="0" collapsed="false">
      <c r="A91" s="26" t="s">
        <v>172</v>
      </c>
      <c r="B91" s="25" t="s">
        <v>173</v>
      </c>
      <c r="C91" s="25" t="s">
        <v>254</v>
      </c>
    </row>
    <row r="92" customFormat="false" ht="33.75" hidden="false" customHeight="true" outlineLevel="0" collapsed="false">
      <c r="A92" s="26" t="s">
        <v>172</v>
      </c>
      <c r="B92" s="25" t="s">
        <v>173</v>
      </c>
      <c r="C92" s="25" t="s">
        <v>255</v>
      </c>
    </row>
    <row r="93" customFormat="false" ht="33.75" hidden="false" customHeight="true" outlineLevel="0" collapsed="false">
      <c r="A93" s="26" t="s">
        <v>172</v>
      </c>
      <c r="B93" s="25" t="s">
        <v>173</v>
      </c>
      <c r="C93" s="25" t="s">
        <v>256</v>
      </c>
    </row>
    <row r="94" customFormat="false" ht="33.75" hidden="false" customHeight="true" outlineLevel="0" collapsed="false">
      <c r="A94" s="26" t="s">
        <v>172</v>
      </c>
      <c r="B94" s="25" t="s">
        <v>173</v>
      </c>
      <c r="C94" s="25" t="s">
        <v>257</v>
      </c>
    </row>
    <row r="95" customFormat="false" ht="33.75" hidden="false" customHeight="true" outlineLevel="0" collapsed="false">
      <c r="A95" s="26" t="s">
        <v>172</v>
      </c>
      <c r="B95" s="25" t="s">
        <v>173</v>
      </c>
      <c r="C95" s="25" t="s">
        <v>258</v>
      </c>
    </row>
    <row r="96" customFormat="false" ht="33.75" hidden="false" customHeight="true" outlineLevel="0" collapsed="false">
      <c r="A96" s="26" t="s">
        <v>172</v>
      </c>
      <c r="B96" s="25" t="s">
        <v>173</v>
      </c>
      <c r="C96" s="25" t="s">
        <v>259</v>
      </c>
    </row>
    <row r="97" customFormat="false" ht="33.75" hidden="false" customHeight="true" outlineLevel="0" collapsed="false">
      <c r="A97" s="26" t="s">
        <v>172</v>
      </c>
      <c r="B97" s="25" t="s">
        <v>173</v>
      </c>
      <c r="C97" s="25" t="s">
        <v>260</v>
      </c>
    </row>
    <row r="98" customFormat="false" ht="33.75" hidden="false" customHeight="true" outlineLevel="0" collapsed="false">
      <c r="A98" s="26" t="s">
        <v>172</v>
      </c>
      <c r="B98" s="25" t="s">
        <v>173</v>
      </c>
      <c r="C98" s="25" t="s">
        <v>261</v>
      </c>
    </row>
    <row r="99" customFormat="false" ht="33.75" hidden="false" customHeight="true" outlineLevel="0" collapsed="false">
      <c r="A99" s="26" t="s">
        <v>172</v>
      </c>
      <c r="B99" s="25" t="s">
        <v>173</v>
      </c>
      <c r="C99" s="25" t="s">
        <v>262</v>
      </c>
    </row>
    <row r="100" customFormat="false" ht="33.75" hidden="false" customHeight="true" outlineLevel="0" collapsed="false">
      <c r="A100" s="26" t="s">
        <v>172</v>
      </c>
      <c r="B100" s="25" t="s">
        <v>173</v>
      </c>
      <c r="C100" s="25" t="s">
        <v>263</v>
      </c>
    </row>
    <row r="101" customFormat="false" ht="33.75" hidden="false" customHeight="true" outlineLevel="0" collapsed="false">
      <c r="A101" s="26" t="s">
        <v>172</v>
      </c>
      <c r="B101" s="25" t="s">
        <v>173</v>
      </c>
      <c r="C101" s="25" t="s">
        <v>264</v>
      </c>
    </row>
    <row r="102" customFormat="false" ht="33.75" hidden="false" customHeight="true" outlineLevel="0" collapsed="false">
      <c r="A102" s="26" t="s">
        <v>172</v>
      </c>
      <c r="B102" s="25" t="s">
        <v>173</v>
      </c>
      <c r="C102" s="25" t="s">
        <v>265</v>
      </c>
    </row>
    <row r="103" customFormat="false" ht="33.75" hidden="false" customHeight="true" outlineLevel="0" collapsed="false">
      <c r="A103" s="26" t="s">
        <v>172</v>
      </c>
      <c r="B103" s="25" t="s">
        <v>173</v>
      </c>
      <c r="C103" s="25" t="s">
        <v>266</v>
      </c>
    </row>
    <row r="104" customFormat="false" ht="33.75" hidden="false" customHeight="true" outlineLevel="0" collapsed="false">
      <c r="A104" s="26" t="s">
        <v>172</v>
      </c>
      <c r="B104" s="25" t="s">
        <v>173</v>
      </c>
      <c r="C104" s="25" t="s">
        <v>267</v>
      </c>
    </row>
    <row r="105" customFormat="false" ht="33.75" hidden="false" customHeight="true" outlineLevel="0" collapsed="false">
      <c r="A105" s="26" t="s">
        <v>172</v>
      </c>
      <c r="B105" s="25" t="s">
        <v>173</v>
      </c>
      <c r="C105" s="25" t="s">
        <v>268</v>
      </c>
    </row>
    <row r="106" customFormat="false" ht="33.75" hidden="false" customHeight="true" outlineLevel="0" collapsed="false">
      <c r="A106" s="26" t="s">
        <v>172</v>
      </c>
      <c r="B106" s="25" t="s">
        <v>173</v>
      </c>
      <c r="C106" s="25" t="s">
        <v>269</v>
      </c>
    </row>
    <row r="107" customFormat="false" ht="33.75" hidden="false" customHeight="true" outlineLevel="0" collapsed="false">
      <c r="A107" s="26" t="s">
        <v>172</v>
      </c>
      <c r="B107" s="25" t="s">
        <v>173</v>
      </c>
      <c r="C107" s="25" t="s">
        <v>270</v>
      </c>
    </row>
    <row r="108" customFormat="false" ht="33.75" hidden="false" customHeight="true" outlineLevel="0" collapsed="false">
      <c r="A108" s="26" t="s">
        <v>172</v>
      </c>
      <c r="B108" s="25" t="s">
        <v>173</v>
      </c>
      <c r="C108" s="25" t="s">
        <v>271</v>
      </c>
    </row>
    <row r="109" customFormat="false" ht="33.75" hidden="false" customHeight="true" outlineLevel="0" collapsed="false">
      <c r="A109" s="26" t="s">
        <v>172</v>
      </c>
      <c r="B109" s="25" t="s">
        <v>173</v>
      </c>
      <c r="C109" s="25" t="s">
        <v>272</v>
      </c>
    </row>
    <row r="110" customFormat="false" ht="33.75" hidden="false" customHeight="true" outlineLevel="0" collapsed="false">
      <c r="A110" s="26" t="s">
        <v>172</v>
      </c>
      <c r="B110" s="25" t="s">
        <v>173</v>
      </c>
      <c r="C110" s="25" t="s">
        <v>273</v>
      </c>
    </row>
    <row r="111" customFormat="false" ht="33.75" hidden="false" customHeight="true" outlineLevel="0" collapsed="false">
      <c r="A111" s="26" t="s">
        <v>172</v>
      </c>
      <c r="B111" s="25" t="s">
        <v>173</v>
      </c>
      <c r="C111" s="25" t="s">
        <v>274</v>
      </c>
    </row>
    <row r="112" customFormat="false" ht="33.75" hidden="false" customHeight="true" outlineLevel="0" collapsed="false">
      <c r="A112" s="26" t="s">
        <v>172</v>
      </c>
      <c r="B112" s="25" t="s">
        <v>173</v>
      </c>
      <c r="C112" s="25" t="s">
        <v>275</v>
      </c>
    </row>
    <row r="113" customFormat="false" ht="33.75" hidden="false" customHeight="true" outlineLevel="0" collapsed="false">
      <c r="A113" s="26" t="s">
        <v>172</v>
      </c>
      <c r="B113" s="25" t="s">
        <v>173</v>
      </c>
      <c r="C113" s="25" t="s">
        <v>276</v>
      </c>
    </row>
    <row r="114" customFormat="false" ht="33.75" hidden="false" customHeight="true" outlineLevel="0" collapsed="false">
      <c r="A114" s="26" t="s">
        <v>172</v>
      </c>
      <c r="B114" s="25" t="s">
        <v>173</v>
      </c>
      <c r="C114" s="25" t="s">
        <v>277</v>
      </c>
    </row>
    <row r="115" customFormat="false" ht="33.75" hidden="false" customHeight="true" outlineLevel="0" collapsed="false">
      <c r="A115" s="26" t="s">
        <v>172</v>
      </c>
      <c r="B115" s="25" t="s">
        <v>173</v>
      </c>
      <c r="C115" s="25" t="s">
        <v>278</v>
      </c>
    </row>
    <row r="116" customFormat="false" ht="33.75" hidden="false" customHeight="true" outlineLevel="0" collapsed="false">
      <c r="A116" s="26" t="s">
        <v>172</v>
      </c>
      <c r="B116" s="25" t="s">
        <v>173</v>
      </c>
      <c r="C116" s="25" t="s">
        <v>279</v>
      </c>
    </row>
    <row r="117" customFormat="false" ht="33.75" hidden="false" customHeight="true" outlineLevel="0" collapsed="false">
      <c r="A117" s="26" t="s">
        <v>172</v>
      </c>
      <c r="B117" s="25" t="s">
        <v>173</v>
      </c>
      <c r="C117" s="25" t="s">
        <v>280</v>
      </c>
    </row>
    <row r="118" customFormat="false" ht="33.75" hidden="false" customHeight="true" outlineLevel="0" collapsed="false">
      <c r="A118" s="26" t="s">
        <v>172</v>
      </c>
      <c r="B118" s="25" t="s">
        <v>173</v>
      </c>
      <c r="C118" s="25" t="s">
        <v>281</v>
      </c>
    </row>
    <row r="119" customFormat="false" ht="33.75" hidden="false" customHeight="true" outlineLevel="0" collapsed="false">
      <c r="A119" s="26" t="s">
        <v>172</v>
      </c>
      <c r="B119" s="25" t="s">
        <v>173</v>
      </c>
      <c r="C119" s="25" t="s">
        <v>282</v>
      </c>
    </row>
    <row r="120" customFormat="false" ht="33.75" hidden="false" customHeight="true" outlineLevel="0" collapsed="false">
      <c r="A120" s="26" t="s">
        <v>172</v>
      </c>
      <c r="B120" s="25" t="s">
        <v>173</v>
      </c>
      <c r="C120" s="25" t="s">
        <v>283</v>
      </c>
    </row>
    <row r="121" customFormat="false" ht="33.75" hidden="false" customHeight="true" outlineLevel="0" collapsed="false">
      <c r="A121" s="26" t="s">
        <v>172</v>
      </c>
      <c r="B121" s="25" t="s">
        <v>173</v>
      </c>
      <c r="C121" s="25" t="s">
        <v>284</v>
      </c>
    </row>
    <row r="122" customFormat="false" ht="33.75" hidden="false" customHeight="true" outlineLevel="0" collapsed="false">
      <c r="A122" s="26" t="s">
        <v>172</v>
      </c>
      <c r="B122" s="25" t="s">
        <v>173</v>
      </c>
      <c r="C122" s="25" t="s">
        <v>285</v>
      </c>
    </row>
    <row r="123" customFormat="false" ht="33.75" hidden="false" customHeight="true" outlineLevel="0" collapsed="false">
      <c r="A123" s="26" t="s">
        <v>172</v>
      </c>
      <c r="B123" s="25" t="s">
        <v>173</v>
      </c>
      <c r="C123" s="25" t="s">
        <v>286</v>
      </c>
    </row>
    <row r="124" customFormat="false" ht="33.75" hidden="false" customHeight="true" outlineLevel="0" collapsed="false">
      <c r="A124" s="26" t="s">
        <v>172</v>
      </c>
      <c r="B124" s="25" t="s">
        <v>173</v>
      </c>
      <c r="C124" s="25" t="s">
        <v>287</v>
      </c>
    </row>
    <row r="125" customFormat="false" ht="33.75" hidden="false" customHeight="true" outlineLevel="0" collapsed="false">
      <c r="A125" s="26" t="s">
        <v>172</v>
      </c>
      <c r="B125" s="25" t="s">
        <v>173</v>
      </c>
      <c r="C125" s="25" t="s">
        <v>288</v>
      </c>
    </row>
    <row r="126" customFormat="false" ht="33.75" hidden="false" customHeight="true" outlineLevel="0" collapsed="false">
      <c r="A126" s="26" t="s">
        <v>172</v>
      </c>
      <c r="B126" s="25" t="s">
        <v>173</v>
      </c>
      <c r="C126" s="25" t="s">
        <v>289</v>
      </c>
    </row>
    <row r="127" customFormat="false" ht="33.75" hidden="false" customHeight="true" outlineLevel="0" collapsed="false">
      <c r="A127" s="26" t="s">
        <v>172</v>
      </c>
      <c r="B127" s="25" t="s">
        <v>173</v>
      </c>
      <c r="C127" s="25" t="s">
        <v>290</v>
      </c>
    </row>
    <row r="128" customFormat="false" ht="33.75" hidden="false" customHeight="true" outlineLevel="0" collapsed="false">
      <c r="A128" s="26" t="s">
        <v>172</v>
      </c>
      <c r="B128" s="25" t="s">
        <v>173</v>
      </c>
      <c r="C128" s="25" t="s">
        <v>291</v>
      </c>
    </row>
    <row r="129" customFormat="false" ht="33.75" hidden="false" customHeight="true" outlineLevel="0" collapsed="false">
      <c r="A129" s="26" t="s">
        <v>172</v>
      </c>
      <c r="B129" s="25" t="s">
        <v>292</v>
      </c>
      <c r="C129" s="25" t="s">
        <v>293</v>
      </c>
    </row>
  </sheetData>
  <autoFilter ref="A5:C129"/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2025-07-16T02:30:30Z</dcterms:created>
  <dc:creator>Varcas Kumar Sabharwal</dc:creator>
  <dc:description/>
  <dc:language>en-AE</dc:language>
  <cp:lastModifiedBy>Ryan Rodrigues</cp:lastModifiedBy>
  <dcterms:modified xsi:type="dcterms:W3CDTF">2026-10-03T22:04:39Z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0x01010068406715A740934999FE71FB7A3B349E</vt:lpwstr>
  </property>
</Properties>
</file>