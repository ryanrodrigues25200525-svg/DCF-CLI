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IT Model" sheetId="1" state="visible" r:id="rId3"/>
    <sheet name="Data Review" sheetId="2" state="visible" r:id="rId4"/>
  </sheets>
  <definedNames>
    <definedName function="false" hidden="true" localSheetId="1" name="_xlnm._FilterDatabase" vbProcedure="false">'Data Review'!$A$5:$C$143</definedName>
    <definedName function="false" hidden="true" localSheetId="0" name="_xlnm._FilterDatabase" vbProcedure="false">'REIT Model'!$A$5:$D$45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DCF Builder Pro</author>
  </authors>
  <commentList>
    <comment ref="B5" authorId="0">
      <text>
        <r>
          <rPr>
            <sz val="10"/>
            <rFont val="Arial"/>
            <family val="2"/>
          </rPr>
          <t xml:space="preserve">Canonical method: filed_10k_reit_table_value_normalized. SEC concept(s): ReitNareitBridgeNetIncome. Filing accession(s): 0000950170-25-021272. Filed date(s): 2025-02-14. Fiscal period(s): FY 2023.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Canonical method: filed_10k_reit_table_value_normalized. SEC concept(s): ReitRealEstateDepreciation. Filing accession(s): 0000950170-25-021272. Filed date(s): 2025-02-14. Fiscal period(s): FY 2023.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Canonical method: filed_10k_reit_table_value_normalized. SEC concept(s): ReitDispositionGainsNareitAdjustment. Filing accession(s): 0000950170-25-021272. Filed date(s): 2025-02-14. Fiscal period(s): FY 2023.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Canonical method: filed_10k_reit_table_value_normalized. SEC concept(s): ReitNciNareitAdjustment. Filing accession(s): 0000950170-25-021272. Filed date(s): 2025-02-14. Fiscal period(s): FY 2023.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Canonical method: filed_10k_reit_table_value_normalized. SEC concept(s): ReitUnconsolidatedNareitAdjustment. Filing accession(s): 0000950170-25-021272. Filed date(s): 2025-02-14. Fiscal period(s): FY 2023.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Canonical method: filed_10k_reit_table_value_normalized. SEC concept(s): ReitNareitFFO. Filing accession(s): 0000950170-25-021272. Filed date(s): 2025-02-14. Fiscal period(s): FY 2023.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Canonical method: filed_10k_reit_table_value_normalized. SEC concept(s): ReitModifiedFfoFxAdjustment. Filing accession(s): 0000950170-25-021272. Filed date(s): 2025-02-14. Fiscal period(s): FY 2023.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Canonical method: filed_10k_reit_table_value_normalized. SEC concept(s): ReitModifiedFfoDeferredTaxAdjustment. Filing accession(s): 0000950170-25-021272. Filed date(s): 2025-02-14. Fiscal period(s): FY 2023.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Canonical method: filed_10k_reit_table_value_normalized. SEC concept(s): ReitModifiedFfoCurrentTaxAdjustment. Filing accession(s): 0000950170-25-021272. Filed date(s): 2025-02-14. Fiscal period(s): FY 2023.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Canonical method: reported_modified_ffo_less_other_disclosed_adjustments. SEC concept(s): ReitModifiedFFO; ReitNareitFFO; ReitModifiedFfoFxAdjustment; ReitModifiedFfoDeferredTaxAdjustment; ReitModifiedFfoCurrentTaxAdjustment; ReitModifiedFfoUnconsolidatedAdjustment. Filing accession(s): 0000950170-25-021272. Filed date(s): 2025-02-14. Fiscal period(s): FY 2023.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Canonical method: filed_10k_reit_table_value_normalized. SEC concept(s): ReitModifiedFfoUnconsolidatedAdjustment. Filing accession(s): 0000950170-25-021272. Filed date(s): 2025-02-14. Fiscal period(s): FY 2023.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Canonical method: filed_10k_reit_table_value_normalized. SEC concept(s): ReitModifiedFFO. Filing accession(s): 0000950170-25-021272. Filed date(s): 2025-02-14. Fiscal period(s): FY 2023.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Canonical method: filed_10k_reit_table_value_normalized. SEC concept(s): ReitCoreFfoDispositionAdjustment. Filing accession(s): 0000950170-25-021272. Filed date(s): 2025-02-14. Fiscal period(s): FY 2023.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Canonical method: filed_10k_reit_table_value_normalized. SEC concept(s): ReitCoreFfoTaxAdjustment. Filing accession(s): 0000950170-25-021272. Filed date(s): 2025-02-14. Fiscal period(s): FY 2023.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Canonical method: filed_10k_reit_table_value_normalized. SEC concept(s): ReitCoreFfoDebtExtinguishmentAdjustment. Filing accession(s): 0000950170-25-021272. Filed date(s): 2025-02-14. Fiscal period(s): FY 2023.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Canonical method: filed_10k_reit_table_value_normalized. SEC concept(s): ReitCoreFfoNciAdjustment. Filing accession(s): 0000950170-25-021272. Filed date(s): 2025-02-14. Fiscal period(s): FY 2023.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Canonical method: filed_10k_reit_table_value_normalized. SEC concept(s): ReitCoreFfoUnconsolidatedAdjustment. Filing accession(s): 0000950170-25-021272. Filed date(s): 2025-02-14. Fiscal period(s): FY 2023.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Canonical method: filed_10k_reit_table_value_normalized. SEC concept(s): ReitCoreFFO. Filing accession(s): 0000950170-25-021272. Filed date(s): 2025-02-14. Fiscal period(s): FY 2023.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Canonical method: filed_10k_reit_table_value_normalized. SEC concept(s): ReitTenantImprovementsAndLeaseCommissions. Filing accession(s): 0001193125-26-051453. Filed date(s): 2026-02-13. Fiscal period(s): FY 2023. Unit(s): USD thousands.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Canonical method: filed_10k_reit_table_value_normalized. SEC concept(s): ReitPropertyImprovements. Filing accession(s): 0001193125-26-051453. Filed date(s): 2026-02-13. Fiscal period(s): FY 2023. Unit(s): USD thousands.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Canonical method: core_ffo_less_tenant_improvements_and_property_improvements. SEC concept(s): ReitCoreFFO; ReitTenantImprovementsAndLeaseCommissions; ReitPropertyImprovements. Filing accession(s): 0000950170-25-021272; 0001193125-26-051453. Filed date(s): 2025-02-14; 2026-02-13. Fiscal period(s): FY 2023. Unit(s): USD millions; USD thousands.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Canonical method: filed_10k_reit_table_value_normalized. SEC concept(s): ReitSameStoreNOINetEffective. Filing accession(s): 0000950170-25-021272. Filed date(s): 2025-02-14. Fiscal period(s): FY 2023.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Canonical method: filed_10k_reit_table_value_normalized. SEC concept(s): ReitSameStoreNOICash. Filing accession(s): 0000950170-25-021272. Filed date(s): 2025-02-14. Fiscal period(s): FY 2023.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Canonical method: filed_10k_reit_table_value_normalized. SEC concept(s): ReitRealEstateSegmentNOI. Filing accession(s): 0001193125-26-051453. Filed date(s): 2026-02-13. Fiscal period(s): FY 2023. Unit(s): USD thousands.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Canonical method: filed_10k_reit_table_value_normalized. SEC concept(s): ReitStrategicCapitalSegmentNOI. Filing accession(s): 0001193125-26-051453. Filed date(s): 2026-02-13. Fiscal period(s): FY 2023. Unit(s): USD thousands.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Canonical method: filed_10k_reit_table_value_normalized. SEC concept(s): ReitCommonDistributions. Filing accession(s): 0001193125-26-051453. Filed date(s): 2026-02-13. Fiscal period(s): FY 2023. Unit(s): USD thousands.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Canonical method: preferred_direct. SEC concept(s): NetIncomeLossAvailableToCommonStockholdersBasic. Filing accession(s): 0001193125-26-051453. Filed date(s): 2026-02-13. Fiscal period(s): FY 2023. Unit(s): USD actual.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Canonical method: preferred_direct. SEC concept(s): StockholdersEquity. Filing accession(s): 0000950170-25-021272. Filed date(s): 2025-02-14. Fiscal period(s): FY 2023. Unit(s): USD actual.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Canonical method: preferred_direct. SEC concept(s): CashAndCashEquivalentsAtCarryingValue. Filing accession(s): 0000950170-25-021272. Filed date(s): 2025-02-14. Fiscal period(s): FY 2023. Unit(s): USD actual.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Canonical method: preferred_direct. SEC concept(s): LongTermDebt. Filing accession(s): 0000950170-25-021272. Filed date(s): 2025-02-14. Fiscal period(s): FY 2023. Unit(s): USD actual.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Canonical method: preferred_direct. SEC concept(s): PreferredStockValue. Filing accession(s): 0000950170-25-021272. Filed date(s): 2025-02-14. Fiscal period(s): FY 2023. Unit(s): USD actual.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Canonical method: preferred_direct. SEC concept(s): MinorityInterest. Filing accession(s): 0000950170-25-021272. Filed date(s): 2025-02-14. Fiscal period(s): FY 2023. Unit(s): USD actual.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Canonical method: companyfacts_preferred_direct. SEC concept(s): us-gaap:WeightedAverageNumberOfDilutedSharesOutstanding. Filing accession(s): 0001193125-26-051453. Filed date(s): 2026-02-13. Fiscal period(s): FY 2023. Unit(s): shares actual.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FY2025 filed_same_store_noi_current_year_over_prior_year_less_one: ReitSameStoreNOINetEffective accession 0001193125-26-051453 filed 2026-02-13 FY 2025; ReitSameStoreNOINetEffective accession 0001193125-26-051453 filed 2026-02-13 FY 2024 Used as a forecast proxy for portfolio NOI and Core FFO/AFFO growth.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FY2025 filed_10k_reit_table_value_normalized: ReitOccupancy accession 0001193125-26-051453 filed 2026-02-13 FY 2025 Held constant in the base case; changing it creates a one-time occupancy level sensitivity.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53" authorId="0">
      <text>
        <r>
          <rPr>
            <sz val="10"/>
            <rFont val="Arial"/>
            <family val="2"/>
          </rPr>
          <t xml:space="preserve">FY2025 filed tenant improvements, lease commissions, and property improvements divided by Core FFO; all property-improvement spending is treated as recurring in this analyst AFFO definition.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54" authorId="0">
      <text>
        <r>
          <rPr>
            <sz val="10"/>
            <rFont val="Arial"/>
            <family val="2"/>
          </rPr>
          <t xml:space="preserve">FY2025 filed common-and-preferred cash distributions divided by analyst-defined AFFO; the filing does not separately isolate preferred cash dividends in this cash-flow line.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55" authorId="0">
      <text>
        <r>
          <rPr>
            <sz val="10"/>
            <rFont val="Arial"/>
            <family val="2"/>
          </rPr>
          <t xml:space="preserve">Analyst input: 2.5% perpetual AFFO growth, editable in the workbook.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56" authorId="0">
      <text>
        <r>
          <rPr>
            <sz val="10"/>
            <rFont val="Arial"/>
            <family val="2"/>
          </rPr>
          <t xml:space="preserve">Editable initial assumption. The starting value is market-implied from filed FY2025 Real Estate segment NOI and current market enterprise value; it is a circular cross-check, not an independent market cap-rate estimate. Source: Market-implied capitalization rate: FY2025 reported real-estate segment NOI divided by current market capitalization plus long-term debt, preferred equity, and noncontrolling interest, less cash. This is a circular NAV cross-check, not an independent cap-rate estimate..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57" authorId="0">
      <text>
        <r>
          <rPr>
            <sz val="10"/>
            <rFont val="Arial"/>
            <family val="2"/>
          </rPr>
          <t xml:space="preserve">live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58" authorId="0">
      <text>
        <r>
          <rPr>
            <sz val="10"/>
            <rFont val="Arial"/>
            <family val="2"/>
          </rPr>
          <t xml:space="preserve">live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59" authorId="0">
      <text>
        <r>
          <rPr>
            <sz val="10"/>
            <rFont val="Arial"/>
            <family val="2"/>
          </rPr>
          <t xml:space="preserve">openbb_yfinance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61" authorId="0">
      <text>
        <r>
          <rPr>
            <sz val="10"/>
            <rFont val="Arial"/>
            <family val="2"/>
          </rPr>
          <t xml:space="preserve">Current market quote as of 2026-10-03 from openbb_yfinance.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62" authorId="0">
      <text>
        <r>
          <rPr>
            <sz val="10"/>
            <rFont val="Arial"/>
            <family val="2"/>
          </rPr>
          <t xml:space="preserve">FY2025 filed weighted-average diluted shares; see the historical source table.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B63" authorId="0">
      <text>
        <r>
          <rPr>
            <sz val="10"/>
            <rFont val="Arial"/>
            <family val="2"/>
          </rPr>
          <t xml:space="preserve">Current live market capitalization as of 2026-10-03 from openbb_yfinance.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Arial"/>
            <family val="2"/>
          </rPr>
          <t xml:space="preserve">Canonical method: filed_10k_reit_table_value_normalized. SEC concept(s): ReitNareitBridgeNetIncome. Filing accession(s): 0001193125-26-051453. Filed date(s): 2026-02-13. Fiscal period(s): FY 2024.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Canonical method: filed_10k_reit_table_value_normalized. SEC concept(s): ReitRealEstateDepreciation. Filing accession(s): 0001193125-26-051453. Filed date(s): 2026-02-13. Fiscal period(s): FY 2024.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Canonical method: filed_10k_reit_table_value_normalized. SEC concept(s): ReitDispositionGainsNareitAdjustment. Filing accession(s): 0001193125-26-051453. Filed date(s): 2026-02-13. Fiscal period(s): FY 2024.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Canonical method: filed_10k_reit_table_value_normalized. SEC concept(s): ReitNciNareitAdjustment. Filing accession(s): 0001193125-26-051453. Filed date(s): 2026-02-13. Fiscal period(s): FY 2024.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Canonical method: filed_10k_reit_table_value_normalized. SEC concept(s): ReitUnconsolidatedNareitAdjustment. Filing accession(s): 0001193125-26-051453. Filed date(s): 2026-02-13. Fiscal period(s): FY 2024.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Canonical method: filed_10k_reit_table_value_normalized. SEC concept(s): ReitNareitFFO. Filing accession(s): 0001193125-26-051453. Filed date(s): 2026-02-13. Fiscal period(s): FY 2024.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Canonical method: filed_10k_reit_table_value_normalized. SEC concept(s): ReitModifiedFfoFxAdjustment. Filing accession(s): 0001193125-26-051453. Filed date(s): 2026-02-13. Fiscal period(s): FY 2024.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Canonical method: filed_10k_reit_table_value_normalized. SEC concept(s): ReitModifiedFfoDeferredTaxAdjustment. Filing accession(s): 0001193125-26-051453. Filed date(s): 2026-02-13. Fiscal period(s): FY 2024.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Canonical method: filed_10k_reit_table_value_normalized. SEC concept(s): ReitModifiedFfoCurrentTaxAdjustment. Filing accession(s): 0000950170-25-021272. Filed date(s): 2025-02-14. Fiscal period(s): FY 2024.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Canonical method: filed_10k_reit_table_value_normalized. SEC concept(s): ReitModifiedFfoNciAdjustment. Filing accession(s): 0001193125-26-051453. Filed date(s): 2026-02-13. Fiscal period(s): FY 2024.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Canonical method: filed_10k_reit_table_value_normalized. SEC concept(s): ReitModifiedFfoUnconsolidatedAdjustment. Filing accession(s): 0001193125-26-051453. Filed date(s): 2026-02-13. Fiscal period(s): FY 2024.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Canonical method: filed_10k_reit_table_value_normalized. SEC concept(s): ReitModifiedFFO. Filing accession(s): 0001193125-26-051453. Filed date(s): 2026-02-13. Fiscal period(s): FY 2024.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Canonical method: filed_10k_reit_table_value_normalized. SEC concept(s): ReitCoreFfoDispositionAdjustment. Filing accession(s): 0001193125-26-051453. Filed date(s): 2026-02-13. Fiscal period(s): FY 2024.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Canonical method: filed_10k_reit_table_value_normalized. SEC concept(s): ReitCoreFfoTaxAdjustment. Filing accession(s): 0001193125-26-051453. Filed date(s): 2026-02-13. Fiscal period(s): FY 2024.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Canonical method: filed_10k_reit_table_value_normalized. SEC concept(s): ReitCoreFfoDebtExtinguishmentAdjustment. Filing accession(s): 0001193125-26-051453. Filed date(s): 2026-02-13. Fiscal period(s): FY 2024.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Canonical method: filed_10k_reit_table_value_normalized. SEC concept(s): ReitCoreFfoNciAdjustment. Filing accession(s): 0001193125-26-051453. Filed date(s): 2026-02-13. Fiscal period(s): FY 2024.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Canonical method: filed_10k_reit_table_value_normalized. SEC concept(s): ReitCoreFfoUnconsolidatedAdjustment. Filing accession(s): 0001193125-26-051453. Filed date(s): 2026-02-13. Fiscal period(s): FY 2024.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Canonical method: filed_10k_reit_table_value_normalized. SEC concept(s): ReitCoreFFO. Filing accession(s): 0001193125-26-051453. Filed date(s): 2026-02-13. Fiscal period(s): FY 2024.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Canonical method: filed_10k_reit_table_value_normalized. SEC concept(s): ReitTenantImprovementsAndLeaseCommissions. Filing accession(s): 0001193125-26-051453. Filed date(s): 2026-02-13. Fiscal period(s): FY 2024. Unit(s): USD thousands.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Canonical method: filed_10k_reit_table_value_normalized. SEC concept(s): ReitPropertyImprovements. Filing accession(s): 0001193125-26-051453. Filed date(s): 2026-02-13. Fiscal period(s): FY 2024. Unit(s): USD thousands.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Canonical method: core_ffo_less_tenant_improvements_and_property_improvements. SEC concept(s): ReitCoreFFO; ReitTenantImprovementsAndLeaseCommissions; ReitPropertyImprovements. Filing accession(s): 0001193125-26-051453. Filed date(s): 2026-02-13. Fiscal period(s): FY 2024. Unit(s): USD millions; USD thousands.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Canonical method: filed_10k_reit_table_value_normalized. SEC concept(s): ReitSameStoreNOINetEffective. Filing accession(s): 0001193125-26-051453. Filed date(s): 2026-02-13. Fiscal period(s): FY 2024.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Canonical method: filed_10k_reit_table_value_normalized. SEC concept(s): ReitSameStoreNOICash. Filing accession(s): 0001193125-26-051453. Filed date(s): 2026-02-13. Fiscal period(s): FY 2024.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Canonical method: filed_10k_reit_table_value_normalized. SEC concept(s): ReitRealEstateSegmentNOI. Filing accession(s): 0001193125-26-051453. Filed date(s): 2026-02-13. Fiscal period(s): FY 2024. Unit(s): USD thousands.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Canonical method: filed_10k_reit_table_value_normalized. SEC concept(s): ReitStrategicCapitalSegmentNOI. Filing accession(s): 0001193125-26-051453. Filed date(s): 2026-02-13. Fiscal period(s): FY 2024. Unit(s): USD thousands.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Canonical method: filed_10k_reit_table_value_normalized. SEC concept(s): ReitCommonDistributions. Filing accession(s): 0001193125-26-051453. Filed date(s): 2026-02-13. Fiscal period(s): FY 2024. Unit(s): USD thousands.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C39" authorId="0">
      <text>
        <r>
          <rPr>
            <sz val="10"/>
            <rFont val="Arial"/>
            <family val="2"/>
          </rPr>
          <t xml:space="preserve">Canonical method: preferred_direct. SEC concept(s): NetIncomeLossAvailableToCommonStockholdersBasic. Filing accession(s): 0001193125-26-051453. Filed date(s): 2026-02-13. Fiscal period(s): FY 2024. Unit(s): USD actual.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C40" authorId="0">
      <text>
        <r>
          <rPr>
            <sz val="10"/>
            <rFont val="Arial"/>
            <family val="2"/>
          </rPr>
          <t xml:space="preserve">Canonical method: preferred_direct. SEC concept(s): StockholdersEquity. Filing accession(s): 0001193125-26-051453. Filed date(s): 2026-02-13. Fiscal period(s): FY 2024. Unit(s): USD actual.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Arial"/>
            <family val="2"/>
          </rPr>
          <t xml:space="preserve">Canonical method: preferred_direct. SEC concept(s): CashAndCashEquivalentsAtCarryingValue. Filing accession(s): 0001193125-26-051453. Filed date(s): 2026-02-13. Fiscal period(s): FY 2024. Unit(s): USD actual.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Canonical method: preferred_direct. SEC concept(s): LongTermDebt. Filing accession(s): 0001193125-26-051453. Filed date(s): 2026-02-13. Fiscal period(s): FY 2024. Unit(s): USD actual.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Canonical method: preferred_direct. SEC concept(s): PreferredStockValue. Filing accession(s): 0001193125-26-051453. Filed date(s): 2026-02-13. Fiscal period(s): FY 2024. Unit(s): USD actual.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Canonical method: preferred_direct. SEC concept(s): MinorityInterest. Filing accession(s): 0001193125-26-051453. Filed date(s): 2026-02-13. Fiscal period(s): FY 2024. Unit(s): USD actual.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Canonical method: companyfacts_preferred_direct. SEC concept(s): us-gaap:WeightedAverageNumberOfDilutedSharesOutstanding. Filing accession(s): 0001193125-26-051453. Filed date(s): 2026-02-13. Fiscal period(s): FY 2024. Unit(s): shares actual.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5" authorId="0">
      <text>
        <r>
          <rPr>
            <sz val="10"/>
            <rFont val="Arial"/>
            <family val="2"/>
          </rPr>
          <t xml:space="preserve">Canonical method: filed_10k_reit_table_value_normalized. SEC concept(s): ReitNareitBridgeNetIncome. Filing accession(s): 0001193125-26-051453. Filed date(s): 2026-02-13. Fiscal period(s): FY 2025.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Canonical method: filed_10k_reit_table_value_normalized. SEC concept(s): ReitRealEstateDepreciation. Filing accession(s): 0001193125-26-051453. Filed date(s): 2026-02-13. Fiscal period(s): FY 2025.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Canonical method: filed_10k_reit_table_value_normalized. SEC concept(s): ReitDispositionGainsNareitAdjustment. Filing accession(s): 0001193125-26-051453. Filed date(s): 2026-02-13. Fiscal period(s): FY 2025.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Canonical method: filed_10k_reit_table_value_normalized. SEC concept(s): ReitNciNareitAdjustment. Filing accession(s): 0001193125-26-051453. Filed date(s): 2026-02-13. Fiscal period(s): FY 2025.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Canonical method: filed_10k_reit_table_value_normalized. SEC concept(s): ReitUnconsolidatedNareitAdjustment. Filing accession(s): 0001193125-26-051453. Filed date(s): 2026-02-13. Fiscal period(s): FY 2025.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Canonical method: filed_10k_reit_table_value_normalized. SEC concept(s): ReitNareitFFO. Filing accession(s): 0001193125-26-051453. Filed date(s): 2026-02-13. Fiscal period(s): FY 2025.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Canonical method: filed_10k_reit_table_value_normalized. SEC concept(s): ReitModifiedFfoFxAdjustment. Filing accession(s): 0001193125-26-051453. Filed date(s): 2026-02-13. Fiscal period(s): FY 2025.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Canonical method: filed_10k_reit_table_value_normalized. SEC concept(s): ReitModifiedFfoDeferredTaxAdjustment. Filing accession(s): 0001193125-26-051453. Filed date(s): 2026-02-13. Fiscal period(s): FY 2025.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Canonical method: reported_modified_ffo_less_other_disclosed_adjustments. SEC concept(s): ReitModifiedFFO; ReitNareitFFO; ReitModifiedFfoFxAdjustment; ReitModifiedFfoDeferredTaxAdjustment; ReitModifiedFfoNciAdjustment; ReitModifiedFfoUnconsolidatedAdjustment. Filing accession(s): 0001193125-26-051453. Filed date(s): 2026-02-13. Fiscal period(s): FY 2025.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Canonical method: filed_10k_reit_table_value_normalized. SEC concept(s): ReitModifiedFfoNciAdjustment. Filing accession(s): 0001193125-26-051453. Filed date(s): 2026-02-13. Fiscal period(s): FY 2025.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Canonical method: filed_10k_reit_table_value_normalized. SEC concept(s): ReitModifiedFfoUnconsolidatedAdjustment. Filing accession(s): 0001193125-26-051453. Filed date(s): 2026-02-13. Fiscal period(s): FY 2025.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Canonical method: filed_10k_reit_table_value_normalized. SEC concept(s): ReitModifiedFFO. Filing accession(s): 0001193125-26-051453. Filed date(s): 2026-02-13. Fiscal period(s): FY 2025.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Canonical method: filed_10k_reit_table_value_normalized. SEC concept(s): ReitCoreFfoDispositionAdjustment. Filing accession(s): 0001193125-26-051453. Filed date(s): 2026-02-13. Fiscal period(s): FY 2025.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Canonical method: filed_10k_reit_table_value_normalized. SEC concept(s): ReitCoreFfoTaxAdjustment. Filing accession(s): 0001193125-26-051453. Filed date(s): 2026-02-13. Fiscal period(s): FY 2025.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Canonical method: filed_10k_reit_table_value_normalized. SEC concept(s): ReitCoreFfoDebtExtinguishmentAdjustment. Filing accession(s): 0001193125-26-051453. Filed date(s): 2026-02-13. Fiscal period(s): FY 2025.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Canonical method: filed_10k_reit_table_value_normalized. SEC concept(s): ReitCoreFfoNciAdjustment. Filing accession(s): 0001193125-26-051453. Filed date(s): 2026-02-13. Fiscal period(s): FY 2025.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Canonical method: filed_10k_reit_table_value_normalized. SEC concept(s): ReitCoreFfoUnconsolidatedAdjustment. Filing accession(s): 0001193125-26-051453. Filed date(s): 2026-02-13. Fiscal period(s): FY 2025.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Canonical method: filed_10k_reit_table_value_normalized. SEC concept(s): ReitCoreFFO. Filing accession(s): 0001193125-26-051453. Filed date(s): 2026-02-13. Fiscal period(s): FY 2025.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Canonical method: filed_10k_reit_table_value_normalized. SEC concept(s): ReitTenantImprovementsAndLeaseCommissions. Filing accession(s): 0001193125-26-051453. Filed date(s): 2026-02-13. Fiscal period(s): FY 2025. Unit(s): USD thousands.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Canonical method: filed_10k_reit_table_value_normalized. SEC concept(s): ReitPropertyImprovements. Filing accession(s): 0001193125-26-051453. Filed date(s): 2026-02-13. Fiscal period(s): FY 2025. Unit(s): USD thousands.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Canonical method: core_ffo_less_tenant_improvements_and_property_improvements. SEC concept(s): ReitCoreFFO; ReitTenantImprovementsAndLeaseCommissions; ReitPropertyImprovements. Filing accession(s): 0001193125-26-051453. Filed date(s): 2026-02-13. Fiscal period(s): FY 2025. Unit(s): USD millions; USD thousands.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Canonical method: filed_10k_reit_table_value_normalized. SEC concept(s): ReitSameStoreNOINetEffective. Filing accession(s): 0001193125-26-051453. Filed date(s): 2026-02-13. Fiscal period(s): FY 2025.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Canonical method: filed_10k_reit_table_value_normalized. SEC concept(s): ReitSameStoreNOICash. Filing accession(s): 0001193125-26-051453. Filed date(s): 2026-02-13. Fiscal period(s): FY 2025. Unit(s): USD millions.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Canonical method: filed_10k_reit_table_value_normalized. SEC concept(s): ReitOccupancy. Filing accession(s): 0001193125-26-051453. Filed date(s): 2026-02-13. Fiscal period(s): FY 2025. Unit(s): percent percent.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Arial"/>
            <family val="2"/>
          </rPr>
          <t xml:space="preserve">Canonical method: filed_10k_reit_table_value_normalized. SEC concept(s): ReitRealEstateSegmentNOI. Filing accession(s): 0001193125-26-051453. Filed date(s): 2026-02-13. Fiscal period(s): FY 2025. Unit(s): USD thousands.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Arial"/>
            <family val="2"/>
          </rPr>
          <t xml:space="preserve">Canonical method: filed_10k_reit_table_value_normalized. SEC concept(s): ReitStrategicCapitalSegmentNOI. Filing accession(s): 0001193125-26-051453. Filed date(s): 2026-02-13. Fiscal period(s): FY 2025. Unit(s): USD thousands.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Arial"/>
            <family val="2"/>
          </rPr>
          <t xml:space="preserve">Canonical method: filed_10k_reit_table_value_normalized. SEC concept(s): ReitCommonDistributions. Filing accession(s): 0001193125-26-051453. Filed date(s): 2026-02-13. Fiscal period(s): FY 2025. Unit(s): USD thousands.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Arial"/>
            <family val="2"/>
          </rPr>
          <t xml:space="preserve">Canonical method: preferred_direct. SEC concept(s): NetIncomeLossAvailableToCommonStockholdersBasic. Filing accession(s): 0001193125-26-051453. Filed date(s): 2026-02-13. Fiscal period(s): FY 2025. Unit(s): USD actual.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Arial"/>
            <family val="2"/>
          </rPr>
          <t xml:space="preserve">Canonical method: preferred_direct. SEC concept(s): StockholdersEquity. Filing accession(s): 0001193125-26-051453. Filed date(s): 2026-02-13. Fiscal period(s): FY 2025. Unit(s): USD actual.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Arial"/>
            <family val="2"/>
          </rPr>
          <t xml:space="preserve">Canonical method: preferred_direct. SEC concept(s): CashAndCashEquivalentsAtCarryingValue. Filing accession(s): 0001193125-26-051453. Filed date(s): 2026-02-13. Fiscal period(s): FY 2025. Unit(s): USD actual.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Arial"/>
            <family val="2"/>
          </rPr>
          <t xml:space="preserve">Canonical method: preferred_direct. SEC concept(s): LongTermDebt. Filing accession(s): 0001193125-26-051453. Filed date(s): 2026-02-13. Fiscal period(s): FY 2025. Unit(s): USD actual.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Arial"/>
            <family val="2"/>
          </rPr>
          <t xml:space="preserve">Canonical method: preferred_direct. SEC concept(s): PreferredStockValue. Filing accession(s): 0001193125-26-051453. Filed date(s): 2026-02-13. Fiscal period(s): FY 2025. Unit(s): USD actual.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Arial"/>
            <family val="2"/>
          </rPr>
          <t xml:space="preserve">Canonical method: preferred_direct. SEC concept(s): MinorityInterest. Filing accession(s): 0001193125-26-051453. Filed date(s): 2026-02-13. Fiscal period(s): FY 2025. Unit(s): USD actual.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Arial"/>
            <family val="2"/>
          </rPr>
          <t xml:space="preserve">Canonical method: companyfacts_preferred_direct. SEC concept(s): us-gaap:WeightedAverageNumberOfDilutedSharesOutstanding. Filing accession(s): 0001193125-26-051453. Filed date(s): 2026-02-13. Fiscal period(s): FY 2025. Unit(s): shares actual.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Arial"/>
            <family val="2"/>
          </rPr>
          <t xml:space="preserve">Calculated from the FY2025 10-K comparative same-store NOI rows, which use the same reported ownership share and population.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-144</xdr:colOff>
                <xdr:row>2</xdr:row>
                <xdr:rowOff>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<sst xmlns="http://schemas.openxmlformats.org/spreadsheetml/2006/main" count="528" uniqueCount="256">
  <si>
    <t xml:space="preserve">Prologis, Inc. (PLD) — Equity REIT AFFO and NAV Model</t>
  </si>
  <si>
    <t xml:space="preserve">Common-equity AFFO DCF with a property NAV cross-check. Amounts are USD actual values displayed in millions, except per share, ratios, and shares. Blue cells are editable assumptions; forecast and valuation cells are formulas.</t>
  </si>
  <si>
    <t xml:space="preserve">Filed annual operations and FFO/AFFO reconciliation</t>
  </si>
  <si>
    <t xml:space="preserve">Reported measure / reconciliation item</t>
  </si>
  <si>
    <t xml:space="preserve">FY2023</t>
  </si>
  <si>
    <t xml:space="preserve">FY2024</t>
  </si>
  <si>
    <t xml:space="preserve">FY2025</t>
  </si>
  <si>
    <t xml:space="preserve">Net earnings attributable to common in FFO bridge</t>
  </si>
  <si>
    <t xml:space="preserve">Real estate depreciation and amortization</t>
  </si>
  <si>
    <t xml:space="preserve">NAREIT property-disposition adjustment, net of tax</t>
  </si>
  <si>
    <t xml:space="preserve">NAREIT noncontrolling-interest adjustment</t>
  </si>
  <si>
    <t xml:space="preserve">NAREIT proportionate unconsolidated adjustment</t>
  </si>
  <si>
    <t xml:space="preserve">Calculated NAREIT FFO</t>
  </si>
  <si>
    <t xml:space="preserve">Filed NAREIT FFO attributable to common</t>
  </si>
  <si>
    <t xml:space="preserve">NAREIT FFO reconciliation check</t>
  </si>
  <si>
    <t xml:space="preserve">Modified FFO FX, derivative, and other adjustment</t>
  </si>
  <si>
    <t xml:space="preserve">Modified FFO deferred-tax adjustment</t>
  </si>
  <si>
    <t xml:space="preserve">Modified FFO current-tax adjustment</t>
  </si>
  <si>
    <t xml:space="preserve">Modified FFO noncontrolling-interest adjustment</t>
  </si>
  <si>
    <t xml:space="preserve">Modified FFO unconsolidated-entity adjustment</t>
  </si>
  <si>
    <t xml:space="preserve">Calculated FFO as modified by Prologis</t>
  </si>
  <si>
    <t xml:space="preserve">Filed FFO as modified by Prologis</t>
  </si>
  <si>
    <t xml:space="preserve">Modified FFO reconciliation check</t>
  </si>
  <si>
    <t xml:space="preserve">Core FFO development and land disposition adjustment</t>
  </si>
  <si>
    <t xml:space="preserve">Core FFO current tax on dispositions</t>
  </si>
  <si>
    <t xml:space="preserve">Core FFO debt-extinguishment adjustment</t>
  </si>
  <si>
    <t xml:space="preserve">Core FFO noncontrolling-interest adjustment</t>
  </si>
  <si>
    <t xml:space="preserve">Core FFO unconsolidated-entity adjustment</t>
  </si>
  <si>
    <t xml:space="preserve">Calculated Core FFO</t>
  </si>
  <si>
    <t xml:space="preserve">Filed Core FFO attributable to common</t>
  </si>
  <si>
    <t xml:space="preserve">Core FFO reconciliation check</t>
  </si>
  <si>
    <t xml:space="preserve">Tenant improvements and leasing commissions</t>
  </si>
  <si>
    <t xml:space="preserve">Property improvements</t>
  </si>
  <si>
    <t xml:space="preserve">Recurring property-capex proxy</t>
  </si>
  <si>
    <t xml:space="preserve">Analyst-defined AFFO</t>
  </si>
  <si>
    <t xml:space="preserve">Prologis-share same-store NOI, net effective</t>
  </si>
  <si>
    <t xml:space="preserve">Prologis-share same-store NOI, cash basis</t>
  </si>
  <si>
    <t xml:space="preserve">Operating-portfolio occupancy</t>
  </si>
  <si>
    <t xml:space="preserve">Real Estate segment NOI</t>
  </si>
  <si>
    <t xml:space="preserve">Strategic Capital segment NOI</t>
  </si>
  <si>
    <t xml:space="preserve">Cash dividends on common and preferred stock</t>
  </si>
  <si>
    <t xml:space="preserve">Net income available to common</t>
  </si>
  <si>
    <t xml:space="preserve">Common equity attributable to parent</t>
  </si>
  <si>
    <t xml:space="preserve">Cash and cash equivalents</t>
  </si>
  <si>
    <t xml:space="preserve">Reported long-term debt</t>
  </si>
  <si>
    <t xml:space="preserve">Preferred equity</t>
  </si>
  <si>
    <t xml:space="preserve">Noncontrolling-interest equity</t>
  </si>
  <si>
    <t xml:space="preserve">Weighted-average diluted shares</t>
  </si>
  <si>
    <t xml:space="preserve">Same-store net-effective NOI growth (FY2025 vs FY2024)</t>
  </si>
  <si>
    <t xml:space="preserve">Editable forecast, valuation, and NAV assumptions</t>
  </si>
  <si>
    <t xml:space="preserve">Same-store NOI growth proxy</t>
  </si>
  <si>
    <t xml:space="preserve">Target operating-portfolio occupancy</t>
  </si>
  <si>
    <t xml:space="preserve">Recurring-capex proxy / Core FFO</t>
  </si>
  <si>
    <t xml:space="preserve">Common-and-preferred distributions / AFFO</t>
  </si>
  <si>
    <t xml:space="preserve">Perpetual AFFO growth</t>
  </si>
  <si>
    <t xml:space="preserve">Selected NAV capitalization rate</t>
  </si>
  <si>
    <t xml:space="preserve">Risk-free rate</t>
  </si>
  <si>
    <t xml:space="preserve">Equity risk premium</t>
  </si>
  <si>
    <t xml:space="preserve">Beta</t>
  </si>
  <si>
    <t xml:space="preserve">Cost of equity (CAPM)</t>
  </si>
  <si>
    <t xml:space="preserve">Current share price</t>
  </si>
  <si>
    <t xml:space="preserve">Diluted shares for valuation</t>
  </si>
  <si>
    <t xml:space="preserve">Current market capitalization</t>
  </si>
  <si>
    <t xml:space="preserve">Current market-implied cap rate</t>
  </si>
  <si>
    <t xml:space="preserve">Five-year same-store NOI, Core FFO, AFFO, and distribution forecast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</si>
  <si>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</si>
  <si>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</si>
  <si>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</si>
  <si>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</si>
  <si>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</si>
  <si>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Real Estate segment NOI forecast (same-store growth proxy)</t>
  </si>
  <si>
    <t xml:space="preserve">Real Estate segment NOI growth</t>
  </si>
  <si>
    <t xml:space="preserve">Core FFO forecast</t>
  </si>
  <si>
    <t xml:space="preserve">Recurring-capex proxy</t>
  </si>
  <si>
    <t xml:space="preserve">Common-and-preferred cash distributions</t>
  </si>
  <si>
    <t xml:space="preserve">AFFO distribution coverage</t>
  </si>
  <si>
    <t xml:space="preserve">Present value of AFFO</t>
  </si>
  <si>
    <t xml:space="preserve">Common-equity AFFO DCF valuation</t>
  </si>
  <si>
    <t xml:space="preserve">PV of forecast AFFO</t>
  </si>
  <si>
    <t xml:space="preserve">Terminal AFFO value</t>
  </si>
  <si>
    <t xml:space="preserve">PV of terminal AFFO</t>
  </si>
  <si>
    <t xml:space="preserve">Common equity value</t>
  </si>
  <si>
    <t xml:space="preserve">Implied share price</t>
  </si>
  <si>
    <t xml:space="preserve">Implied return</t>
  </si>
  <si>
    <t xml:space="preserve">Enterprise value</t>
  </si>
  <si>
    <t xml:space="preserve">Not applicable — common-equity AFFO model</t>
  </si>
  <si>
    <t xml:space="preserve">Real Estate segment NAV cross-check</t>
  </si>
  <si>
    <t xml:space="preserve">FY reported Real Estate segment NOI</t>
  </si>
  <si>
    <t xml:space="preserve">Selected cap rate</t>
  </si>
  <si>
    <t xml:space="preserve">Implied property value</t>
  </si>
  <si>
    <t xml:space="preserve">Add cash</t>
  </si>
  <si>
    <t xml:space="preserve">Less long-term debt</t>
  </si>
  <si>
    <t xml:space="preserve">Less preferred equity</t>
  </si>
  <si>
    <t xml:space="preserve">Less noncontrolling interests</t>
  </si>
  <si>
    <t xml:space="preserve">Real Estate segment NAV to common</t>
  </si>
  <si>
    <t xml:space="preserve">NAV per diluted share</t>
  </si>
  <si>
    <t xml:space="preserve">NAV premium / (discount)</t>
  </si>
  <si>
    <t xml:space="preserve">AFFO equity value sensitivity — cost of equity and terminal growth</t>
  </si>
  <si>
    <t xml:space="preserve">Cost of equity / terminal growth</t>
  </si>
  <si>
    <t xml:space="preserve">Sensitivity basis</t>
  </si>
  <si>
    <t xml:space="preserve">Discounted analyst AFFO plus terminal AFFO at each cost-of-equity / perpetual-growth pair.</t>
  </si>
  <si>
    <t xml:space="preserve">Real Estate segment NAV sensitivity — NOI and capitalization rate</t>
  </si>
  <si>
    <t xml:space="preserve">Selected cap rate / NOI factor</t>
  </si>
  <si>
    <t xml:space="preserve">NAV sensitivity scope</t>
  </si>
  <si>
    <t xml:space="preserve">Property-only NAV; excludes Strategic Capital and other corporate/non-property assets and liabilities.</t>
  </si>
  <si>
    <t xml:space="preserve">Data Review — Prologis, Inc. (PLD)</t>
  </si>
  <si>
    <t xml:space="preserve">NAREIT and issuer Core FFO are filed non-GAAP measures. Analyst AFFO and the NAV cross-check use explicit assumptions.</t>
  </si>
  <si>
    <t xml:space="preserve">Status</t>
  </si>
  <si>
    <t xml:space="preserve">Area</t>
  </si>
  <si>
    <t xml:space="preserve">Review note</t>
  </si>
  <si>
    <t xml:space="preserve">REVIEW</t>
  </si>
  <si>
    <t xml:space="preserve">Model limitation</t>
  </si>
  <si>
    <t xml:space="preserve">Analyst AFFO is defined as Prologis Core FFO less tenant improvements, lease commissions, and property improvements; all reported property-improvement spending is treated as recurring.</t>
  </si>
  <si>
    <t xml:space="preserve">Filed same-store NOI growth is used as an editable proxy for future portfolio NOI and Core FFO/AFFO growth.</t>
  </si>
  <si>
    <t xml:space="preserve">Distributions use the filed common-and-preferred cash-dividend line because preferred cash dividends are not separately isolated in that cash-flow line.</t>
  </si>
  <si>
    <t xml:space="preserve">The NAV cap rate is current-market implied and therefore circular to the current share price; the cap-rate sensitivity is a cross-check, not an independent target valuation.</t>
  </si>
  <si>
    <t xml:space="preserve">The NAV bridge covers the Real Estate segment only and excludes Strategic Capital and other corporate or non-property assets and liabilities.</t>
  </si>
  <si>
    <t xml:space="preserve">valuation_context: data status is cached</t>
  </si>
  <si>
    <t xml:space="preserve">insider_trades: Insider trades are intentionally lazy-loaded and do not block the primary valuation load.</t>
  </si>
  <si>
    <t xml:space="preserve">INFO</t>
  </si>
  <si>
    <t xml:space="preserve">SEC source</t>
  </si>
  <si>
    <t xml:space="preserve">FY2023 net_income_available_to_common: preferred_direct; NetIncomeLossAvailableToCommonStockholdersBasic, accession 0001193125-26-051453, filed 2026-02-13, FY 2023, USD actual</t>
  </si>
  <si>
    <t xml:space="preserve">FY2023 nareit_bridge_net_income: filed_10k_reit_table_value_normalized; ReitNareitBridgeNetIncome, accession 0000950170-25-021272, filed 2025-02-14, FY 2023, USD millions</t>
  </si>
  <si>
    <t xml:space="preserve">FY2023 real_estate_depreciation: filed_10k_reit_table_value_normalized; ReitRealEstateDepreciation, accession 0000950170-25-021272, filed 2025-02-14, FY 2023, USD millions</t>
  </si>
  <si>
    <t xml:space="preserve">FY2023 disposition_gains_nareit_adjustment: filed_10k_reit_table_value_normalized; ReitDispositionGainsNareitAdjustment, accession 0000950170-25-021272, filed 2025-02-14, FY 2023, USD millions</t>
  </si>
  <si>
    <t xml:space="preserve">FY2023 nci_nareit_adjustment: filed_10k_reit_table_value_normalized; ReitNciNareitAdjustment, accession 0000950170-25-021272, filed 2025-02-14, FY 2023, USD millions</t>
  </si>
  <si>
    <t xml:space="preserve">FY2023 unconsolidated_nareit_adjustment: filed_10k_reit_table_value_normalized; ReitUnconsolidatedNareitAdjustment, accession 0000950170-25-021272, filed 2025-02-14, FY 2023, USD millions</t>
  </si>
  <si>
    <t xml:space="preserve">FY2023 nareit_ffo: filed_10k_reit_table_value_normalized; ReitNareitFFO, accession 0000950170-25-021272, filed 2025-02-14, FY 2023, USD millions</t>
  </si>
  <si>
    <t xml:space="preserve">FY2023 modified_ffo_fx_adjustment: filed_10k_reit_table_value_normalized; ReitModifiedFfoFxAdjustment, accession 0000950170-25-021272, filed 2025-02-14, FY 2023, USD millions</t>
  </si>
  <si>
    <t xml:space="preserve">FY2023 modified_ffo_deferred_tax_adjustment: filed_10k_reit_table_value_normalized; ReitModifiedFfoDeferredTaxAdjustment, accession 0000950170-25-021272, filed 2025-02-14, FY 2023, USD millions</t>
  </si>
  <si>
    <t xml:space="preserve">FY2023 modified_ffo_current_tax_adjustment: filed_10k_reit_table_value_normalized; ReitModifiedFfoCurrentTaxAdjustment, accession 0000950170-25-021272, filed 2025-02-14, FY 2023, USD millions</t>
  </si>
  <si>
    <t xml:space="preserve">FY2023 modified_ffo_nci_adjustment: reported_modified_ffo_less_other_disclosed_adjustments; ReitModifiedFFO, accession 0000950170-25-021272, filed 2025-02-14, FY 2023, USD millions; ReitNareitFFO, accession 0000950170-25-021272, filed 2025-02-14, FY 2023, USD millions; ReitModifiedFfoFxAdjustment, accession 0000950170-25-021272, filed 2025-02-14, FY 2023, USD millions; ReitModifiedFfoDeferredTaxAdjustment, accession 0000950170-25-021272, filed 2025-02-14, FY 2023, USD millions; ReitModifiedFfoCurrentTaxAdjustment, accession 0000950170-25-021272, filed 2025-02-14, FY 2023, USD millions; ReitModifiedFfoUnconsolidatedAdjustment, accession 0000950170-25-021272, filed 2025-02-14, FY 2023, USD millions</t>
  </si>
  <si>
    <t xml:space="preserve">FY2023 modified_ffo_unconsolidated_adjustment: filed_10k_reit_table_value_normalized; ReitModifiedFfoUnconsolidatedAdjustment, accession 0000950170-25-021272, filed 2025-02-14, FY 2023, USD millions</t>
  </si>
  <si>
    <t xml:space="preserve">FY2023 modified_ffo: filed_10k_reit_table_value_normalized; ReitModifiedFFO, accession 0000950170-25-021272, filed 2025-02-14, FY 2023, USD millions</t>
  </si>
  <si>
    <t xml:space="preserve">FY2023 core_ffo_disposition_adjustment: filed_10k_reit_table_value_normalized; ReitCoreFfoDispositionAdjustment, accession 0000950170-25-021272, filed 2025-02-14, FY 2023, USD millions</t>
  </si>
  <si>
    <t xml:space="preserve">FY2023 core_ffo_tax_adjustment: filed_10k_reit_table_value_normalized; ReitCoreFfoTaxAdjustment, accession 0000950170-25-021272, filed 2025-02-14, FY 2023, USD millions</t>
  </si>
  <si>
    <t xml:space="preserve">FY2023 core_ffo_debt_extinguishment_adjustment: filed_10k_reit_table_value_normalized; ReitCoreFfoDebtExtinguishmentAdjustment, accession 0000950170-25-021272, filed 2025-02-14, FY 2023, USD millions</t>
  </si>
  <si>
    <t xml:space="preserve">FY2023 core_ffo_nci_adjustment: filed_10k_reit_table_value_normalized; ReitCoreFfoNciAdjustment, accession 0000950170-25-021272, filed 2025-02-14, FY 2023, USD millions</t>
  </si>
  <si>
    <t xml:space="preserve">FY2023 core_ffo_unconsolidated_adjustment: filed_10k_reit_table_value_normalized; ReitCoreFfoUnconsolidatedAdjustment, accession 0000950170-25-021272, filed 2025-02-14, FY 2023, USD millions</t>
  </si>
  <si>
    <t xml:space="preserve">FY2023 core_ffo: filed_10k_reit_table_value_normalized; ReitCoreFFO, accession 0000950170-25-021272, filed 2025-02-14, FY 2023, USD millions</t>
  </si>
  <si>
    <t xml:space="preserve">FY2023 tenant_improvements_and_lease_commissions: filed_10k_reit_table_value_normalized; ReitTenantImprovementsAndLeaseCommissions, accession 0001193125-26-051453, filed 2026-02-13, FY 2023, USD thousands</t>
  </si>
  <si>
    <t xml:space="preserve">FY2023 property_improvements: filed_10k_reit_table_value_normalized; ReitPropertyImprovements, accession 0001193125-26-051453, filed 2026-02-13, FY 2023, USD thousands</t>
  </si>
  <si>
    <t xml:space="preserve">FY2023 recurring_capex: tenant_improvements_and_lease_commissions_plus_property_improvements; ReitTenantImprovementsAndLeaseCommissions, accession 0001193125-26-051453, filed 2026-02-13, FY 2023, USD thousands; ReitPropertyImprovements, accession 0001193125-26-051453, filed 2026-02-13, FY 2023, USD thousands</t>
  </si>
  <si>
    <t xml:space="preserve">FY2023 analyst_affo: core_ffo_less_tenant_improvements_and_property_improvements; ReitCoreFFO, accession 0000950170-25-021272, filed 2025-02-14, FY 2023, USD millions; ReitTenantImprovementsAndLeaseCommissions, accession 0001193125-26-051453, filed 2026-02-13, FY 2023, USD thousands; ReitPropertyImprovements, accession 0001193125-26-051453, filed 2026-02-13, FY 2023, USD thousands</t>
  </si>
  <si>
    <t xml:space="preserve">FY2023 same_store_noi_net_effective: filed_10k_reit_table_value_normalized; ReitSameStoreNOINetEffective, accession 0000950170-25-021272, filed 2025-02-14, FY 2023, USD millions</t>
  </si>
  <si>
    <t xml:space="preserve">FY2023 same_store_noi_cash: filed_10k_reit_table_value_normalized; ReitSameStoreNOICash, accession 0000950170-25-021272, filed 2025-02-14, FY 2023, USD millions</t>
  </si>
  <si>
    <t xml:space="preserve">FY2023 same_store_noi_growth: missing_filed_same_store_noi_growth_fy2023; </t>
  </si>
  <si>
    <t xml:space="preserve">FY2023 occupancy: missing_filed_reit_table_line; </t>
  </si>
  <si>
    <t xml:space="preserve">FY2023 real_estate_segment_noi: filed_10k_reit_table_value_normalized; ReitRealEstateSegmentNOI, accession 0001193125-26-051453, filed 2026-02-13, FY 2023, USD thousands</t>
  </si>
  <si>
    <t xml:space="preserve">FY2023 strategic_capital_segment_noi: filed_10k_reit_table_value_normalized; ReitStrategicCapitalSegmentNOI, accession 0001193125-26-051453, filed 2026-02-13, FY 2023, USD thousands</t>
  </si>
  <si>
    <t xml:space="preserve">FY2023 common_distributions: filed_10k_reit_table_value_normalized; ReitCommonDistributions, accession 0001193125-26-051453, filed 2026-02-13, FY 2023, USD thousands</t>
  </si>
  <si>
    <t xml:space="preserve">FY2023 net_income: preferred_direct; NetIncomeLossAvailableToCommonStockholdersBasic, accession 0001193125-26-051453, filed 2026-02-13, FY 2023, USD actual</t>
  </si>
  <si>
    <t xml:space="preserve">FY2023 common_equity: preferred_direct; StockholdersEquity, accession 0000950170-25-021272, filed 2025-02-14, FY 2023, USD actual</t>
  </si>
  <si>
    <t xml:space="preserve">FY2023 cash: preferred_direct; CashAndCashEquivalentsAtCarryingValue, accession 0000950170-25-021272, filed 2025-02-14, FY 2023, USD actual</t>
  </si>
  <si>
    <t xml:space="preserve">FY2023 long_term_debt: preferred_direct; LongTermDebt, accession 0000950170-25-021272, filed 2025-02-14, FY 2023, USD actual</t>
  </si>
  <si>
    <t xml:space="preserve">FY2023 preferred_equity: preferred_direct; PreferredStockValue, accession 0000950170-25-021272, filed 2025-02-14, FY 2023, USD actual</t>
  </si>
  <si>
    <t xml:space="preserve">FY2023 non_controlling_interest: preferred_direct; MinorityInterest, accession 0000950170-25-021272, filed 2025-02-14, FY 2023, USD actual</t>
  </si>
  <si>
    <t xml:space="preserve">FY2023 diluted_shares: companyfacts_preferred_direct; us-gaap:WeightedAverageNumberOfDilutedSharesOutstanding, accession 0001193125-26-051453, filed 2026-02-13, FY 2023, shares actual</t>
  </si>
  <si>
    <t xml:space="preserve">FY2024 net_income_available_to_common: preferred_direct; NetIncomeLossAvailableToCommonStockholdersBasic, accession 0001193125-26-051453, filed 2026-02-13, FY 2024, USD actual</t>
  </si>
  <si>
    <t xml:space="preserve">FY2024 nareit_bridge_net_income: filed_10k_reit_table_value_normalized; ReitNareitBridgeNetIncome, accession 0001193125-26-051453, filed 2026-02-13, FY 2024, USD millions</t>
  </si>
  <si>
    <t xml:space="preserve">FY2024 real_estate_depreciation: filed_10k_reit_table_value_normalized; ReitRealEstateDepreciation, accession 0001193125-26-051453, filed 2026-02-13, FY 2024, USD millions</t>
  </si>
  <si>
    <t xml:space="preserve">FY2024 disposition_gains_nareit_adjustment: filed_10k_reit_table_value_normalized; ReitDispositionGainsNareitAdjustment, accession 0001193125-26-051453, filed 2026-02-13, FY 2024, USD millions</t>
  </si>
  <si>
    <t xml:space="preserve">FY2024 nci_nareit_adjustment: filed_10k_reit_table_value_normalized; ReitNciNareitAdjustment, accession 0001193125-26-051453, filed 2026-02-13, FY 2024, USD millions</t>
  </si>
  <si>
    <t xml:space="preserve">FY2024 unconsolidated_nareit_adjustment: filed_10k_reit_table_value_normalized; ReitUnconsolidatedNareitAdjustment, accession 0001193125-26-051453, filed 2026-02-13, FY 2024, USD millions</t>
  </si>
  <si>
    <t xml:space="preserve">FY2024 nareit_ffo: filed_10k_reit_table_value_normalized; ReitNareitFFO, accession 0001193125-26-051453, filed 2026-02-13, FY 2024, USD millions</t>
  </si>
  <si>
    <t xml:space="preserve">FY2024 modified_ffo_fx_adjustment: filed_10k_reit_table_value_normalized; ReitModifiedFfoFxAdjustment, accession 0001193125-26-051453, filed 2026-02-13, FY 2024, USD millions</t>
  </si>
  <si>
    <t xml:space="preserve">FY2024 modified_ffo_deferred_tax_adjustment: filed_10k_reit_table_value_normalized; ReitModifiedFfoDeferredTaxAdjustment, accession 0001193125-26-051453, filed 2026-02-13, FY 2024, USD millions</t>
  </si>
  <si>
    <t xml:space="preserve">FY2024 modified_ffo_current_tax_adjustment: filed_10k_reit_table_value_normalized; ReitModifiedFfoCurrentTaxAdjustment, accession 0000950170-25-021272, filed 2025-02-14, FY 2024, USD millions</t>
  </si>
  <si>
    <t xml:space="preserve">FY2024 modified_ffo_nci_adjustment: filed_10k_reit_table_value_normalized; ReitModifiedFfoNciAdjustment, accession 0001193125-26-051453, filed 2026-02-13, FY 2024, USD millions</t>
  </si>
  <si>
    <t xml:space="preserve">FY2024 modified_ffo_unconsolidated_adjustment: filed_10k_reit_table_value_normalized; ReitModifiedFfoUnconsolidatedAdjustment, accession 0001193125-26-051453, filed 2026-02-13, FY 2024, USD millions</t>
  </si>
  <si>
    <t xml:space="preserve">FY2024 modified_ffo: filed_10k_reit_table_value_normalized; ReitModifiedFFO, accession 0001193125-26-051453, filed 2026-02-13, FY 2024, USD millions</t>
  </si>
  <si>
    <t xml:space="preserve">FY2024 core_ffo_disposition_adjustment: filed_10k_reit_table_value_normalized; ReitCoreFfoDispositionAdjustment, accession 0001193125-26-051453, filed 2026-02-13, FY 2024, USD millions</t>
  </si>
  <si>
    <t xml:space="preserve">FY2024 core_ffo_tax_adjustment: filed_10k_reit_table_value_normalized; ReitCoreFfoTaxAdjustment, accession 0001193125-26-051453, filed 2026-02-13, FY 2024, USD millions</t>
  </si>
  <si>
    <t xml:space="preserve">FY2024 core_ffo_debt_extinguishment_adjustment: filed_10k_reit_table_value_normalized; ReitCoreFfoDebtExtinguishmentAdjustment, accession 0001193125-26-051453, filed 2026-02-13, FY 2024, USD millions</t>
  </si>
  <si>
    <t xml:space="preserve">FY2024 core_ffo_nci_adjustment: filed_10k_reit_table_value_normalized; ReitCoreFfoNciAdjustment, accession 0001193125-26-051453, filed 2026-02-13, FY 2024, USD millions</t>
  </si>
  <si>
    <t xml:space="preserve">FY2024 core_ffo_unconsolidated_adjustment: filed_10k_reit_table_value_normalized; ReitCoreFfoUnconsolidatedAdjustment, accession 0001193125-26-051453, filed 2026-02-13, FY 2024, USD millions</t>
  </si>
  <si>
    <t xml:space="preserve">FY2024 core_ffo: filed_10k_reit_table_value_normalized; ReitCoreFFO, accession 0001193125-26-051453, filed 2026-02-13, FY 2024, USD millions</t>
  </si>
  <si>
    <t xml:space="preserve">FY2024 tenant_improvements_and_lease_commissions: filed_10k_reit_table_value_normalized; ReitTenantImprovementsAndLeaseCommissions, accession 0001193125-26-051453, filed 2026-02-13, FY 2024, USD thousands</t>
  </si>
  <si>
    <t xml:space="preserve">FY2024 property_improvements: filed_10k_reit_table_value_normalized; ReitPropertyImprovements, accession 0001193125-26-051453, filed 2026-02-13, FY 2024, USD thousands</t>
  </si>
  <si>
    <t xml:space="preserve">FY2024 recurring_capex: tenant_improvements_and_lease_commissions_plus_property_improvements; ReitTenantImprovementsAndLeaseCommissions, accession 0001193125-26-051453, filed 2026-02-13, FY 2024, USD thousands; ReitPropertyImprovements, accession 0001193125-26-051453, filed 2026-02-13, FY 2024, USD thousands</t>
  </si>
  <si>
    <t xml:space="preserve">FY2024 analyst_affo: core_ffo_less_tenant_improvements_and_property_improvements; ReitCoreFFO, accession 0001193125-26-051453, filed 2026-02-13, FY 2024, USD millions; ReitTenantImprovementsAndLeaseCommissions, accession 0001193125-26-051453, filed 2026-02-13, FY 2024, USD thousands; ReitPropertyImprovements, accession 0001193125-26-051453, filed 2026-02-13, FY 2024, USD thousands</t>
  </si>
  <si>
    <t xml:space="preserve">FY2024 same_store_noi_net_effective: filed_10k_reit_table_value_normalized; ReitSameStoreNOINetEffective, accession 0001193125-26-051453, filed 2026-02-13, FY 2024, USD millions</t>
  </si>
  <si>
    <t xml:space="preserve">FY2024 same_store_noi_cash: filed_10k_reit_table_value_normalized; ReitSameStoreNOICash, accession 0001193125-26-051453, filed 2026-02-13, FY 2024, USD millions</t>
  </si>
  <si>
    <t xml:space="preserve">FY2024 same_store_noi_growth: missing_filed_same_store_noi_growth_fy2024; </t>
  </si>
  <si>
    <t xml:space="preserve">FY2024 occupancy: missing_filed_reit_table_line; </t>
  </si>
  <si>
    <t xml:space="preserve">FY2024 real_estate_segment_noi: filed_10k_reit_table_value_normalized; ReitRealEstateSegmentNOI, accession 0001193125-26-051453, filed 2026-02-13, FY 2024, USD thousands</t>
  </si>
  <si>
    <t xml:space="preserve">FY2024 strategic_capital_segment_noi: filed_10k_reit_table_value_normalized; ReitStrategicCapitalSegmentNOI, accession 0001193125-26-051453, filed 2026-02-13, FY 2024, USD thousands</t>
  </si>
  <si>
    <t xml:space="preserve">FY2024 common_distributions: filed_10k_reit_table_value_normalized; ReitCommonDistributions, accession 0001193125-26-051453, filed 2026-02-13, FY 2024, USD thousands</t>
  </si>
  <si>
    <t xml:space="preserve">FY2024 net_income: preferred_direct; NetIncomeLossAvailableToCommonStockholdersBasic, accession 0001193125-26-051453, filed 2026-02-13, FY 2024, USD actual</t>
  </si>
  <si>
    <t xml:space="preserve">FY2024 common_equity: preferred_direct; StockholdersEquity, accession 0001193125-26-051453, filed 2026-02-13, FY 2024, USD actual</t>
  </si>
  <si>
    <t xml:space="preserve">FY2024 cash: preferred_direct; CashAndCashEquivalentsAtCarryingValue, accession 0001193125-26-051453, filed 2026-02-13, FY 2024, USD actual</t>
  </si>
  <si>
    <t xml:space="preserve">FY2024 long_term_debt: preferred_direct; LongTermDebt, accession 0001193125-26-051453, filed 2026-02-13, FY 2024, USD actual</t>
  </si>
  <si>
    <t xml:space="preserve">FY2024 preferred_equity: preferred_direct; PreferredStockValue, accession 0001193125-26-051453, filed 2026-02-13, FY 2024, USD actual</t>
  </si>
  <si>
    <t xml:space="preserve">FY2024 non_controlling_interest: preferred_direct; MinorityInterest, accession 0001193125-26-051453, filed 2026-02-13, FY 2024, USD actual</t>
  </si>
  <si>
    <t xml:space="preserve">FY2024 diluted_shares: companyfacts_preferred_direct; us-gaap:WeightedAverageNumberOfDilutedSharesOutstanding, accession 0001193125-26-051453, filed 2026-02-13, FY 2024, shares actual</t>
  </si>
  <si>
    <t xml:space="preserve">FY2025 net_income_available_to_common: preferred_direct; NetIncomeLossAvailableToCommonStockholdersBasic, accession 0001193125-26-051453, filed 2026-02-13, FY 2025, USD actual</t>
  </si>
  <si>
    <t xml:space="preserve">FY2025 nareit_bridge_net_income: filed_10k_reit_table_value_normalized; ReitNareitBridgeNetIncome, accession 0001193125-26-051453, filed 2026-02-13, FY 2025, USD millions</t>
  </si>
  <si>
    <t xml:space="preserve">FY2025 real_estate_depreciation: filed_10k_reit_table_value_normalized; ReitRealEstateDepreciation, accession 0001193125-26-051453, filed 2026-02-13, FY 2025, USD millions</t>
  </si>
  <si>
    <t xml:space="preserve">FY2025 disposition_gains_nareit_adjustment: filed_10k_reit_table_value_normalized; ReitDispositionGainsNareitAdjustment, accession 0001193125-26-051453, filed 2026-02-13, FY 2025, USD millions</t>
  </si>
  <si>
    <t xml:space="preserve">FY2025 nci_nareit_adjustment: filed_10k_reit_table_value_normalized; ReitNciNareitAdjustment, accession 0001193125-26-051453, filed 2026-02-13, FY 2025, USD millions</t>
  </si>
  <si>
    <t xml:space="preserve">FY2025 unconsolidated_nareit_adjustment: filed_10k_reit_table_value_normalized; ReitUnconsolidatedNareitAdjustment, accession 0001193125-26-051453, filed 2026-02-13, FY 2025, USD millions</t>
  </si>
  <si>
    <t xml:space="preserve">FY2025 nareit_ffo: filed_10k_reit_table_value_normalized; ReitNareitFFO, accession 0001193125-26-051453, filed 2026-02-13, FY 2025, USD millions</t>
  </si>
  <si>
    <t xml:space="preserve">FY2025 modified_ffo_fx_adjustment: filed_10k_reit_table_value_normalized; ReitModifiedFfoFxAdjustment, accession 0001193125-26-051453, filed 2026-02-13, FY 2025, USD millions</t>
  </si>
  <si>
    <t xml:space="preserve">FY2025 modified_ffo_deferred_tax_adjustment: filed_10k_reit_table_value_normalized; ReitModifiedFfoDeferredTaxAdjustment, accession 0001193125-26-051453, filed 2026-02-13, FY 2025, USD millions</t>
  </si>
  <si>
    <t xml:space="preserve">FY2025 modified_ffo_current_tax_adjustment: reported_modified_ffo_less_other_disclosed_adjustments; ReitModifiedFFO, accession 0001193125-26-051453, filed 2026-02-13, FY 2025, USD millions; ReitNareitFFO, accession 0001193125-26-051453, filed 2026-02-13, FY 2025, USD millions; ReitModifiedFfoFxAdjustment, accession 0001193125-26-051453, filed 2026-02-13, FY 2025, USD millions; ReitModifiedFfoDeferredTaxAdjustment, accession 0001193125-26-051453, filed 2026-02-13, FY 2025, USD millions; ReitModifiedFfoNciAdjustment, accession 0001193125-26-051453, filed 2026-02-13, FY 2025, USD millions; ReitModifiedFfoUnconsolidatedAdjustment, accession 0001193125-26-051453, filed 2026-02-13, FY 2025, USD millions</t>
  </si>
  <si>
    <t xml:space="preserve">FY2025 modified_ffo_nci_adjustment: filed_10k_reit_table_value_normalized; ReitModifiedFfoNciAdjustment, accession 0001193125-26-051453, filed 2026-02-13, FY 2025, USD millions</t>
  </si>
  <si>
    <t xml:space="preserve">FY2025 modified_ffo_unconsolidated_adjustment: filed_10k_reit_table_value_normalized; ReitModifiedFfoUnconsolidatedAdjustment, accession 0001193125-26-051453, filed 2026-02-13, FY 2025, USD millions</t>
  </si>
  <si>
    <t xml:space="preserve">FY2025 modified_ffo: filed_10k_reit_table_value_normalized; ReitModifiedFFO, accession 0001193125-26-051453, filed 2026-02-13, FY 2025, USD millions</t>
  </si>
  <si>
    <t xml:space="preserve">FY2025 core_ffo_disposition_adjustment: filed_10k_reit_table_value_normalized; ReitCoreFfoDispositionAdjustment, accession 0001193125-26-051453, filed 2026-02-13, FY 2025, USD millions</t>
  </si>
  <si>
    <t xml:space="preserve">FY2025 core_ffo_tax_adjustment: filed_10k_reit_table_value_normalized; ReitCoreFfoTaxAdjustment, accession 0001193125-26-051453, filed 2026-02-13, FY 2025, USD millions</t>
  </si>
  <si>
    <t xml:space="preserve">FY2025 core_ffo_debt_extinguishment_adjustment: filed_10k_reit_table_value_normalized; ReitCoreFfoDebtExtinguishmentAdjustment, accession 0001193125-26-051453, filed 2026-02-13, FY 2025, USD millions</t>
  </si>
  <si>
    <t xml:space="preserve">FY2025 core_ffo_nci_adjustment: filed_10k_reit_table_value_normalized; ReitCoreFfoNciAdjustment, accession 0001193125-26-051453, filed 2026-02-13, FY 2025, USD millions</t>
  </si>
  <si>
    <t xml:space="preserve">FY2025 core_ffo_unconsolidated_adjustment: filed_10k_reit_table_value_normalized; ReitCoreFfoUnconsolidatedAdjustment, accession 0001193125-26-051453, filed 2026-02-13, FY 2025, USD millions</t>
  </si>
  <si>
    <t xml:space="preserve">FY2025 core_ffo: filed_10k_reit_table_value_normalized; ReitCoreFFO, accession 0001193125-26-051453, filed 2026-02-13, FY 2025, USD millions</t>
  </si>
  <si>
    <t xml:space="preserve">FY2025 tenant_improvements_and_lease_commissions: filed_10k_reit_table_value_normalized; ReitTenantImprovementsAndLeaseCommissions, accession 0001193125-26-051453, filed 2026-02-13, FY 2025, USD thousands</t>
  </si>
  <si>
    <t xml:space="preserve">FY2025 property_improvements: filed_10k_reit_table_value_normalized; ReitPropertyImprovements, accession 0001193125-26-051453, filed 2026-02-13, FY 2025, USD thousands</t>
  </si>
  <si>
    <t xml:space="preserve">FY2025 recurring_capex: tenant_improvements_and_lease_commissions_plus_property_improvements; ReitTenantImprovementsAndLeaseCommissions, accession 0001193125-26-051453, filed 2026-02-13, FY 2025, USD thousands; ReitPropertyImprovements, accession 0001193125-26-051453, filed 2026-02-13, FY 2025, USD thousands</t>
  </si>
  <si>
    <t xml:space="preserve">FY2025 analyst_affo: core_ffo_less_tenant_improvements_and_property_improvements; ReitCoreFFO, accession 0001193125-26-051453, filed 2026-02-13, FY 2025, USD millions; ReitTenantImprovementsAndLeaseCommissions, accession 0001193125-26-051453, filed 2026-02-13, FY 2025, USD thousands; ReitPropertyImprovements, accession 0001193125-26-051453, filed 2026-02-13, FY 2025, USD thousands</t>
  </si>
  <si>
    <t xml:space="preserve">FY2025 same_store_noi_net_effective: filed_10k_reit_table_value_normalized; ReitSameStoreNOINetEffective, accession 0001193125-26-051453, filed 2026-02-13, FY 2025, USD millions</t>
  </si>
  <si>
    <t xml:space="preserve">FY2025 same_store_noi_cash: filed_10k_reit_table_value_normalized; ReitSameStoreNOICash, accession 0001193125-26-051453, filed 2026-02-13, FY 2025, USD millions</t>
  </si>
  <si>
    <t xml:space="preserve">FY2025 same_store_noi_growth: filed_same_store_noi_current_year_over_prior_year_less_one; ReitSameStoreNOINetEffective, accession 0001193125-26-051453, filed 2026-02-13, FY 2025, USD millions; ReitSameStoreNOINetEffective, accession 0001193125-26-051453, filed 2026-02-13, FY 2024, USD millions</t>
  </si>
  <si>
    <t xml:space="preserve">FY2025 occupancy: filed_10k_reit_table_value_normalized; ReitOccupancy, accession 0001193125-26-051453, filed 2026-02-13, FY 2025, percent percent</t>
  </si>
  <si>
    <t xml:space="preserve">FY2025 real_estate_segment_noi: filed_10k_reit_table_value_normalized; ReitRealEstateSegmentNOI, accession 0001193125-26-051453, filed 2026-02-13, FY 2025, USD thousands</t>
  </si>
  <si>
    <t xml:space="preserve">FY2025 strategic_capital_segment_noi: filed_10k_reit_table_value_normalized; ReitStrategicCapitalSegmentNOI, accession 0001193125-26-051453, filed 2026-02-13, FY 2025, USD thousands</t>
  </si>
  <si>
    <t xml:space="preserve">FY2025 common_distributions: filed_10k_reit_table_value_normalized; ReitCommonDistributions, accession 0001193125-26-051453, filed 2026-02-13, FY 2025, USD thousands</t>
  </si>
  <si>
    <t xml:space="preserve">FY2025 net_income: preferred_direct; NetIncomeLossAvailableToCommonStockholdersBasic, accession 0001193125-26-051453, filed 2026-02-13, FY 2025, USD actual</t>
  </si>
  <si>
    <t xml:space="preserve">FY2025 common_equity: preferred_direct; StockholdersEquity, accession 0001193125-26-051453, filed 2026-02-13, FY 2025, USD actual</t>
  </si>
  <si>
    <t xml:space="preserve">FY2025 cash: preferred_direct; CashAndCashEquivalentsAtCarryingValue, accession 0001193125-26-051453, filed 2026-02-13, FY 2025, USD actual</t>
  </si>
  <si>
    <t xml:space="preserve">FY2025 long_term_debt: preferred_direct; LongTermDebt, accession 0001193125-26-051453, filed 2026-02-13, FY 2025, USD actual</t>
  </si>
  <si>
    <t xml:space="preserve">FY2025 preferred_equity: preferred_direct; PreferredStockValue, accession 0001193125-26-051453, filed 2026-02-13, FY 2025, USD actual</t>
  </si>
  <si>
    <t xml:space="preserve">FY2025 non_controlling_interest: preferred_direct; MinorityInterest, accession 0001193125-26-051453, filed 2026-02-13, FY 2025, USD actual</t>
  </si>
  <si>
    <t xml:space="preserve">FY2025 diluted_shares: companyfacts_preferred_direct; us-gaap:WeightedAverageNumberOfDilutedSharesOutstanding, accession 0001193125-26-051453, filed 2026-02-13, FY 2025, shares actual</t>
  </si>
  <si>
    <t xml:space="preserve">sameStoreNoiGrowth assumption source: FY2025 filed_same_store_noi_current_year_over_prior_year_less_one: ReitSameStoreNOINetEffective accession 0001193125-26-051453 filed 2026-02-13 FY 2025; ReitSameStoreNOINetEffective accession 0001193125-26-051453 filed 2026-02-13 FY 2024 Used as a forecast proxy for portfolio NOI and Core FFO/AFFO growth..</t>
  </si>
  <si>
    <t xml:space="preserve">targetOccupancy assumption source: FY2025 filed_10k_reit_table_value_normalized: ReitOccupancy accession 0001193125-26-051453 filed 2026-02-13 FY 2025 Held constant in the base case; changing it creates a one-time occupancy level sensitivity..</t>
  </si>
  <si>
    <t xml:space="preserve">recurringCapexRatio assumption source: FY2025 filed tenant improvements, lease commissions, and property improvements divided by Core FFO; all property-improvement spending is treated as recurring in this analyst AFFO definition..</t>
  </si>
  <si>
    <t xml:space="preserve">payoutRatio assumption source: FY2025 filed common-and-preferred cash distributions divided by analyst-defined AFFO; the filing does not separately isolate preferred cash dividends in this cash-flow line..</t>
  </si>
  <si>
    <t xml:space="preserve">terminalGrowthRate assumption source: Analyst input: 2.5% perpetual AFFO growth, editable in the workbook..</t>
  </si>
  <si>
    <t xml:space="preserve">navCapRate assumption source: Market-implied capitalization rate: FY2025 reported real-estate segment NOI divided by current market capitalization plus long-term debt, preferred equity, and noncontrolling interest, less cash. This is a circular NAV cross-check, not an independent cap-rate estimate..</t>
  </si>
  <si>
    <t xml:space="preserve">Risk-free rate 0.0528 from live; equity risk premium 0.0838 from live; beta 1.32 from openbb_yfinance; market context as of 2026-10-03.</t>
  </si>
  <si>
    <t xml:space="preserve">Primary valuation discounts analyst-defined AFFO to common equity at cost of equity; enterprise value is not applicable.</t>
  </si>
  <si>
    <t xml:space="preserve">Financial statements are annual through FY2025; interim filings are not included. Review current-year forecasts against the latest SEC quarterly results.</t>
  </si>
  <si>
    <t xml:space="preserve">Market context as of 2026-10-03</t>
  </si>
  <si>
    <t xml:space="preserve">financials: edgartools_native</t>
  </si>
  <si>
    <t xml:space="preserve">profile: SEC Edgar</t>
  </si>
  <si>
    <t xml:space="preserve">market_data: openbb_yfinance</t>
  </si>
  <si>
    <t xml:space="preserve">market_context: backend_canonical_valuation_context</t>
  </si>
  <si>
    <t xml:space="preserve">peers: backend_peer_pipeline</t>
  </si>
  <si>
    <t xml:space="preserve">insider_trades: lazy_optional</t>
  </si>
  <si>
    <t xml:space="preserve">FFO/AFFO</t>
  </si>
  <si>
    <t xml:space="preserve">Analyst AFFO equals reported Core FFO less tenant improvements, lease commissions, and all property improvements treated as recurring.</t>
  </si>
  <si>
    <t xml:space="preserve">NAV</t>
  </si>
  <si>
    <t xml:space="preserve">The selected cap rate begins at the current market-implied cap rate. This NAV cross-check excludes the Strategic Capital segment and other corporate/non-property assets and liabilities.</t>
  </si>
  <si>
    <t xml:space="preserve">Distributions</t>
  </si>
  <si>
    <t xml:space="preserve">The reported cash-flow line combines common and preferred dividends; the payout ratio includes both because separate preferred cash dividends are not disclosed in that line.</t>
  </si>
  <si>
    <t xml:space="preserve">Shares</t>
  </si>
  <si>
    <t xml:space="preserve">Per-share valuation uses the latest filed weighted-average diluted shares, not period-end shares.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</si>
</sst>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* #,##0.00_-;\-* #,##0.00_-;_-* \-??_-;_-@_-"/>
    <numFmt numFmtId="166" formatCode="_-\$* #,##0.00_-;&quot;-$&quot;* #,##0.00_-;_-\$* \-??_-;_-@_-"/>
    <numFmt numFmtId="167" formatCode="0%"/>
    <numFmt numFmtId="168" formatCode="#,##0.0,,;[RED]\(#,##0.0,,\);\-"/>
    <numFmt numFmtId="169" formatCode="0.0%;[RED]\(0.0%\);\-"/>
    <numFmt numFmtId="170" formatCode="0.00"/>
    <numFmt numFmtId="171" formatCode="\$#,##0.00;[RED]&quot;($&quot;#,##0.00\);\-"/>
    <numFmt numFmtId="172" formatCode="0.00\x"/>
  </numFmts>
  <fonts count="2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Aptos Narrow"/>
      <family val="2"/>
      <charset val="1"/>
    </font>
    <font>
      <sz val="8"/>
      <name val="Arial"/>
      <family val="2"/>
      <charset val="1"/>
    </font>
    <font>
      <sz val="11"/>
      <color rgb="FF000000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sz val="10"/>
      <color rgb="FF000000"/>
      <name val="Times New Roman"/>
      <family val="1"/>
      <charset val="1"/>
    </font>
    <font>
      <sz val="9"/>
      <color theme="1"/>
      <name val="Arial"/>
      <family val="2"/>
      <charset val="1"/>
    </font>
    <font>
      <sz val="8"/>
      <color theme="1"/>
      <name val="Arial"/>
      <family val="2"/>
      <charset val="1"/>
    </font>
    <font>
      <sz val="10"/>
      <color rgb="FF000000"/>
      <name val="Aptos Narrow"/>
      <family val="2"/>
      <charset val="1"/>
    </font>
    <font>
      <sz val="10"/>
      <color theme="1"/>
      <name val="Trebuchet MS"/>
      <family val="2"/>
      <charset val="1"/>
    </font>
    <font>
      <sz val="9"/>
      <color rgb="FF000000"/>
      <name val="Arial"/>
      <family val="2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0"/>
      <color rgb="FF17365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sz val="10"/>
      <name val="Arial"/>
      <family val="2"/>
    </font>
    <font>
      <i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  <fill>
      <patternFill patternType="solid">
        <fgColor rgb="FFD9EAF7"/>
        <bgColor rgb="FFDDEBF7"/>
      </patternFill>
    </fill>
    <fill>
      <patternFill patternType="solid">
        <fgColor rgb="FF365F91"/>
        <bgColor rgb="FF333399"/>
      </patternFill>
    </fill>
    <fill>
      <patternFill patternType="solid">
        <fgColor rgb="FFE2F0D9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9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5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0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20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21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1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21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1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0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3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FE" xfId="20"/>
    <cellStyle name="Comma 2" xfId="21"/>
    <cellStyle name="Comma 3" xfId="22"/>
    <cellStyle name="Comma 4" xfId="23"/>
    <cellStyle name="Comma 4 2" xfId="24"/>
    <cellStyle name="Comma 5" xfId="25"/>
    <cellStyle name="Comma 6" xfId="26"/>
    <cellStyle name="Currency 2" xfId="27"/>
    <cellStyle name="Currency 4" xfId="28"/>
    <cellStyle name="HeaderCellStyle" xfId="29"/>
    <cellStyle name="Normal 10" xfId="30"/>
    <cellStyle name="Normal 17" xfId="31"/>
    <cellStyle name="Normal 18" xfId="32"/>
    <cellStyle name="Normal 2" xfId="33"/>
    <cellStyle name="Normal 2 2" xfId="34"/>
    <cellStyle name="Normal 2 2 2" xfId="35"/>
    <cellStyle name="Normal 2 3" xfId="36"/>
    <cellStyle name="Normal 3" xfId="37"/>
    <cellStyle name="Normal 3 2 3" xfId="38"/>
    <cellStyle name="Normal 3 2 3 2" xfId="39"/>
    <cellStyle name="Normal 4" xfId="40"/>
    <cellStyle name="Normal 5" xfId="41"/>
    <cellStyle name="Normal 5 2" xfId="42"/>
    <cellStyle name="Normal 5 3" xfId="43"/>
    <cellStyle name="Normal 5 4" xfId="44"/>
    <cellStyle name="Normal 6" xfId="45"/>
    <cellStyle name="Normal 7" xfId="46"/>
    <cellStyle name="Normal 8" xfId="47"/>
    <cellStyle name="Normal_Ch01 Pics v2.2" xfId="48"/>
    <cellStyle name="Percent 2" xfId="49"/>
    <cellStyle name="Percent 3" xfId="50"/>
  </cellStyles>
  <dxfs count="10">
    <dxf>
      <fill>
        <patternFill patternType="solid">
          <fgColor rgb="FF17365D"/>
          <bgColor rgb="FF000000"/>
        </patternFill>
      </fill>
    </dxf>
    <dxf>
      <fill>
        <patternFill patternType="solid">
          <fgColor rgb="FF365F91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365F91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7" topLeftCell="B68" activePane="bottomRight" state="frozen"/>
      <selection pane="topLeft" activeCell="A1" activeCellId="0" sqref="A1"/>
      <selection pane="topRight" activeCell="B1" activeCellId="0" sqref="B1"/>
      <selection pane="bottomLeft" activeCell="A68" activeCellId="0" sqref="A68"/>
      <selection pane="bottomRigh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9"/>
    <col collapsed="false" customWidth="true" hidden="false" outlineLevel="0" max="7" min="3" style="0" width="17"/>
    <col collapsed="false" customWidth="true" hidden="false" outlineLevel="0" max="8" min="8" style="0" width="34"/>
    <col collapsed="false" customWidth="true" hidden="false" outlineLevel="0" max="9" min="9" style="0" width="24"/>
    <col collapsed="false" customWidth="true" hidden="false" outlineLevel="0" max="11" min="10" style="0" width="16"/>
    <col collapsed="false" customWidth="true" hidden="false" outlineLevel="0" max="12" min="12" style="0" width="3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 t="s">
        <v>2</v>
      </c>
      <c r="B3" s="3"/>
      <c r="C3" s="3"/>
      <c r="D3" s="3"/>
    </row>
    <row r="4" customFormat="false" ht="15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</row>
    <row r="5" customFormat="false" ht="15" hidden="false" customHeight="false" outlineLevel="0" collapsed="false">
      <c r="A5" s="5" t="s">
        <v>7</v>
      </c>
      <c r="B5" s="6" t="n">
        <v>3053000000</v>
      </c>
      <c r="C5" s="6" t="n">
        <v>3726000000</v>
      </c>
      <c r="D5" s="6" t="n">
        <v>3322000000</v>
      </c>
    </row>
    <row r="6" customFormat="false" ht="15" hidden="false" customHeight="false" outlineLevel="0" collapsed="false">
      <c r="A6" s="5" t="s">
        <v>8</v>
      </c>
      <c r="B6" s="6" t="n">
        <v>2434000000</v>
      </c>
      <c r="C6" s="6" t="n">
        <v>2504000000</v>
      </c>
      <c r="D6" s="6" t="n">
        <v>2539000000</v>
      </c>
    </row>
    <row r="7" customFormat="false" ht="15" hidden="false" customHeight="false" outlineLevel="0" collapsed="false">
      <c r="A7" s="5" t="s">
        <v>9</v>
      </c>
      <c r="B7" s="6" t="n">
        <v>-158000000</v>
      </c>
      <c r="C7" s="6" t="n">
        <v>-899000000</v>
      </c>
      <c r="D7" s="6" t="n">
        <v>-685000000</v>
      </c>
    </row>
    <row r="8" customFormat="false" ht="15" hidden="false" customHeight="false" outlineLevel="0" collapsed="false">
      <c r="A8" s="5" t="s">
        <v>10</v>
      </c>
      <c r="B8" s="6" t="n">
        <v>-38000000</v>
      </c>
      <c r="C8" s="6" t="n">
        <v>-31000000</v>
      </c>
      <c r="D8" s="6" t="n">
        <v>-47000000</v>
      </c>
    </row>
    <row r="9" customFormat="false" ht="15" hidden="false" customHeight="false" outlineLevel="0" collapsed="false">
      <c r="A9" s="5" t="s">
        <v>11</v>
      </c>
      <c r="B9" s="6" t="n">
        <v>455000000</v>
      </c>
      <c r="C9" s="6" t="n">
        <v>495000000</v>
      </c>
      <c r="D9" s="6" t="n">
        <v>551000000</v>
      </c>
    </row>
    <row r="10" customFormat="false" ht="15" hidden="false" customHeight="false" outlineLevel="0" collapsed="false">
      <c r="A10" s="5" t="s">
        <v>12</v>
      </c>
      <c r="B10" s="7" t="n">
        <f aca="false">SUM(B5:B9)</f>
        <v>5746000000</v>
      </c>
      <c r="C10" s="7" t="n">
        <f aca="false">SUM(C5:C9)</f>
        <v>5795000000</v>
      </c>
      <c r="D10" s="7" t="n">
        <f aca="false">SUM(D5:D9)</f>
        <v>5680000000</v>
      </c>
    </row>
    <row r="11" customFormat="false" ht="15" hidden="false" customHeight="false" outlineLevel="0" collapsed="false">
      <c r="A11" s="5" t="s">
        <v>13</v>
      </c>
      <c r="B11" s="6" t="n">
        <v>5746000000</v>
      </c>
      <c r="C11" s="6" t="n">
        <v>5795000000</v>
      </c>
      <c r="D11" s="6" t="n">
        <v>5680000000</v>
      </c>
    </row>
    <row r="12" customFormat="false" ht="15" hidden="false" customHeight="false" outlineLevel="0" collapsed="false">
      <c r="A12" s="5" t="s">
        <v>14</v>
      </c>
      <c r="B12" s="7" t="n">
        <f aca="false">B10-B11</f>
        <v>0</v>
      </c>
      <c r="C12" s="7" t="n">
        <f aca="false">C10-C11</f>
        <v>0</v>
      </c>
      <c r="D12" s="7" t="n">
        <f aca="false">D10-D11</f>
        <v>0</v>
      </c>
    </row>
    <row r="13" customFormat="false" ht="15" hidden="false" customHeight="false" outlineLevel="0" collapsed="false">
      <c r="A13" s="5" t="s">
        <v>15</v>
      </c>
      <c r="B13" s="6" t="n">
        <v>18000000</v>
      </c>
      <c r="C13" s="6" t="n">
        <v>-68000000</v>
      </c>
      <c r="D13" s="6" t="n">
        <v>125000000</v>
      </c>
    </row>
    <row r="14" customFormat="false" ht="15" hidden="false" customHeight="false" outlineLevel="0" collapsed="false">
      <c r="A14" s="5" t="s">
        <v>16</v>
      </c>
      <c r="B14" s="6" t="n">
        <v>18000000</v>
      </c>
      <c r="C14" s="6" t="n">
        <v>21000000</v>
      </c>
      <c r="D14" s="6" t="n">
        <v>4000000</v>
      </c>
    </row>
    <row r="15" customFormat="false" ht="15" hidden="false" customHeight="false" outlineLevel="0" collapsed="false">
      <c r="A15" s="5" t="s">
        <v>17</v>
      </c>
      <c r="B15" s="6" t="n">
        <v>-11000000</v>
      </c>
      <c r="C15" s="6" t="n">
        <v>0</v>
      </c>
      <c r="D15" s="6" t="n">
        <v>0</v>
      </c>
    </row>
    <row r="16" customFormat="false" ht="15" hidden="false" customHeight="false" outlineLevel="0" collapsed="false">
      <c r="A16" s="5" t="s">
        <v>18</v>
      </c>
      <c r="B16" s="6" t="n">
        <v>0</v>
      </c>
      <c r="C16" s="6" t="n">
        <v>0</v>
      </c>
      <c r="D16" s="6" t="n">
        <v>-1000000</v>
      </c>
    </row>
    <row r="17" customFormat="false" ht="15" hidden="false" customHeight="false" outlineLevel="0" collapsed="false">
      <c r="A17" s="5" t="s">
        <v>19</v>
      </c>
      <c r="B17" s="6" t="n">
        <v>-11000000</v>
      </c>
      <c r="C17" s="6" t="n">
        <v>-7000000</v>
      </c>
      <c r="D17" s="6" t="n">
        <v>-29000000</v>
      </c>
    </row>
    <row r="18" customFormat="false" ht="15" hidden="false" customHeight="false" outlineLevel="0" collapsed="false">
      <c r="A18" s="5" t="s">
        <v>20</v>
      </c>
      <c r="B18" s="7" t="n">
        <f aca="false">SUM(B11,B13:B17)</f>
        <v>5760000000</v>
      </c>
      <c r="C18" s="7" t="n">
        <f aca="false">SUM(C11,C13:C17)</f>
        <v>5741000000</v>
      </c>
      <c r="D18" s="7" t="n">
        <f aca="false">SUM(D11,D13:D17)</f>
        <v>5779000000</v>
      </c>
    </row>
    <row r="19" customFormat="false" ht="15" hidden="false" customHeight="false" outlineLevel="0" collapsed="false">
      <c r="A19" s="5" t="s">
        <v>21</v>
      </c>
      <c r="B19" s="6" t="n">
        <v>5760000000</v>
      </c>
      <c r="C19" s="6" t="n">
        <v>5741000000</v>
      </c>
      <c r="D19" s="6" t="n">
        <v>5779000000</v>
      </c>
    </row>
    <row r="20" customFormat="false" ht="15" hidden="false" customHeight="false" outlineLevel="0" collapsed="false">
      <c r="A20" s="5" t="s">
        <v>22</v>
      </c>
      <c r="B20" s="7" t="n">
        <f aca="false">B18-B19</f>
        <v>0</v>
      </c>
      <c r="C20" s="7" t="n">
        <f aca="false">C18-C19</f>
        <v>0</v>
      </c>
      <c r="D20" s="7" t="n">
        <f aca="false">D18-D19</f>
        <v>0</v>
      </c>
    </row>
    <row r="21" customFormat="false" ht="15" hidden="false" customHeight="false" outlineLevel="0" collapsed="false">
      <c r="A21" s="5" t="s">
        <v>23</v>
      </c>
      <c r="B21" s="6" t="n">
        <v>-462000000</v>
      </c>
      <c r="C21" s="6" t="n">
        <v>-414000000</v>
      </c>
      <c r="D21" s="6" t="n">
        <v>-258000000</v>
      </c>
    </row>
    <row r="22" customFormat="false" ht="15" hidden="false" customHeight="false" outlineLevel="0" collapsed="false">
      <c r="A22" s="5" t="s">
        <v>24</v>
      </c>
      <c r="B22" s="6" t="n">
        <v>36000000</v>
      </c>
      <c r="C22" s="6" t="n">
        <v>25000000</v>
      </c>
      <c r="D22" s="6" t="n">
        <v>26000000</v>
      </c>
    </row>
    <row r="23" customFormat="false" ht="15" hidden="false" customHeight="false" outlineLevel="0" collapsed="false">
      <c r="A23" s="5" t="s">
        <v>25</v>
      </c>
      <c r="B23" s="6" t="n">
        <v>-3000000</v>
      </c>
      <c r="C23" s="6" t="n">
        <v>-1000000</v>
      </c>
      <c r="D23" s="6" t="n">
        <v>3000000</v>
      </c>
    </row>
    <row r="24" customFormat="false" ht="15" hidden="false" customHeight="false" outlineLevel="0" collapsed="false">
      <c r="A24" s="5" t="s">
        <v>26</v>
      </c>
      <c r="B24" s="6" t="n">
        <v>9000000</v>
      </c>
      <c r="C24" s="6" t="n">
        <v>6000000</v>
      </c>
      <c r="D24" s="6" t="n">
        <v>15000000</v>
      </c>
    </row>
    <row r="25" customFormat="false" ht="15" hidden="false" customHeight="false" outlineLevel="0" collapsed="false">
      <c r="A25" s="5" t="s">
        <v>27</v>
      </c>
      <c r="B25" s="6" t="n">
        <v>-6000000</v>
      </c>
      <c r="C25" s="6" t="n">
        <v>-52000000</v>
      </c>
      <c r="D25" s="6" t="n">
        <v>-4000000</v>
      </c>
    </row>
    <row r="26" customFormat="false" ht="15" hidden="false" customHeight="false" outlineLevel="0" collapsed="false">
      <c r="A26" s="5" t="s">
        <v>28</v>
      </c>
      <c r="B26" s="7" t="n">
        <f aca="false">SUM(B19,B21:B25)</f>
        <v>5334000000</v>
      </c>
      <c r="C26" s="7" t="n">
        <f aca="false">SUM(C19,C21:C25)</f>
        <v>5305000000</v>
      </c>
      <c r="D26" s="7" t="n">
        <f aca="false">SUM(D19,D21:D25)</f>
        <v>5561000000</v>
      </c>
    </row>
    <row r="27" customFormat="false" ht="15" hidden="false" customHeight="false" outlineLevel="0" collapsed="false">
      <c r="A27" s="5" t="s">
        <v>29</v>
      </c>
      <c r="B27" s="6" t="n">
        <v>5334000000</v>
      </c>
      <c r="C27" s="6" t="n">
        <v>5305000000</v>
      </c>
      <c r="D27" s="6" t="n">
        <v>5561000000</v>
      </c>
    </row>
    <row r="28" customFormat="false" ht="15" hidden="false" customHeight="false" outlineLevel="0" collapsed="false">
      <c r="A28" s="5" t="s">
        <v>30</v>
      </c>
      <c r="B28" s="7" t="n">
        <f aca="false">B26-B27</f>
        <v>0</v>
      </c>
      <c r="C28" s="7" t="n">
        <f aca="false">C26-C27</f>
        <v>0</v>
      </c>
      <c r="D28" s="7" t="n">
        <f aca="false">D26-D27</f>
        <v>0</v>
      </c>
    </row>
    <row r="29" customFormat="false" ht="15" hidden="false" customHeight="false" outlineLevel="0" collapsed="false">
      <c r="A29" s="5" t="s">
        <v>31</v>
      </c>
      <c r="B29" s="6" t="n">
        <v>388814000</v>
      </c>
      <c r="C29" s="6" t="n">
        <v>499927000</v>
      </c>
      <c r="D29" s="6" t="n">
        <v>562197000</v>
      </c>
    </row>
    <row r="30" customFormat="false" ht="15" hidden="false" customHeight="false" outlineLevel="0" collapsed="false">
      <c r="A30" s="5" t="s">
        <v>32</v>
      </c>
      <c r="B30" s="6" t="n">
        <v>303042000</v>
      </c>
      <c r="C30" s="6" t="n">
        <v>386481000</v>
      </c>
      <c r="D30" s="6" t="n">
        <v>327355000</v>
      </c>
    </row>
    <row r="31" customFormat="false" ht="15" hidden="false" customHeight="false" outlineLevel="0" collapsed="false">
      <c r="A31" s="5" t="s">
        <v>33</v>
      </c>
      <c r="B31" s="7" t="n">
        <f aca="false">SUM(B29:B30)</f>
        <v>691856000</v>
      </c>
      <c r="C31" s="7" t="n">
        <f aca="false">SUM(C29:C30)</f>
        <v>886408000</v>
      </c>
      <c r="D31" s="7" t="n">
        <f aca="false">SUM(D29:D30)</f>
        <v>889552000</v>
      </c>
    </row>
    <row r="32" customFormat="false" ht="15" hidden="false" customHeight="false" outlineLevel="0" collapsed="false">
      <c r="A32" s="5" t="s">
        <v>34</v>
      </c>
      <c r="B32" s="7" t="n">
        <f aca="false">B27-B31</f>
        <v>4642144000</v>
      </c>
      <c r="C32" s="7" t="n">
        <f aca="false">C27-C31</f>
        <v>4418592000</v>
      </c>
      <c r="D32" s="7" t="n">
        <f aca="false">D27-D31</f>
        <v>4671448000</v>
      </c>
    </row>
    <row r="33" customFormat="false" ht="15" hidden="false" customHeight="false" outlineLevel="0" collapsed="false">
      <c r="A33" s="5" t="s">
        <v>35</v>
      </c>
      <c r="B33" s="6" t="n">
        <v>1315000000</v>
      </c>
      <c r="C33" s="6" t="n">
        <v>1484000000</v>
      </c>
      <c r="D33" s="6" t="n">
        <v>1554000000</v>
      </c>
    </row>
    <row r="34" customFormat="false" ht="15" hidden="false" customHeight="false" outlineLevel="0" collapsed="false">
      <c r="A34" s="5" t="s">
        <v>36</v>
      </c>
      <c r="B34" s="6" t="n">
        <v>1200000000</v>
      </c>
      <c r="C34" s="6" t="n">
        <v>1350000000</v>
      </c>
      <c r="D34" s="6" t="n">
        <v>1427000000</v>
      </c>
    </row>
    <row r="35" customFormat="false" ht="15" hidden="false" customHeight="false" outlineLevel="0" collapsed="false">
      <c r="A35" s="5" t="s">
        <v>37</v>
      </c>
      <c r="D35" s="8" t="n">
        <v>0.956</v>
      </c>
    </row>
    <row r="36" customFormat="false" ht="15" hidden="false" customHeight="false" outlineLevel="0" collapsed="false">
      <c r="A36" s="5" t="s">
        <v>38</v>
      </c>
      <c r="B36" s="6" t="n">
        <v>5145090000</v>
      </c>
      <c r="C36" s="6" t="n">
        <v>5717274000</v>
      </c>
      <c r="D36" s="6" t="n">
        <v>6187608000</v>
      </c>
    </row>
    <row r="37" customFormat="false" ht="15" hidden="false" customHeight="false" outlineLevel="0" collapsed="false">
      <c r="A37" s="5" t="s">
        <v>39</v>
      </c>
      <c r="B37" s="6" t="n">
        <v>814690000</v>
      </c>
      <c r="C37" s="6" t="n">
        <v>380051000</v>
      </c>
      <c r="D37" s="6" t="n">
        <v>321836000</v>
      </c>
    </row>
    <row r="38" customFormat="false" ht="15" hidden="false" customHeight="false" outlineLevel="0" collapsed="false">
      <c r="A38" s="5" t="s">
        <v>40</v>
      </c>
      <c r="B38" s="6" t="n">
        <v>3228589000</v>
      </c>
      <c r="C38" s="6" t="n">
        <v>3570480000</v>
      </c>
      <c r="D38" s="6" t="n">
        <v>3764745000</v>
      </c>
    </row>
    <row r="39" customFormat="false" ht="15" hidden="false" customHeight="false" outlineLevel="0" collapsed="false">
      <c r="A39" s="5" t="s">
        <v>41</v>
      </c>
      <c r="B39" s="6" t="n">
        <v>3053373000</v>
      </c>
      <c r="C39" s="6" t="n">
        <v>3725754000</v>
      </c>
      <c r="D39" s="6" t="n">
        <v>3322349000</v>
      </c>
    </row>
    <row r="40" customFormat="false" ht="15" hidden="false" customHeight="false" outlineLevel="0" collapsed="false">
      <c r="A40" s="5" t="s">
        <v>42</v>
      </c>
      <c r="B40" s="6" t="n">
        <v>53181724000</v>
      </c>
      <c r="C40" s="6" t="n">
        <v>53951138000</v>
      </c>
      <c r="D40" s="6" t="n">
        <v>53193178000</v>
      </c>
    </row>
    <row r="41" customFormat="false" ht="15" hidden="false" customHeight="false" outlineLevel="0" collapsed="false">
      <c r="A41" s="5" t="s">
        <v>43</v>
      </c>
      <c r="B41" s="6" t="n">
        <v>530388000</v>
      </c>
      <c r="C41" s="6" t="n">
        <v>1318591000</v>
      </c>
      <c r="D41" s="6" t="n">
        <v>1145647000</v>
      </c>
    </row>
    <row r="42" customFormat="false" ht="15" hidden="false" customHeight="false" outlineLevel="0" collapsed="false">
      <c r="A42" s="5" t="s">
        <v>44</v>
      </c>
      <c r="B42" s="6" t="n">
        <v>29000501000</v>
      </c>
      <c r="C42" s="6" t="n">
        <v>30879263000</v>
      </c>
      <c r="D42" s="6" t="n">
        <v>35037073000</v>
      </c>
    </row>
    <row r="43" customFormat="false" ht="15" hidden="false" customHeight="false" outlineLevel="0" collapsed="false">
      <c r="A43" s="5" t="s">
        <v>45</v>
      </c>
      <c r="B43" s="6" t="n">
        <v>63948000</v>
      </c>
      <c r="C43" s="6" t="n">
        <v>63948000</v>
      </c>
      <c r="D43" s="6" t="n">
        <v>63948000</v>
      </c>
    </row>
    <row r="44" customFormat="false" ht="15" hidden="false" customHeight="false" outlineLevel="0" collapsed="false">
      <c r="A44" s="5" t="s">
        <v>46</v>
      </c>
      <c r="B44" s="6" t="n">
        <v>4641996000</v>
      </c>
      <c r="C44" s="6" t="n">
        <v>4665632000</v>
      </c>
      <c r="D44" s="6" t="n">
        <v>4560830000</v>
      </c>
    </row>
    <row r="45" customFormat="false" ht="15" hidden="false" customHeight="false" outlineLevel="0" collapsed="false">
      <c r="A45" s="5" t="s">
        <v>47</v>
      </c>
      <c r="B45" s="6" t="n">
        <v>951791000</v>
      </c>
      <c r="C45" s="6" t="n">
        <v>953590000</v>
      </c>
      <c r="D45" s="6" t="n">
        <v>956832000</v>
      </c>
    </row>
    <row r="46" customFormat="false" ht="15" hidden="false" customHeight="false" outlineLevel="0" collapsed="false">
      <c r="A46" s="5" t="s">
        <v>48</v>
      </c>
      <c r="D46" s="9" t="n">
        <f aca="false">D33/C33-1</f>
        <v>0.0471698113207548</v>
      </c>
    </row>
    <row r="48" customFormat="false" ht="15" hidden="false" customHeight="false" outlineLevel="0" collapsed="false">
      <c r="A48" s="3" t="s">
        <v>49</v>
      </c>
      <c r="B48" s="3"/>
    </row>
    <row r="51" customFormat="false" ht="15" hidden="false" customHeight="false" outlineLevel="0" collapsed="false">
      <c r="A51" s="5" t="s">
        <v>50</v>
      </c>
      <c r="B51" s="10" t="n">
        <v>0.0471698113207548</v>
      </c>
    </row>
    <row r="52" customFormat="false" ht="15" hidden="false" customHeight="false" outlineLevel="0" collapsed="false">
      <c r="A52" s="5" t="s">
        <v>51</v>
      </c>
      <c r="B52" s="10" t="n">
        <v>0.956</v>
      </c>
    </row>
    <row r="53" customFormat="false" ht="15" hidden="false" customHeight="false" outlineLevel="0" collapsed="false">
      <c r="A53" s="5" t="s">
        <v>52</v>
      </c>
      <c r="B53" s="10" t="n">
        <v>0.159962596655278</v>
      </c>
    </row>
    <row r="54" customFormat="false" ht="15" hidden="false" customHeight="false" outlineLevel="0" collapsed="false">
      <c r="A54" s="5" t="s">
        <v>53</v>
      </c>
      <c r="B54" s="10" t="n">
        <v>0.80590536381867</v>
      </c>
    </row>
    <row r="55" customFormat="false" ht="15" hidden="false" customHeight="false" outlineLevel="0" collapsed="false">
      <c r="A55" s="5" t="s">
        <v>54</v>
      </c>
      <c r="B55" s="10" t="n">
        <v>0.025</v>
      </c>
    </row>
    <row r="56" customFormat="false" ht="15" hidden="false" customHeight="false" outlineLevel="0" collapsed="false">
      <c r="A56" s="5" t="s">
        <v>55</v>
      </c>
      <c r="B56" s="10" t="n">
        <v>0.0377688114808496</v>
      </c>
    </row>
    <row r="57" customFormat="false" ht="15" hidden="false" customHeight="false" outlineLevel="0" collapsed="false">
      <c r="A57" s="5" t="s">
        <v>56</v>
      </c>
      <c r="B57" s="10" t="n">
        <v>0.0527699995040894</v>
      </c>
    </row>
    <row r="58" customFormat="false" ht="15" hidden="false" customHeight="false" outlineLevel="0" collapsed="false">
      <c r="A58" s="5" t="s">
        <v>57</v>
      </c>
      <c r="B58" s="10" t="n">
        <v>0.0838371068129586</v>
      </c>
    </row>
    <row r="59" customFormat="false" ht="15" hidden="false" customHeight="false" outlineLevel="0" collapsed="false">
      <c r="A59" s="5" t="s">
        <v>58</v>
      </c>
      <c r="B59" s="11" t="n">
        <v>1.316</v>
      </c>
    </row>
    <row r="60" customFormat="false" ht="15" hidden="false" customHeight="false" outlineLevel="0" collapsed="false">
      <c r="A60" s="5" t="s">
        <v>59</v>
      </c>
      <c r="B60" s="9" t="n">
        <f aca="false">B57+B58*B59</f>
        <v>0.163099632069943</v>
      </c>
    </row>
    <row r="61" customFormat="false" ht="15" hidden="false" customHeight="false" outlineLevel="0" collapsed="false">
      <c r="A61" s="5" t="s">
        <v>60</v>
      </c>
      <c r="B61" s="12" t="n">
        <v>128.91</v>
      </c>
    </row>
    <row r="62" customFormat="false" ht="15" hidden="false" customHeight="false" outlineLevel="0" collapsed="false">
      <c r="A62" s="5" t="s">
        <v>61</v>
      </c>
      <c r="B62" s="13" t="n">
        <v>956832000</v>
      </c>
    </row>
    <row r="63" customFormat="false" ht="15" hidden="false" customHeight="false" outlineLevel="0" collapsed="false">
      <c r="A63" s="5" t="s">
        <v>62</v>
      </c>
      <c r="B63" s="13" t="n">
        <v>125312303104</v>
      </c>
    </row>
    <row r="64" customFormat="false" ht="15" hidden="false" customHeight="false" outlineLevel="0" collapsed="false">
      <c r="A64" s="5" t="s">
        <v>63</v>
      </c>
      <c r="B64" s="9" t="n">
        <f aca="false">D36/(B63+D42+D43+D44-D41)</f>
        <v>0.0377688114808496</v>
      </c>
    </row>
    <row r="66" customFormat="false" ht="15" hidden="false" customHeight="false" outlineLevel="0" collapsed="false">
      <c r="A66" s="3" t="s">
        <v>64</v>
      </c>
      <c r="B66" s="3"/>
      <c r="C66" s="3"/>
      <c r="D66" s="3"/>
      <c r="E66" s="3"/>
      <c r="F66" s="3"/>
      <c r="G66" s="3"/>
    </row>
    <row r="67" customFormat="false" ht="15" hidden="false" customHeight="false" outlineLevel="0" collapsed="false">
      <c r="C67" s="14" t="s">
        <v>65</v>
      </c>
      <c r="D67" s="14" t="s">
        <v>66</v>
      </c>
      <c r="E67" s="14" t="s">
        <v>67</v>
      </c>
      <c r="F67" s="14" t="s">
        <v>68</v>
      </c>
      <c r="G67" s="14" t="s">
        <v>69</v>
      </c>
    </row>
    <row r="68" customFormat="false" ht="15" hidden="false" customHeight="false" outlineLevel="0" collapsed="false">
      <c r="A68" s="5" t="s">
        <v>37</v>
      </c>
      <c r="C68" s="9" t="n">
        <f aca="false">$B$52</f>
        <v>0.956</v>
      </c>
      <c r="D68" s="9" t="n">
        <f aca="false">C68</f>
        <v>0.956</v>
      </c>
      <c r="E68" s="9" t="n">
        <f aca="false">D68</f>
        <v>0.956</v>
      </c>
      <c r="F68" s="9" t="n">
        <f aca="false">E68</f>
        <v>0.956</v>
      </c>
      <c r="G68" s="9" t="n">
        <f aca="false">F68</f>
        <v>0.956</v>
      </c>
    </row>
    <row r="69" customFormat="false" ht="15" hidden="false" customHeight="false" outlineLevel="0" collapsed="false">
      <c r="A69" s="5" t="s">
        <v>70</v>
      </c>
      <c r="C69" s="7" t="n">
        <f aca="false">$D$36*(1+$B$51)*(C68/$D$35)</f>
        <v>6479476301.88679</v>
      </c>
      <c r="D69" s="7" t="n">
        <f aca="false">C69*(1+$B$51)*(D68/C68)</f>
        <v>6785111976.5041</v>
      </c>
      <c r="E69" s="7" t="n">
        <f aca="false">D69*(1+$B$51)*(E68/D68)</f>
        <v>7105164428.22599</v>
      </c>
      <c r="F69" s="7" t="n">
        <f aca="false">E69*(1+$B$51)*(F68/E68)</f>
        <v>7440313693.70835</v>
      </c>
      <c r="G69" s="7" t="n">
        <f aca="false">F69*(1+$B$51)*(G68/F68)</f>
        <v>7791271886.8078</v>
      </c>
    </row>
    <row r="70" customFormat="false" ht="15" hidden="false" customHeight="false" outlineLevel="0" collapsed="false">
      <c r="A70" s="5" t="s">
        <v>71</v>
      </c>
      <c r="C70" s="9" t="n">
        <f aca="false">IFERROR(C69/$D$36-1,0)</f>
        <v>0.0471698113207548</v>
      </c>
      <c r="D70" s="9" t="n">
        <f aca="false">IFERROR(D69/C69-1,0)</f>
        <v>0.0471698113207548</v>
      </c>
      <c r="E70" s="9" t="n">
        <f aca="false">IFERROR(E69/D69-1,0)</f>
        <v>0.0471698113207548</v>
      </c>
      <c r="F70" s="9" t="n">
        <f aca="false">IFERROR(F69/E69-1,0)</f>
        <v>0.0471698113207548</v>
      </c>
      <c r="G70" s="9" t="n">
        <f aca="false">IFERROR(G69/F69-1,0)</f>
        <v>0.0471698113207548</v>
      </c>
    </row>
    <row r="71" customFormat="false" ht="15" hidden="false" customHeight="false" outlineLevel="0" collapsed="false">
      <c r="A71" s="5" t="s">
        <v>72</v>
      </c>
      <c r="C71" s="7" t="n">
        <f aca="false">$D$27*(1+$B$51)*(C68/$D$35)</f>
        <v>5823311320.75472</v>
      </c>
      <c r="D71" s="7" t="n">
        <f aca="false">C71*(1+$B$51)*(D68/C68)</f>
        <v>6097995817.01673</v>
      </c>
      <c r="E71" s="7" t="n">
        <f aca="false">D71*(1+$B$51)*(E68/D68)</f>
        <v>6385637129.14016</v>
      </c>
      <c r="F71" s="7" t="n">
        <f aca="false">E71*(1+$B$51)*(F68/E68)</f>
        <v>6686846427.68451</v>
      </c>
      <c r="G71" s="7" t="n">
        <f aca="false">F71*(1+$B$51)*(G68/F68)</f>
        <v>7002263712.00925</v>
      </c>
    </row>
    <row r="72" customFormat="false" ht="15" hidden="false" customHeight="false" outlineLevel="0" collapsed="false">
      <c r="A72" s="5" t="s">
        <v>73</v>
      </c>
      <c r="C72" s="7" t="n">
        <f aca="false">C71*$B$53</f>
        <v>931512000</v>
      </c>
      <c r="D72" s="7" t="n">
        <f aca="false">D71*$B$53</f>
        <v>975451245.283019</v>
      </c>
      <c r="E72" s="7" t="n">
        <f aca="false">E71*$B$53</f>
        <v>1021463096.47561</v>
      </c>
      <c r="F72" s="7" t="n">
        <f aca="false">F71*$B$53</f>
        <v>1069645318.00748</v>
      </c>
      <c r="G72" s="7" t="n">
        <f aca="false">G71*$B$53</f>
        <v>1120100285.83802</v>
      </c>
    </row>
    <row r="73" customFormat="false" ht="15" hidden="false" customHeight="false" outlineLevel="0" collapsed="false">
      <c r="A73" s="5" t="s">
        <v>34</v>
      </c>
      <c r="C73" s="7" t="n">
        <f aca="false">C71-C72</f>
        <v>4891799320.75472</v>
      </c>
      <c r="D73" s="7" t="n">
        <f aca="false">D71-D72</f>
        <v>5122544571.73371</v>
      </c>
      <c r="E73" s="7" t="n">
        <f aca="false">E71-E72</f>
        <v>5364174032.66455</v>
      </c>
      <c r="F73" s="7" t="n">
        <f aca="false">F71-F72</f>
        <v>5617201109.67703</v>
      </c>
      <c r="G73" s="7" t="n">
        <f aca="false">G71-G72</f>
        <v>5882163426.17123</v>
      </c>
    </row>
    <row r="74" customFormat="false" ht="15" hidden="false" customHeight="false" outlineLevel="0" collapsed="false">
      <c r="A74" s="5" t="s">
        <v>74</v>
      </c>
      <c r="C74" s="7" t="n">
        <f aca="false">C73*$B$54</f>
        <v>3942327311.32076</v>
      </c>
      <c r="D74" s="7" t="n">
        <f aca="false">D73*$B$54</f>
        <v>4128286146.76041</v>
      </c>
      <c r="E74" s="7" t="n">
        <f aca="false">E73*$B$54</f>
        <v>4323016625.38119</v>
      </c>
      <c r="F74" s="7" t="n">
        <f aca="false">F73*$B$54</f>
        <v>4526932503.93691</v>
      </c>
      <c r="G74" s="7" t="n">
        <f aca="false">G73*$B$54</f>
        <v>4740467056.0094</v>
      </c>
    </row>
    <row r="75" customFormat="false" ht="15" hidden="false" customHeight="false" outlineLevel="0" collapsed="false">
      <c r="A75" s="5" t="s">
        <v>75</v>
      </c>
      <c r="C75" s="15" t="n">
        <f aca="false">IFERROR(C73/C74,0)</f>
        <v>1.24084048189187</v>
      </c>
      <c r="D75" s="15" t="n">
        <f aca="false">IFERROR(D73/D74,0)</f>
        <v>1.24084048189187</v>
      </c>
      <c r="E75" s="15" t="n">
        <f aca="false">IFERROR(E73/E74,0)</f>
        <v>1.24084048189187</v>
      </c>
      <c r="F75" s="15" t="n">
        <f aca="false">IFERROR(F73/F74,0)</f>
        <v>1.24084048189187</v>
      </c>
      <c r="G75" s="15" t="n">
        <f aca="false">IFERROR(G73/G74,0)</f>
        <v>1.24084048189187</v>
      </c>
    </row>
    <row r="76" customFormat="false" ht="15" hidden="false" customHeight="false" outlineLevel="0" collapsed="false">
      <c r="A76" s="5" t="s">
        <v>76</v>
      </c>
      <c r="C76" s="7" t="n">
        <f aca="false">C73/(1+$B$60)^1</f>
        <v>4205829995.87825</v>
      </c>
      <c r="D76" s="7" t="n">
        <f aca="false">D73/(1+$B$60)^2</f>
        <v>3786621611.59221</v>
      </c>
      <c r="E76" s="7" t="n">
        <f aca="false">E73/(1+$B$60)^3</f>
        <v>3409197053.47792</v>
      </c>
      <c r="F76" s="7" t="n">
        <f aca="false">F73/(1+$B$60)^4</f>
        <v>3069391595.3634</v>
      </c>
      <c r="G76" s="7" t="n">
        <f aca="false">G73/(1+$B$60)^5</f>
        <v>2763455622.51276</v>
      </c>
    </row>
    <row r="79" customFormat="false" ht="15" hidden="false" customHeight="false" outlineLevel="0" collapsed="false">
      <c r="A79" s="3" t="s">
        <v>77</v>
      </c>
      <c r="B79" s="3"/>
    </row>
    <row r="81" customFormat="false" ht="15" hidden="false" customHeight="false" outlineLevel="0" collapsed="false">
      <c r="A81" s="16" t="s">
        <v>78</v>
      </c>
      <c r="B81" s="7" t="n">
        <f aca="false">SUM(C76:G76)</f>
        <v>17234495878.8245</v>
      </c>
    </row>
    <row r="82" customFormat="false" ht="15" hidden="false" customHeight="false" outlineLevel="0" collapsed="false">
      <c r="A82" s="16" t="s">
        <v>79</v>
      </c>
      <c r="B82" s="7" t="n">
        <f aca="false">IF($B$60&lt;=$B$55,"",G73*(1+$B$55)/($B$60-$B$55))</f>
        <v>43658461803.663</v>
      </c>
    </row>
    <row r="83" customFormat="false" ht="15" hidden="false" customHeight="false" outlineLevel="0" collapsed="false">
      <c r="A83" s="16" t="s">
        <v>80</v>
      </c>
      <c r="B83" s="7" t="n">
        <f aca="false">IF(B82="","",B82/(1+$B$60)^5)</f>
        <v>20510858505.6982</v>
      </c>
    </row>
    <row r="84" customFormat="false" ht="15" hidden="false" customHeight="false" outlineLevel="0" collapsed="false">
      <c r="A84" s="17" t="s">
        <v>81</v>
      </c>
      <c r="B84" s="7" t="n">
        <f aca="false">IF(B83="","",MAX(0,B81+B83))</f>
        <v>37745354384.5227</v>
      </c>
    </row>
    <row r="85" customFormat="false" ht="15" hidden="false" customHeight="false" outlineLevel="0" collapsed="false">
      <c r="A85" s="17" t="s">
        <v>82</v>
      </c>
      <c r="B85" s="18" t="n">
        <f aca="false">IFERROR(B84/B62,0)</f>
        <v>39.4482567310905</v>
      </c>
    </row>
    <row r="86" customFormat="false" ht="15" hidden="false" customHeight="false" outlineLevel="0" collapsed="false">
      <c r="A86" s="16" t="s">
        <v>60</v>
      </c>
      <c r="B86" s="18" t="n">
        <f aca="false">B61</f>
        <v>128.91</v>
      </c>
    </row>
    <row r="87" customFormat="false" ht="15" hidden="false" customHeight="false" outlineLevel="0" collapsed="false">
      <c r="A87" s="17" t="s">
        <v>83</v>
      </c>
      <c r="B87" s="9" t="n">
        <f aca="false">IFERROR(B85/B86-1,0)</f>
        <v>-0.693986062127915</v>
      </c>
    </row>
    <row r="88" customFormat="false" ht="15" hidden="false" customHeight="false" outlineLevel="0" collapsed="false">
      <c r="A88" s="5" t="s">
        <v>84</v>
      </c>
      <c r="B88" s="5" t="s">
        <v>85</v>
      </c>
    </row>
    <row r="90" customFormat="false" ht="15" hidden="false" customHeight="false" outlineLevel="0" collapsed="false">
      <c r="A90" s="3" t="s">
        <v>86</v>
      </c>
      <c r="B90" s="3"/>
    </row>
    <row r="91" customFormat="false" ht="15" hidden="false" customHeight="false" outlineLevel="0" collapsed="false">
      <c r="A91" s="16" t="s">
        <v>87</v>
      </c>
      <c r="B91" s="7" t="n">
        <f aca="false">D36</f>
        <v>6187608000</v>
      </c>
    </row>
    <row r="92" customFormat="false" ht="15" hidden="false" customHeight="false" outlineLevel="0" collapsed="false">
      <c r="A92" s="16" t="s">
        <v>88</v>
      </c>
      <c r="B92" s="9" t="n">
        <f aca="false">B56</f>
        <v>0.0377688114808496</v>
      </c>
    </row>
    <row r="93" customFormat="false" ht="15" hidden="false" customHeight="false" outlineLevel="0" collapsed="false">
      <c r="A93" s="16" t="s">
        <v>89</v>
      </c>
      <c r="B93" s="7" t="n">
        <f aca="false">IFERROR(B91/B92,0)</f>
        <v>163828507104</v>
      </c>
    </row>
    <row r="94" customFormat="false" ht="15" hidden="false" customHeight="false" outlineLevel="0" collapsed="false">
      <c r="A94" s="16" t="s">
        <v>90</v>
      </c>
      <c r="B94" s="7" t="n">
        <f aca="false">D41</f>
        <v>1145647000</v>
      </c>
    </row>
    <row r="95" customFormat="false" ht="15" hidden="false" customHeight="false" outlineLevel="0" collapsed="false">
      <c r="A95" s="16" t="s">
        <v>91</v>
      </c>
      <c r="B95" s="7" t="n">
        <f aca="false">-D42</f>
        <v>-35037073000</v>
      </c>
    </row>
    <row r="96" customFormat="false" ht="15" hidden="false" customHeight="false" outlineLevel="0" collapsed="false">
      <c r="A96" s="16" t="s">
        <v>92</v>
      </c>
      <c r="B96" s="7" t="n">
        <f aca="false">-D43</f>
        <v>-63948000</v>
      </c>
    </row>
    <row r="97" customFormat="false" ht="15" hidden="false" customHeight="false" outlineLevel="0" collapsed="false">
      <c r="A97" s="16" t="s">
        <v>93</v>
      </c>
      <c r="B97" s="7" t="n">
        <f aca="false">-D44</f>
        <v>-4560830000</v>
      </c>
    </row>
    <row r="98" customFormat="false" ht="15" hidden="false" customHeight="false" outlineLevel="0" collapsed="false">
      <c r="A98" s="17" t="s">
        <v>94</v>
      </c>
      <c r="B98" s="7" t="n">
        <f aca="false">SUM(B93:B97)</f>
        <v>125312303104</v>
      </c>
    </row>
    <row r="99" customFormat="false" ht="15" hidden="false" customHeight="false" outlineLevel="0" collapsed="false">
      <c r="A99" s="17" t="s">
        <v>95</v>
      </c>
      <c r="B99" s="18" t="n">
        <f aca="false">IFERROR(B98/B62,0)</f>
        <v>130.965836326544</v>
      </c>
    </row>
    <row r="100" customFormat="false" ht="15" hidden="false" customHeight="false" outlineLevel="0" collapsed="false">
      <c r="A100" s="16" t="s">
        <v>60</v>
      </c>
      <c r="B100" s="18" t="n">
        <f aca="false">B61</f>
        <v>128.91</v>
      </c>
    </row>
    <row r="101" customFormat="false" ht="15" hidden="false" customHeight="false" outlineLevel="0" collapsed="false">
      <c r="A101" s="17" t="s">
        <v>96</v>
      </c>
      <c r="B101" s="9" t="n">
        <f aca="false">IFERROR(B99/B100-1,0)</f>
        <v>0.0159478421111183</v>
      </c>
    </row>
    <row r="103" customFormat="false" ht="15" hidden="false" customHeight="false" outlineLevel="0" collapsed="false">
      <c r="A103" s="3" t="s">
        <v>97</v>
      </c>
      <c r="B103" s="3"/>
      <c r="C103" s="3"/>
      <c r="D103" s="3"/>
      <c r="E103" s="3"/>
      <c r="F103" s="3"/>
      <c r="G103" s="3"/>
      <c r="H103" s="3"/>
      <c r="I103" s="3"/>
    </row>
    <row r="104" customFormat="false" ht="15" hidden="false" customHeight="false" outlineLevel="0" collapsed="false">
      <c r="B104" s="19" t="s">
        <v>98</v>
      </c>
      <c r="C104" s="20" t="n">
        <f aca="false">$B$55-2%</f>
        <v>0.005</v>
      </c>
      <c r="D104" s="20" t="n">
        <f aca="false">$B$55-1%</f>
        <v>0.015</v>
      </c>
      <c r="E104" s="20" t="n">
        <f aca="false">$B$55</f>
        <v>0.025</v>
      </c>
      <c r="F104" s="20" t="n">
        <f aca="false">$B$55+1%</f>
        <v>0.035</v>
      </c>
      <c r="G104" s="20" t="n">
        <f aca="false">$B$55+2%</f>
        <v>0.045</v>
      </c>
    </row>
    <row r="105" customFormat="false" ht="15" hidden="false" customHeight="false" outlineLevel="0" collapsed="false">
      <c r="B105" s="9" t="n">
        <f aca="false">$B$60-2%</f>
        <v>0.143099632069943</v>
      </c>
      <c r="C105" s="7" t="n">
        <f aca="false">IF(OR($B105&lt;=C$104,$B105&lt;=0),"",MAX(0,$H105+($I105*(1+C$104)/($B105-C$104))/(1+$B105)^5))</f>
        <v>40027318698.1133</v>
      </c>
      <c r="D105" s="7" t="n">
        <f aca="false">IF(OR($B105&lt;=D$104,$B105&lt;=0),"",MAX(0,$H105+($I105*(1+D$104)/($B105-D$104))/(1+$B105)^5))</f>
        <v>41974741912.5989</v>
      </c>
      <c r="E105" s="7" t="n">
        <f aca="false">IF(OR($B105&lt;=E$104,$B105&lt;=0),"",MAX(0,$H105+($I105*(1+E$104)/($B105-E$104))/(1+$B105)^5))</f>
        <v>44251958400.8404</v>
      </c>
      <c r="F105" s="7" t="n">
        <f aca="false">IF(OR($B105&lt;=F$104,$B105&lt;=0),"",MAX(0,$H105+($I105*(1+F$104)/($B105-F$104))/(1+$B105)^5))</f>
        <v>46950492972.157</v>
      </c>
      <c r="G105" s="7" t="n">
        <f aca="false">IF(OR($B105&lt;=G$104,$B105&lt;=0),"",MAX(0,$H105+($I105*(1+G$104)/($B105-G$104))/(1+$B105)^5))</f>
        <v>50199189560.2674</v>
      </c>
      <c r="H105" s="7" t="n">
        <f aca="false">C73/(1+$B105)^1+D73/(1+$B105)^2+E73/(1+$B105)^3+F73/(1+$B105)^4+G73/(1+$B105)^5</f>
        <v>18094714468.9979</v>
      </c>
      <c r="I105" s="7" t="n">
        <f aca="false">G73</f>
        <v>5882163426.17123</v>
      </c>
    </row>
    <row r="106" customFormat="false" ht="15" hidden="false" customHeight="false" outlineLevel="0" collapsed="false">
      <c r="B106" s="9" t="n">
        <f aca="false">$B$60-1%</f>
        <v>0.153099632069943</v>
      </c>
      <c r="C106" s="7" t="n">
        <f aca="false">IF(OR($B106&lt;=C$104,$B106&lt;=0),"",MAX(0,$H106+($I106*(1+C$104)/($B106-C$104))/(1+$B106)^5))</f>
        <v>37236295562.3126</v>
      </c>
      <c r="D106" s="7" t="n">
        <f aca="false">IF(OR($B106&lt;=D$104,$B106&lt;=0),"",MAX(0,$H106+($I106*(1+D$104)/($B106-D$104))/(1+$B106)^5))</f>
        <v>38863054685.9071</v>
      </c>
      <c r="E106" s="7" t="n">
        <f aca="false">IF(OR($B106&lt;=E$104,$B106&lt;=0),"",MAX(0,$H106+($I106*(1+E$104)/($B106-E$104))/(1+$B106)^5))</f>
        <v>40743797228.0811</v>
      </c>
      <c r="F106" s="7" t="n">
        <f aca="false">IF(OR($B106&lt;=F$104,$B106&lt;=0),"",MAX(0,$H106+($I106*(1+F$104)/($B106-F$104))/(1+$B106)^5))</f>
        <v>42943040769.6586</v>
      </c>
      <c r="G106" s="7" t="n">
        <f aca="false">IF(OR($B106&lt;=G$104,$B106&lt;=0),"",MAX(0,$H106+($I106*(1+G$104)/($B106-G$104))/(1+$B106)^5))</f>
        <v>45549176268.1217</v>
      </c>
      <c r="H106" s="7" t="n">
        <f aca="false">C73/(1+$B106)^1+D73/(1+$B106)^2+E73/(1+$B106)^3+F73/(1+$B106)^4+G73/(1+$B106)^5</f>
        <v>17656191264.4993</v>
      </c>
      <c r="I106" s="7" t="n">
        <f aca="false">G73</f>
        <v>5882163426.17123</v>
      </c>
    </row>
    <row r="107" customFormat="false" ht="15" hidden="false" customHeight="false" outlineLevel="0" collapsed="false">
      <c r="B107" s="9" t="n">
        <f aca="false">$B$60</f>
        <v>0.163099632069943</v>
      </c>
      <c r="C107" s="7" t="n">
        <f aca="false">IF(OR($B107&lt;=C$104,$B107&lt;=0),"",MAX(0,$H107+($I107*(1+C$104)/($B107-C$104))/(1+$B107)^5))</f>
        <v>34801095271.0146</v>
      </c>
      <c r="D107" s="7" t="n">
        <f aca="false">IF(OR($B107&lt;=D$104,$B107&lt;=0),"",MAX(0,$H107+($I107*(1+D$104)/($B107-D$104))/(1+$B107)^5))</f>
        <v>36173823530.4002</v>
      </c>
      <c r="E107" s="7" t="n">
        <f aca="false">IF(OR($B107&lt;=E$104,$B107&lt;=0),"",MAX(0,$H107+($I107*(1+E$104)/($B107-E$104))/(1+$B107)^5))</f>
        <v>37745354384.5227</v>
      </c>
      <c r="F107" s="7" t="n">
        <f aca="false">IF(OR($B107&lt;=F$104,$B107&lt;=0),"",MAX(0,$H107+($I107*(1+F$104)/($B107-F$104))/(1+$B107)^5))</f>
        <v>39562245951.8227</v>
      </c>
      <c r="G107" s="7" t="n">
        <f aca="false">IF(OR($B107&lt;=G$104,$B107&lt;=0),"",MAX(0,$H107+($I107*(1+G$104)/($B107-G$104))/(1+$B107)^5))</f>
        <v>41686825449.2975</v>
      </c>
      <c r="H107" s="7" t="n">
        <f aca="false">C73/(1+$B107)^1+D73/(1+$B107)^2+E73/(1+$B107)^3+F73/(1+$B107)^4+G73/(1+$B107)^5</f>
        <v>17234495878.8245</v>
      </c>
      <c r="I107" s="7" t="n">
        <f aca="false">G73</f>
        <v>5882163426.17123</v>
      </c>
    </row>
    <row r="108" customFormat="false" ht="15" hidden="false" customHeight="false" outlineLevel="0" collapsed="false">
      <c r="B108" s="9" t="n">
        <f aca="false">$B$60+1%</f>
        <v>0.173099632069943</v>
      </c>
      <c r="C108" s="7" t="n">
        <f aca="false">IF(OR($B108&lt;=C$104,$B108&lt;=0),"",MAX(0,$H108+($I108*(1+C$104)/($B108-C$104))/(1+$B108)^5))</f>
        <v>32658102753.7636</v>
      </c>
      <c r="D108" s="7" t="n">
        <f aca="false">IF(OR($B108&lt;=D$104,$B108&lt;=0),"",MAX(0,$H108+($I108*(1+D$104)/($B108-D$104))/(1+$B108)^5))</f>
        <v>33826794212.5264</v>
      </c>
      <c r="E108" s="7" t="n">
        <f aca="false">IF(OR($B108&lt;=E$104,$B108&lt;=0),"",MAX(0,$H108+($I108*(1+E$104)/($B108-E$104))/(1+$B108)^5))</f>
        <v>35153310703.3205</v>
      </c>
      <c r="F108" s="7" t="n">
        <f aca="false">IF(OR($B108&lt;=F$104,$B108&lt;=0),"",MAX(0,$H108+($I108*(1+F$104)/($B108-F$104))/(1+$B108)^5))</f>
        <v>36671937262.8977</v>
      </c>
      <c r="G108" s="7" t="n">
        <f aca="false">IF(OR($B108&lt;=G$104,$B108&lt;=0),"",MAX(0,$H108+($I108*(1+G$104)/($B108-G$104))/(1+$B108)^5))</f>
        <v>38427664668.908</v>
      </c>
      <c r="H108" s="7" t="n">
        <f aca="false">C73/(1+$B108)^1+D73/(1+$B108)^2+E73/(1+$B108)^3+F73/(1+$B108)^4+G73/(1+$B108)^5</f>
        <v>16828796102.7848</v>
      </c>
      <c r="I108" s="7" t="n">
        <f aca="false">G73</f>
        <v>5882163426.17123</v>
      </c>
    </row>
    <row r="109" customFormat="false" ht="15" hidden="false" customHeight="false" outlineLevel="0" collapsed="false">
      <c r="B109" s="9" t="n">
        <f aca="false">$B$60+2%</f>
        <v>0.183099632069943</v>
      </c>
      <c r="C109" s="7" t="n">
        <f aca="false">IF(OR($B109&lt;=C$104,$B109&lt;=0),"",MAX(0,$H109+($I109*(1+C$104)/($B109-C$104))/(1+$B109)^5))</f>
        <v>30757996111.0246</v>
      </c>
      <c r="D109" s="7" t="n">
        <f aca="false">IF(OR($B109&lt;=D$104,$B109&lt;=0),"",MAX(0,$H109+($I109*(1+D$104)/($B109-D$104))/(1+$B109)^5))</f>
        <v>31760813888.1111</v>
      </c>
      <c r="E109" s="7" t="n">
        <f aca="false">IF(OR($B109&lt;=E$104,$B109&lt;=0),"",MAX(0,$H109+($I109*(1+E$104)/($B109-E$104))/(1+$B109)^5))</f>
        <v>32890490629.2518</v>
      </c>
      <c r="F109" s="7" t="n">
        <f aca="false">IF(OR($B109&lt;=F$104,$B109&lt;=0),"",MAX(0,$H109+($I109*(1+F$104)/($B109-F$104))/(1+$B109)^5))</f>
        <v>34172723690.1282</v>
      </c>
      <c r="G109" s="7" t="n">
        <f aca="false">IF(OR($B109&lt;=G$104,$B109&lt;=0),"",MAX(0,$H109+($I109*(1+G$104)/($B109-G$104))/(1+$B109)^5))</f>
        <v>35640653561.5837</v>
      </c>
      <c r="H109" s="7" t="n">
        <f aca="false">C73/(1+$B109)^1+D73/(1+$B109)^2+E73/(1+$B109)^3+F73/(1+$B109)^4+G73/(1+$B109)^5</f>
        <v>16438308971.7563</v>
      </c>
      <c r="I109" s="7" t="n">
        <f aca="false">G73</f>
        <v>5882163426.17123</v>
      </c>
    </row>
    <row r="110" customFormat="false" ht="15" hidden="false" customHeight="true" outlineLevel="0" collapsed="false">
      <c r="A110" s="5" t="s">
        <v>99</v>
      </c>
      <c r="B110" s="21" t="s">
        <v>100</v>
      </c>
      <c r="C110" s="21"/>
      <c r="D110" s="21"/>
      <c r="E110" s="21"/>
      <c r="F110" s="21"/>
      <c r="G110" s="21"/>
      <c r="H110" s="21"/>
      <c r="I110" s="21"/>
    </row>
    <row r="112" customFormat="false" ht="15" hidden="false" customHeight="false" outlineLevel="0" collapsed="false">
      <c r="A112" s="3" t="s">
        <v>101</v>
      </c>
      <c r="B112" s="3"/>
      <c r="C112" s="3"/>
      <c r="D112" s="3"/>
      <c r="E112" s="3"/>
      <c r="F112" s="3"/>
      <c r="G112" s="3"/>
    </row>
    <row r="113" customFormat="false" ht="15" hidden="false" customHeight="false" outlineLevel="0" collapsed="false">
      <c r="B113" s="19" t="s">
        <v>102</v>
      </c>
      <c r="C113" s="20" t="n">
        <f aca="false">90%</f>
        <v>0.9</v>
      </c>
      <c r="D113" s="20" t="n">
        <f aca="false">95%</f>
        <v>0.95</v>
      </c>
      <c r="E113" s="20" t="n">
        <f aca="false">100%</f>
        <v>1</v>
      </c>
      <c r="F113" s="20" t="n">
        <f aca="false">105%</f>
        <v>1.05</v>
      </c>
      <c r="G113" s="20" t="n">
        <f aca="false">110%</f>
        <v>1.1</v>
      </c>
    </row>
    <row r="114" customFormat="false" ht="15" hidden="false" customHeight="false" outlineLevel="0" collapsed="false">
      <c r="B114" s="9" t="n">
        <f aca="false">$B$56-1%</f>
        <v>0.0277688114808496</v>
      </c>
      <c r="C114" s="7" t="n">
        <f aca="false">C$113*$D$36/$B114+$D$41-$D$42-$D$43-$D$44</f>
        <v>162027027885.905</v>
      </c>
      <c r="D114" s="7" t="n">
        <f aca="false">D$113*$D$36/$B114+$D$41-$D$42-$D$43-$D$44</f>
        <v>173168318546.233</v>
      </c>
      <c r="E114" s="7" t="n">
        <f aca="false">E$113*$D$36/$B114+$D$41-$D$42-$D$43-$D$44</f>
        <v>184309609206.561</v>
      </c>
      <c r="F114" s="7" t="n">
        <f aca="false">F$113*$D$36/$B114+$D$41-$D$42-$D$43-$D$44</f>
        <v>195450899866.889</v>
      </c>
      <c r="G114" s="7" t="n">
        <f aca="false">G$113*$D$36/$B114+$D$41-$D$42-$D$43-$D$44</f>
        <v>206592190527.217</v>
      </c>
    </row>
    <row r="115" customFormat="false" ht="15" hidden="false" customHeight="false" outlineLevel="0" collapsed="false">
      <c r="B115" s="9" t="n">
        <f aca="false">$B$56-0.5%</f>
        <v>0.0327688114808496</v>
      </c>
      <c r="C115" s="7" t="n">
        <f aca="false">C$113*$D$36/$B115+$D$41-$D$42-$D$43-$D$44</f>
        <v>131427316937.721</v>
      </c>
      <c r="D115" s="7" t="n">
        <f aca="false">D$113*$D$36/$B115+$D$41-$D$42-$D$43-$D$44</f>
        <v>140868623656.484</v>
      </c>
      <c r="E115" s="7" t="n">
        <f aca="false">E$113*$D$36/$B115+$D$41-$D$42-$D$43-$D$44</f>
        <v>150309930375.246</v>
      </c>
      <c r="F115" s="7" t="n">
        <f aca="false">F$113*$D$36/$B115+$D$41-$D$42-$D$43-$D$44</f>
        <v>159751237094.008</v>
      </c>
      <c r="G115" s="7" t="n">
        <f aca="false">G$113*$D$36/$B115+$D$41-$D$42-$D$43-$D$44</f>
        <v>169192543812.77</v>
      </c>
    </row>
    <row r="116" customFormat="false" ht="15" hidden="false" customHeight="false" outlineLevel="0" collapsed="false">
      <c r="B116" s="9" t="n">
        <f aca="false">$B$56</f>
        <v>0.0377688114808496</v>
      </c>
      <c r="C116" s="7" t="n">
        <f aca="false">C$113*$D$36/$B116+$D$41-$D$42-$D$43-$D$44</f>
        <v>108929452393.6</v>
      </c>
      <c r="D116" s="7" t="n">
        <f aca="false">D$113*$D$36/$B116+$D$41-$D$42-$D$43-$D$44</f>
        <v>117120877748.8</v>
      </c>
      <c r="E116" s="7" t="n">
        <f aca="false">E$113*$D$36/$B116+$D$41-$D$42-$D$43-$D$44</f>
        <v>125312303104</v>
      </c>
      <c r="F116" s="7" t="n">
        <f aca="false">F$113*$D$36/$B116+$D$41-$D$42-$D$43-$D$44</f>
        <v>133503728459.2</v>
      </c>
      <c r="G116" s="7" t="n">
        <f aca="false">G$113*$D$36/$B116+$D$41-$D$42-$D$43-$D$44</f>
        <v>141695153814.4</v>
      </c>
    </row>
    <row r="117" customFormat="false" ht="15" hidden="false" customHeight="false" outlineLevel="0" collapsed="false">
      <c r="B117" s="9" t="n">
        <f aca="false">$B$56+0.5%</f>
        <v>0.0427688114808496</v>
      </c>
      <c r="C117" s="7" t="n">
        <f aca="false">C$113*$D$36/$B117+$D$41-$D$42-$D$43-$D$44</f>
        <v>91691931488.9542</v>
      </c>
      <c r="D117" s="7" t="n">
        <f aca="false">D$113*$D$36/$B117+$D$41-$D$42-$D$43-$D$44</f>
        <v>98925716793.8961</v>
      </c>
      <c r="E117" s="7" t="n">
        <f aca="false">E$113*$D$36/$B117+$D$41-$D$42-$D$43-$D$44</f>
        <v>106159502098.838</v>
      </c>
      <c r="F117" s="7" t="n">
        <f aca="false">F$113*$D$36/$B117+$D$41-$D$42-$D$43-$D$44</f>
        <v>113393287403.78</v>
      </c>
      <c r="G117" s="7" t="n">
        <f aca="false">G$113*$D$36/$B117+$D$41-$D$42-$D$43-$D$44</f>
        <v>120627072708.722</v>
      </c>
    </row>
    <row r="118" customFormat="false" ht="15" hidden="false" customHeight="false" outlineLevel="0" collapsed="false">
      <c r="B118" s="9" t="n">
        <f aca="false">$B$56+1%</f>
        <v>0.0477688114808496</v>
      </c>
      <c r="C118" s="7" t="n">
        <f aca="false">C$113*$D$36/$B118+$D$41-$D$42-$D$43-$D$44</f>
        <v>78062940997.8307</v>
      </c>
      <c r="D118" s="7" t="n">
        <f aca="false">D$113*$D$36/$B118+$D$41-$D$42-$D$43-$D$44</f>
        <v>84539560164.3768</v>
      </c>
      <c r="E118" s="7" t="n">
        <f aca="false">E$113*$D$36/$B118+$D$41-$D$42-$D$43-$D$44</f>
        <v>91016179330.923</v>
      </c>
      <c r="F118" s="7" t="n">
        <f aca="false">F$113*$D$36/$B118+$D$41-$D$42-$D$43-$D$44</f>
        <v>97492798497.4691</v>
      </c>
      <c r="G118" s="7" t="n">
        <f aca="false">G$113*$D$36/$B118+$D$41-$D$42-$D$43-$D$44</f>
        <v>103969417664.015</v>
      </c>
    </row>
    <row r="119" customFormat="false" ht="27.75" hidden="false" customHeight="true" outlineLevel="0" collapsed="false">
      <c r="A119" s="5" t="s">
        <v>103</v>
      </c>
      <c r="B119" s="21" t="s">
        <v>104</v>
      </c>
      <c r="C119" s="21"/>
      <c r="D119" s="21"/>
      <c r="E119" s="21"/>
      <c r="F119" s="21"/>
      <c r="G119" s="21"/>
    </row>
  </sheetData>
  <autoFilter ref="A5:D45"/>
  <mergeCells count="4">
    <mergeCell ref="A1:L1"/>
    <mergeCell ref="A2:L2"/>
    <mergeCell ref="B110:I110"/>
    <mergeCell ref="B119:G1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15"/>
  </cols>
  <sheetData>
    <row r="1" customFormat="false" ht="19.7" hidden="false" customHeight="false" outlineLevel="0" collapsed="false">
      <c r="A1" s="22" t="s">
        <v>105</v>
      </c>
      <c r="B1" s="22"/>
      <c r="C1" s="22"/>
    </row>
    <row r="2" customFormat="false" ht="15" hidden="false" customHeight="true" outlineLevel="0" collapsed="false">
      <c r="A2" s="23" t="s">
        <v>106</v>
      </c>
      <c r="B2" s="23"/>
      <c r="C2" s="23"/>
    </row>
    <row r="5" customFormat="false" ht="15" hidden="false" customHeight="false" outlineLevel="0" collapsed="false">
      <c r="A5" s="19" t="s">
        <v>107</v>
      </c>
      <c r="B5" s="19" t="s">
        <v>108</v>
      </c>
      <c r="C5" s="19" t="s">
        <v>109</v>
      </c>
    </row>
    <row r="6" customFormat="false" ht="33.75" hidden="false" customHeight="true" outlineLevel="0" collapsed="false">
      <c r="A6" s="24" t="s">
        <v>110</v>
      </c>
      <c r="B6" s="25" t="s">
        <v>111</v>
      </c>
      <c r="C6" s="25" t="s">
        <v>112</v>
      </c>
    </row>
    <row r="7" customFormat="false" ht="33.75" hidden="false" customHeight="true" outlineLevel="0" collapsed="false">
      <c r="A7" s="24" t="s">
        <v>110</v>
      </c>
      <c r="B7" s="25" t="s">
        <v>111</v>
      </c>
      <c r="C7" s="25" t="s">
        <v>113</v>
      </c>
    </row>
    <row r="8" customFormat="false" ht="33.75" hidden="false" customHeight="true" outlineLevel="0" collapsed="false">
      <c r="A8" s="24" t="s">
        <v>110</v>
      </c>
      <c r="B8" s="25" t="s">
        <v>111</v>
      </c>
      <c r="C8" s="25" t="s">
        <v>114</v>
      </c>
    </row>
    <row r="9" customFormat="false" ht="33.75" hidden="false" customHeight="true" outlineLevel="0" collapsed="false">
      <c r="A9" s="24" t="s">
        <v>110</v>
      </c>
      <c r="B9" s="25" t="s">
        <v>111</v>
      </c>
      <c r="C9" s="25" t="s">
        <v>115</v>
      </c>
    </row>
    <row r="10" customFormat="false" ht="33.75" hidden="false" customHeight="true" outlineLevel="0" collapsed="false">
      <c r="A10" s="24" t="s">
        <v>110</v>
      </c>
      <c r="B10" s="25" t="s">
        <v>111</v>
      </c>
      <c r="C10" s="25" t="s">
        <v>116</v>
      </c>
    </row>
    <row r="11" customFormat="false" ht="33.75" hidden="false" customHeight="true" outlineLevel="0" collapsed="false">
      <c r="A11" s="24" t="s">
        <v>110</v>
      </c>
      <c r="B11" s="25" t="s">
        <v>111</v>
      </c>
      <c r="C11" s="25" t="s">
        <v>117</v>
      </c>
    </row>
    <row r="12" customFormat="false" ht="33.75" hidden="false" customHeight="true" outlineLevel="0" collapsed="false">
      <c r="A12" s="24" t="s">
        <v>110</v>
      </c>
      <c r="B12" s="25" t="s">
        <v>111</v>
      </c>
      <c r="C12" s="25" t="s">
        <v>118</v>
      </c>
    </row>
    <row r="13" customFormat="false" ht="33.75" hidden="false" customHeight="true" outlineLevel="0" collapsed="false">
      <c r="A13" s="26" t="s">
        <v>119</v>
      </c>
      <c r="B13" s="25" t="s">
        <v>120</v>
      </c>
      <c r="C13" s="25" t="s">
        <v>121</v>
      </c>
    </row>
    <row r="14" customFormat="false" ht="33.75" hidden="false" customHeight="true" outlineLevel="0" collapsed="false">
      <c r="A14" s="26" t="s">
        <v>119</v>
      </c>
      <c r="B14" s="25" t="s">
        <v>120</v>
      </c>
      <c r="C14" s="25" t="s">
        <v>122</v>
      </c>
    </row>
    <row r="15" customFormat="false" ht="33.75" hidden="false" customHeight="true" outlineLevel="0" collapsed="false">
      <c r="A15" s="26" t="s">
        <v>119</v>
      </c>
      <c r="B15" s="25" t="s">
        <v>120</v>
      </c>
      <c r="C15" s="25" t="s">
        <v>123</v>
      </c>
    </row>
    <row r="16" customFormat="false" ht="33.75" hidden="false" customHeight="true" outlineLevel="0" collapsed="false">
      <c r="A16" s="26" t="s">
        <v>119</v>
      </c>
      <c r="B16" s="25" t="s">
        <v>120</v>
      </c>
      <c r="C16" s="25" t="s">
        <v>124</v>
      </c>
    </row>
    <row r="17" customFormat="false" ht="33.75" hidden="false" customHeight="true" outlineLevel="0" collapsed="false">
      <c r="A17" s="26" t="s">
        <v>119</v>
      </c>
      <c r="B17" s="25" t="s">
        <v>120</v>
      </c>
      <c r="C17" s="25" t="s">
        <v>125</v>
      </c>
    </row>
    <row r="18" customFormat="false" ht="33.75" hidden="false" customHeight="true" outlineLevel="0" collapsed="false">
      <c r="A18" s="26" t="s">
        <v>119</v>
      </c>
      <c r="B18" s="25" t="s">
        <v>120</v>
      </c>
      <c r="C18" s="25" t="s">
        <v>126</v>
      </c>
    </row>
    <row r="19" customFormat="false" ht="33.75" hidden="false" customHeight="true" outlineLevel="0" collapsed="false">
      <c r="A19" s="26" t="s">
        <v>119</v>
      </c>
      <c r="B19" s="25" t="s">
        <v>120</v>
      </c>
      <c r="C19" s="25" t="s">
        <v>127</v>
      </c>
    </row>
    <row r="20" customFormat="false" ht="33.75" hidden="false" customHeight="true" outlineLevel="0" collapsed="false">
      <c r="A20" s="26" t="s">
        <v>119</v>
      </c>
      <c r="B20" s="25" t="s">
        <v>120</v>
      </c>
      <c r="C20" s="25" t="s">
        <v>128</v>
      </c>
    </row>
    <row r="21" customFormat="false" ht="33.75" hidden="false" customHeight="true" outlineLevel="0" collapsed="false">
      <c r="A21" s="26" t="s">
        <v>119</v>
      </c>
      <c r="B21" s="25" t="s">
        <v>120</v>
      </c>
      <c r="C21" s="25" t="s">
        <v>129</v>
      </c>
    </row>
    <row r="22" customFormat="false" ht="33.75" hidden="false" customHeight="true" outlineLevel="0" collapsed="false">
      <c r="A22" s="26" t="s">
        <v>119</v>
      </c>
      <c r="B22" s="25" t="s">
        <v>120</v>
      </c>
      <c r="C22" s="25" t="s">
        <v>130</v>
      </c>
    </row>
    <row r="23" customFormat="false" ht="33.75" hidden="false" customHeight="true" outlineLevel="0" collapsed="false">
      <c r="A23" s="26" t="s">
        <v>119</v>
      </c>
      <c r="B23" s="25" t="s">
        <v>120</v>
      </c>
      <c r="C23" s="25" t="s">
        <v>131</v>
      </c>
    </row>
    <row r="24" customFormat="false" ht="33.75" hidden="false" customHeight="true" outlineLevel="0" collapsed="false">
      <c r="A24" s="26" t="s">
        <v>119</v>
      </c>
      <c r="B24" s="25" t="s">
        <v>120</v>
      </c>
      <c r="C24" s="25" t="s">
        <v>132</v>
      </c>
    </row>
    <row r="25" customFormat="false" ht="33.75" hidden="false" customHeight="true" outlineLevel="0" collapsed="false">
      <c r="A25" s="26" t="s">
        <v>119</v>
      </c>
      <c r="B25" s="25" t="s">
        <v>120</v>
      </c>
      <c r="C25" s="25" t="s">
        <v>133</v>
      </c>
    </row>
    <row r="26" customFormat="false" ht="33.75" hidden="false" customHeight="true" outlineLevel="0" collapsed="false">
      <c r="A26" s="26" t="s">
        <v>119</v>
      </c>
      <c r="B26" s="25" t="s">
        <v>120</v>
      </c>
      <c r="C26" s="25" t="s">
        <v>134</v>
      </c>
    </row>
    <row r="27" customFormat="false" ht="33.75" hidden="false" customHeight="true" outlineLevel="0" collapsed="false">
      <c r="A27" s="26" t="s">
        <v>119</v>
      </c>
      <c r="B27" s="25" t="s">
        <v>120</v>
      </c>
      <c r="C27" s="25" t="s">
        <v>135</v>
      </c>
    </row>
    <row r="28" customFormat="false" ht="33.75" hidden="false" customHeight="true" outlineLevel="0" collapsed="false">
      <c r="A28" s="26" t="s">
        <v>119</v>
      </c>
      <c r="B28" s="25" t="s">
        <v>120</v>
      </c>
      <c r="C28" s="25" t="s">
        <v>136</v>
      </c>
    </row>
    <row r="29" customFormat="false" ht="33.75" hidden="false" customHeight="true" outlineLevel="0" collapsed="false">
      <c r="A29" s="26" t="s">
        <v>119</v>
      </c>
      <c r="B29" s="25" t="s">
        <v>120</v>
      </c>
      <c r="C29" s="25" t="s">
        <v>137</v>
      </c>
    </row>
    <row r="30" customFormat="false" ht="33.75" hidden="false" customHeight="true" outlineLevel="0" collapsed="false">
      <c r="A30" s="26" t="s">
        <v>119</v>
      </c>
      <c r="B30" s="25" t="s">
        <v>120</v>
      </c>
      <c r="C30" s="25" t="s">
        <v>138</v>
      </c>
    </row>
    <row r="31" customFormat="false" ht="33.75" hidden="false" customHeight="true" outlineLevel="0" collapsed="false">
      <c r="A31" s="26" t="s">
        <v>119</v>
      </c>
      <c r="B31" s="25" t="s">
        <v>120</v>
      </c>
      <c r="C31" s="25" t="s">
        <v>139</v>
      </c>
    </row>
    <row r="32" customFormat="false" ht="33.75" hidden="false" customHeight="true" outlineLevel="0" collapsed="false">
      <c r="A32" s="26" t="s">
        <v>119</v>
      </c>
      <c r="B32" s="25" t="s">
        <v>120</v>
      </c>
      <c r="C32" s="25" t="s">
        <v>140</v>
      </c>
    </row>
    <row r="33" customFormat="false" ht="33.75" hidden="false" customHeight="true" outlineLevel="0" collapsed="false">
      <c r="A33" s="26" t="s">
        <v>119</v>
      </c>
      <c r="B33" s="25" t="s">
        <v>120</v>
      </c>
      <c r="C33" s="25" t="s">
        <v>141</v>
      </c>
    </row>
    <row r="34" customFormat="false" ht="33.75" hidden="false" customHeight="true" outlineLevel="0" collapsed="false">
      <c r="A34" s="26" t="s">
        <v>119</v>
      </c>
      <c r="B34" s="25" t="s">
        <v>120</v>
      </c>
      <c r="C34" s="25" t="s">
        <v>142</v>
      </c>
    </row>
    <row r="35" customFormat="false" ht="33.75" hidden="false" customHeight="true" outlineLevel="0" collapsed="false">
      <c r="A35" s="26" t="s">
        <v>119</v>
      </c>
      <c r="B35" s="25" t="s">
        <v>120</v>
      </c>
      <c r="C35" s="25" t="s">
        <v>143</v>
      </c>
    </row>
    <row r="36" customFormat="false" ht="33.75" hidden="false" customHeight="true" outlineLevel="0" collapsed="false">
      <c r="A36" s="26" t="s">
        <v>119</v>
      </c>
      <c r="B36" s="25" t="s">
        <v>120</v>
      </c>
      <c r="C36" s="25" t="s">
        <v>144</v>
      </c>
    </row>
    <row r="37" customFormat="false" ht="33.75" hidden="false" customHeight="true" outlineLevel="0" collapsed="false">
      <c r="A37" s="26" t="s">
        <v>119</v>
      </c>
      <c r="B37" s="25" t="s">
        <v>120</v>
      </c>
      <c r="C37" s="25" t="s">
        <v>145</v>
      </c>
    </row>
    <row r="38" customFormat="false" ht="33.75" hidden="false" customHeight="true" outlineLevel="0" collapsed="false">
      <c r="A38" s="26" t="s">
        <v>119</v>
      </c>
      <c r="B38" s="25" t="s">
        <v>120</v>
      </c>
      <c r="C38" s="25" t="s">
        <v>146</v>
      </c>
    </row>
    <row r="39" customFormat="false" ht="33.75" hidden="false" customHeight="true" outlineLevel="0" collapsed="false">
      <c r="A39" s="26" t="s">
        <v>119</v>
      </c>
      <c r="B39" s="25" t="s">
        <v>120</v>
      </c>
      <c r="C39" s="25" t="s">
        <v>147</v>
      </c>
    </row>
    <row r="40" customFormat="false" ht="33.75" hidden="false" customHeight="true" outlineLevel="0" collapsed="false">
      <c r="A40" s="26" t="s">
        <v>119</v>
      </c>
      <c r="B40" s="25" t="s">
        <v>120</v>
      </c>
      <c r="C40" s="25" t="s">
        <v>148</v>
      </c>
    </row>
    <row r="41" customFormat="false" ht="33.75" hidden="false" customHeight="true" outlineLevel="0" collapsed="false">
      <c r="A41" s="26" t="s">
        <v>119</v>
      </c>
      <c r="B41" s="25" t="s">
        <v>120</v>
      </c>
      <c r="C41" s="25" t="s">
        <v>149</v>
      </c>
    </row>
    <row r="42" customFormat="false" ht="33.75" hidden="false" customHeight="true" outlineLevel="0" collapsed="false">
      <c r="A42" s="26" t="s">
        <v>119</v>
      </c>
      <c r="B42" s="25" t="s">
        <v>120</v>
      </c>
      <c r="C42" s="25" t="s">
        <v>150</v>
      </c>
    </row>
    <row r="43" customFormat="false" ht="33.75" hidden="false" customHeight="true" outlineLevel="0" collapsed="false">
      <c r="A43" s="26" t="s">
        <v>119</v>
      </c>
      <c r="B43" s="25" t="s">
        <v>120</v>
      </c>
      <c r="C43" s="25" t="s">
        <v>151</v>
      </c>
    </row>
    <row r="44" customFormat="false" ht="33.75" hidden="false" customHeight="true" outlineLevel="0" collapsed="false">
      <c r="A44" s="26" t="s">
        <v>119</v>
      </c>
      <c r="B44" s="25" t="s">
        <v>120</v>
      </c>
      <c r="C44" s="25" t="s">
        <v>152</v>
      </c>
    </row>
    <row r="45" customFormat="false" ht="33.75" hidden="false" customHeight="true" outlineLevel="0" collapsed="false">
      <c r="A45" s="26" t="s">
        <v>119</v>
      </c>
      <c r="B45" s="25" t="s">
        <v>120</v>
      </c>
      <c r="C45" s="25" t="s">
        <v>153</v>
      </c>
    </row>
    <row r="46" customFormat="false" ht="33.75" hidden="false" customHeight="true" outlineLevel="0" collapsed="false">
      <c r="A46" s="26" t="s">
        <v>119</v>
      </c>
      <c r="B46" s="25" t="s">
        <v>120</v>
      </c>
      <c r="C46" s="25" t="s">
        <v>154</v>
      </c>
    </row>
    <row r="47" customFormat="false" ht="33.75" hidden="false" customHeight="true" outlineLevel="0" collapsed="false">
      <c r="A47" s="26" t="s">
        <v>119</v>
      </c>
      <c r="B47" s="25" t="s">
        <v>120</v>
      </c>
      <c r="C47" s="25" t="s">
        <v>155</v>
      </c>
    </row>
    <row r="48" customFormat="false" ht="33.75" hidden="false" customHeight="true" outlineLevel="0" collapsed="false">
      <c r="A48" s="26" t="s">
        <v>119</v>
      </c>
      <c r="B48" s="25" t="s">
        <v>120</v>
      </c>
      <c r="C48" s="25" t="s">
        <v>156</v>
      </c>
    </row>
    <row r="49" customFormat="false" ht="33.75" hidden="false" customHeight="true" outlineLevel="0" collapsed="false">
      <c r="A49" s="26" t="s">
        <v>119</v>
      </c>
      <c r="B49" s="25" t="s">
        <v>120</v>
      </c>
      <c r="C49" s="25" t="s">
        <v>157</v>
      </c>
    </row>
    <row r="50" customFormat="false" ht="33.75" hidden="false" customHeight="true" outlineLevel="0" collapsed="false">
      <c r="A50" s="26" t="s">
        <v>119</v>
      </c>
      <c r="B50" s="25" t="s">
        <v>120</v>
      </c>
      <c r="C50" s="25" t="s">
        <v>158</v>
      </c>
    </row>
    <row r="51" customFormat="false" ht="33.75" hidden="false" customHeight="true" outlineLevel="0" collapsed="false">
      <c r="A51" s="26" t="s">
        <v>119</v>
      </c>
      <c r="B51" s="25" t="s">
        <v>120</v>
      </c>
      <c r="C51" s="25" t="s">
        <v>159</v>
      </c>
    </row>
    <row r="52" customFormat="false" ht="33.75" hidden="false" customHeight="true" outlineLevel="0" collapsed="false">
      <c r="A52" s="26" t="s">
        <v>119</v>
      </c>
      <c r="B52" s="25" t="s">
        <v>120</v>
      </c>
      <c r="C52" s="25" t="s">
        <v>160</v>
      </c>
    </row>
    <row r="53" customFormat="false" ht="33.75" hidden="false" customHeight="true" outlineLevel="0" collapsed="false">
      <c r="A53" s="26" t="s">
        <v>119</v>
      </c>
      <c r="B53" s="25" t="s">
        <v>120</v>
      </c>
      <c r="C53" s="25" t="s">
        <v>161</v>
      </c>
    </row>
    <row r="54" customFormat="false" ht="33.75" hidden="false" customHeight="true" outlineLevel="0" collapsed="false">
      <c r="A54" s="26" t="s">
        <v>119</v>
      </c>
      <c r="B54" s="25" t="s">
        <v>120</v>
      </c>
      <c r="C54" s="25" t="s">
        <v>162</v>
      </c>
    </row>
    <row r="55" customFormat="false" ht="33.75" hidden="false" customHeight="true" outlineLevel="0" collapsed="false">
      <c r="A55" s="26" t="s">
        <v>119</v>
      </c>
      <c r="B55" s="25" t="s">
        <v>120</v>
      </c>
      <c r="C55" s="25" t="s">
        <v>163</v>
      </c>
    </row>
    <row r="56" customFormat="false" ht="33.75" hidden="false" customHeight="true" outlineLevel="0" collapsed="false">
      <c r="A56" s="26" t="s">
        <v>119</v>
      </c>
      <c r="B56" s="25" t="s">
        <v>120</v>
      </c>
      <c r="C56" s="25" t="s">
        <v>164</v>
      </c>
    </row>
    <row r="57" customFormat="false" ht="33.75" hidden="false" customHeight="true" outlineLevel="0" collapsed="false">
      <c r="A57" s="26" t="s">
        <v>119</v>
      </c>
      <c r="B57" s="25" t="s">
        <v>120</v>
      </c>
      <c r="C57" s="25" t="s">
        <v>165</v>
      </c>
    </row>
    <row r="58" customFormat="false" ht="33.75" hidden="false" customHeight="true" outlineLevel="0" collapsed="false">
      <c r="A58" s="26" t="s">
        <v>119</v>
      </c>
      <c r="B58" s="25" t="s">
        <v>120</v>
      </c>
      <c r="C58" s="25" t="s">
        <v>166</v>
      </c>
    </row>
    <row r="59" customFormat="false" ht="33.75" hidden="false" customHeight="true" outlineLevel="0" collapsed="false">
      <c r="A59" s="26" t="s">
        <v>119</v>
      </c>
      <c r="B59" s="25" t="s">
        <v>120</v>
      </c>
      <c r="C59" s="25" t="s">
        <v>167</v>
      </c>
    </row>
    <row r="60" customFormat="false" ht="33.75" hidden="false" customHeight="true" outlineLevel="0" collapsed="false">
      <c r="A60" s="26" t="s">
        <v>119</v>
      </c>
      <c r="B60" s="25" t="s">
        <v>120</v>
      </c>
      <c r="C60" s="25" t="s">
        <v>168</v>
      </c>
    </row>
    <row r="61" customFormat="false" ht="33.75" hidden="false" customHeight="true" outlineLevel="0" collapsed="false">
      <c r="A61" s="26" t="s">
        <v>119</v>
      </c>
      <c r="B61" s="25" t="s">
        <v>120</v>
      </c>
      <c r="C61" s="25" t="s">
        <v>169</v>
      </c>
    </row>
    <row r="62" customFormat="false" ht="33.75" hidden="false" customHeight="true" outlineLevel="0" collapsed="false">
      <c r="A62" s="26" t="s">
        <v>119</v>
      </c>
      <c r="B62" s="25" t="s">
        <v>120</v>
      </c>
      <c r="C62" s="25" t="s">
        <v>170</v>
      </c>
    </row>
    <row r="63" customFormat="false" ht="33.75" hidden="false" customHeight="true" outlineLevel="0" collapsed="false">
      <c r="A63" s="26" t="s">
        <v>119</v>
      </c>
      <c r="B63" s="25" t="s">
        <v>120</v>
      </c>
      <c r="C63" s="25" t="s">
        <v>171</v>
      </c>
    </row>
    <row r="64" customFormat="false" ht="33.75" hidden="false" customHeight="true" outlineLevel="0" collapsed="false">
      <c r="A64" s="26" t="s">
        <v>119</v>
      </c>
      <c r="B64" s="25" t="s">
        <v>120</v>
      </c>
      <c r="C64" s="25" t="s">
        <v>172</v>
      </c>
    </row>
    <row r="65" customFormat="false" ht="33.75" hidden="false" customHeight="true" outlineLevel="0" collapsed="false">
      <c r="A65" s="26" t="s">
        <v>119</v>
      </c>
      <c r="B65" s="25" t="s">
        <v>120</v>
      </c>
      <c r="C65" s="25" t="s">
        <v>173</v>
      </c>
    </row>
    <row r="66" customFormat="false" ht="33.75" hidden="false" customHeight="true" outlineLevel="0" collapsed="false">
      <c r="A66" s="26" t="s">
        <v>119</v>
      </c>
      <c r="B66" s="25" t="s">
        <v>120</v>
      </c>
      <c r="C66" s="25" t="s">
        <v>174</v>
      </c>
    </row>
    <row r="67" customFormat="false" ht="33.75" hidden="false" customHeight="true" outlineLevel="0" collapsed="false">
      <c r="A67" s="26" t="s">
        <v>119</v>
      </c>
      <c r="B67" s="25" t="s">
        <v>120</v>
      </c>
      <c r="C67" s="25" t="s">
        <v>175</v>
      </c>
    </row>
    <row r="68" customFormat="false" ht="33.75" hidden="false" customHeight="true" outlineLevel="0" collapsed="false">
      <c r="A68" s="26" t="s">
        <v>119</v>
      </c>
      <c r="B68" s="25" t="s">
        <v>120</v>
      </c>
      <c r="C68" s="25" t="s">
        <v>176</v>
      </c>
    </row>
    <row r="69" customFormat="false" ht="33.75" hidden="false" customHeight="true" outlineLevel="0" collapsed="false">
      <c r="A69" s="26" t="s">
        <v>119</v>
      </c>
      <c r="B69" s="25" t="s">
        <v>120</v>
      </c>
      <c r="C69" s="25" t="s">
        <v>177</v>
      </c>
    </row>
    <row r="70" customFormat="false" ht="33.75" hidden="false" customHeight="true" outlineLevel="0" collapsed="false">
      <c r="A70" s="26" t="s">
        <v>119</v>
      </c>
      <c r="B70" s="25" t="s">
        <v>120</v>
      </c>
      <c r="C70" s="25" t="s">
        <v>178</v>
      </c>
    </row>
    <row r="71" customFormat="false" ht="33.75" hidden="false" customHeight="true" outlineLevel="0" collapsed="false">
      <c r="A71" s="26" t="s">
        <v>119</v>
      </c>
      <c r="B71" s="25" t="s">
        <v>120</v>
      </c>
      <c r="C71" s="25" t="s">
        <v>179</v>
      </c>
    </row>
    <row r="72" customFormat="false" ht="33.75" hidden="false" customHeight="true" outlineLevel="0" collapsed="false">
      <c r="A72" s="26" t="s">
        <v>119</v>
      </c>
      <c r="B72" s="25" t="s">
        <v>120</v>
      </c>
      <c r="C72" s="25" t="s">
        <v>180</v>
      </c>
    </row>
    <row r="73" customFormat="false" ht="33.75" hidden="false" customHeight="true" outlineLevel="0" collapsed="false">
      <c r="A73" s="26" t="s">
        <v>119</v>
      </c>
      <c r="B73" s="25" t="s">
        <v>120</v>
      </c>
      <c r="C73" s="25" t="s">
        <v>181</v>
      </c>
    </row>
    <row r="74" customFormat="false" ht="33.75" hidden="false" customHeight="true" outlineLevel="0" collapsed="false">
      <c r="A74" s="26" t="s">
        <v>119</v>
      </c>
      <c r="B74" s="25" t="s">
        <v>120</v>
      </c>
      <c r="C74" s="25" t="s">
        <v>182</v>
      </c>
    </row>
    <row r="75" customFormat="false" ht="33.75" hidden="false" customHeight="true" outlineLevel="0" collapsed="false">
      <c r="A75" s="26" t="s">
        <v>119</v>
      </c>
      <c r="B75" s="25" t="s">
        <v>120</v>
      </c>
      <c r="C75" s="25" t="s">
        <v>183</v>
      </c>
    </row>
    <row r="76" customFormat="false" ht="33.75" hidden="false" customHeight="true" outlineLevel="0" collapsed="false">
      <c r="A76" s="26" t="s">
        <v>119</v>
      </c>
      <c r="B76" s="25" t="s">
        <v>120</v>
      </c>
      <c r="C76" s="25" t="s">
        <v>184</v>
      </c>
    </row>
    <row r="77" customFormat="false" ht="33.75" hidden="false" customHeight="true" outlineLevel="0" collapsed="false">
      <c r="A77" s="26" t="s">
        <v>119</v>
      </c>
      <c r="B77" s="25" t="s">
        <v>120</v>
      </c>
      <c r="C77" s="25" t="s">
        <v>185</v>
      </c>
    </row>
    <row r="78" customFormat="false" ht="33.75" hidden="false" customHeight="true" outlineLevel="0" collapsed="false">
      <c r="A78" s="26" t="s">
        <v>119</v>
      </c>
      <c r="B78" s="25" t="s">
        <v>120</v>
      </c>
      <c r="C78" s="25" t="s">
        <v>186</v>
      </c>
    </row>
    <row r="79" customFormat="false" ht="33.75" hidden="false" customHeight="true" outlineLevel="0" collapsed="false">
      <c r="A79" s="26" t="s">
        <v>119</v>
      </c>
      <c r="B79" s="25" t="s">
        <v>120</v>
      </c>
      <c r="C79" s="25" t="s">
        <v>187</v>
      </c>
    </row>
    <row r="80" customFormat="false" ht="33.75" hidden="false" customHeight="true" outlineLevel="0" collapsed="false">
      <c r="A80" s="26" t="s">
        <v>119</v>
      </c>
      <c r="B80" s="25" t="s">
        <v>120</v>
      </c>
      <c r="C80" s="25" t="s">
        <v>188</v>
      </c>
    </row>
    <row r="81" customFormat="false" ht="33.75" hidden="false" customHeight="true" outlineLevel="0" collapsed="false">
      <c r="A81" s="26" t="s">
        <v>119</v>
      </c>
      <c r="B81" s="25" t="s">
        <v>120</v>
      </c>
      <c r="C81" s="25" t="s">
        <v>189</v>
      </c>
    </row>
    <row r="82" customFormat="false" ht="33.75" hidden="false" customHeight="true" outlineLevel="0" collapsed="false">
      <c r="A82" s="26" t="s">
        <v>119</v>
      </c>
      <c r="B82" s="25" t="s">
        <v>120</v>
      </c>
      <c r="C82" s="25" t="s">
        <v>190</v>
      </c>
    </row>
    <row r="83" customFormat="false" ht="33.75" hidden="false" customHeight="true" outlineLevel="0" collapsed="false">
      <c r="A83" s="26" t="s">
        <v>119</v>
      </c>
      <c r="B83" s="25" t="s">
        <v>120</v>
      </c>
      <c r="C83" s="25" t="s">
        <v>191</v>
      </c>
    </row>
    <row r="84" customFormat="false" ht="33.75" hidden="false" customHeight="true" outlineLevel="0" collapsed="false">
      <c r="A84" s="26" t="s">
        <v>119</v>
      </c>
      <c r="B84" s="25" t="s">
        <v>120</v>
      </c>
      <c r="C84" s="25" t="s">
        <v>192</v>
      </c>
    </row>
    <row r="85" customFormat="false" ht="33.75" hidden="false" customHeight="true" outlineLevel="0" collapsed="false">
      <c r="A85" s="26" t="s">
        <v>119</v>
      </c>
      <c r="B85" s="25" t="s">
        <v>120</v>
      </c>
      <c r="C85" s="25" t="s">
        <v>193</v>
      </c>
    </row>
    <row r="86" customFormat="false" ht="33.75" hidden="false" customHeight="true" outlineLevel="0" collapsed="false">
      <c r="A86" s="26" t="s">
        <v>119</v>
      </c>
      <c r="B86" s="25" t="s">
        <v>120</v>
      </c>
      <c r="C86" s="25" t="s">
        <v>194</v>
      </c>
    </row>
    <row r="87" customFormat="false" ht="33.75" hidden="false" customHeight="true" outlineLevel="0" collapsed="false">
      <c r="A87" s="26" t="s">
        <v>119</v>
      </c>
      <c r="B87" s="25" t="s">
        <v>120</v>
      </c>
      <c r="C87" s="25" t="s">
        <v>195</v>
      </c>
    </row>
    <row r="88" customFormat="false" ht="33.75" hidden="false" customHeight="true" outlineLevel="0" collapsed="false">
      <c r="A88" s="26" t="s">
        <v>119</v>
      </c>
      <c r="B88" s="25" t="s">
        <v>120</v>
      </c>
      <c r="C88" s="25" t="s">
        <v>196</v>
      </c>
    </row>
    <row r="89" customFormat="false" ht="33.75" hidden="false" customHeight="true" outlineLevel="0" collapsed="false">
      <c r="A89" s="26" t="s">
        <v>119</v>
      </c>
      <c r="B89" s="25" t="s">
        <v>120</v>
      </c>
      <c r="C89" s="25" t="s">
        <v>197</v>
      </c>
    </row>
    <row r="90" customFormat="false" ht="33.75" hidden="false" customHeight="true" outlineLevel="0" collapsed="false">
      <c r="A90" s="26" t="s">
        <v>119</v>
      </c>
      <c r="B90" s="25" t="s">
        <v>120</v>
      </c>
      <c r="C90" s="25" t="s">
        <v>198</v>
      </c>
    </row>
    <row r="91" customFormat="false" ht="33.75" hidden="false" customHeight="true" outlineLevel="0" collapsed="false">
      <c r="A91" s="26" t="s">
        <v>119</v>
      </c>
      <c r="B91" s="25" t="s">
        <v>120</v>
      </c>
      <c r="C91" s="25" t="s">
        <v>199</v>
      </c>
    </row>
    <row r="92" customFormat="false" ht="33.75" hidden="false" customHeight="true" outlineLevel="0" collapsed="false">
      <c r="A92" s="26" t="s">
        <v>119</v>
      </c>
      <c r="B92" s="25" t="s">
        <v>120</v>
      </c>
      <c r="C92" s="25" t="s">
        <v>200</v>
      </c>
    </row>
    <row r="93" customFormat="false" ht="33.75" hidden="false" customHeight="true" outlineLevel="0" collapsed="false">
      <c r="A93" s="26" t="s">
        <v>119</v>
      </c>
      <c r="B93" s="25" t="s">
        <v>120</v>
      </c>
      <c r="C93" s="25" t="s">
        <v>201</v>
      </c>
    </row>
    <row r="94" customFormat="false" ht="33.75" hidden="false" customHeight="true" outlineLevel="0" collapsed="false">
      <c r="A94" s="26" t="s">
        <v>119</v>
      </c>
      <c r="B94" s="25" t="s">
        <v>120</v>
      </c>
      <c r="C94" s="25" t="s">
        <v>202</v>
      </c>
    </row>
    <row r="95" customFormat="false" ht="33.75" hidden="false" customHeight="true" outlineLevel="0" collapsed="false">
      <c r="A95" s="26" t="s">
        <v>119</v>
      </c>
      <c r="B95" s="25" t="s">
        <v>120</v>
      </c>
      <c r="C95" s="25" t="s">
        <v>203</v>
      </c>
    </row>
    <row r="96" customFormat="false" ht="33.75" hidden="false" customHeight="true" outlineLevel="0" collapsed="false">
      <c r="A96" s="26" t="s">
        <v>119</v>
      </c>
      <c r="B96" s="25" t="s">
        <v>120</v>
      </c>
      <c r="C96" s="25" t="s">
        <v>204</v>
      </c>
    </row>
    <row r="97" customFormat="false" ht="33.75" hidden="false" customHeight="true" outlineLevel="0" collapsed="false">
      <c r="A97" s="26" t="s">
        <v>119</v>
      </c>
      <c r="B97" s="25" t="s">
        <v>120</v>
      </c>
      <c r="C97" s="25" t="s">
        <v>205</v>
      </c>
    </row>
    <row r="98" customFormat="false" ht="33.75" hidden="false" customHeight="true" outlineLevel="0" collapsed="false">
      <c r="A98" s="26" t="s">
        <v>119</v>
      </c>
      <c r="B98" s="25" t="s">
        <v>120</v>
      </c>
      <c r="C98" s="25" t="s">
        <v>206</v>
      </c>
    </row>
    <row r="99" customFormat="false" ht="33.75" hidden="false" customHeight="true" outlineLevel="0" collapsed="false">
      <c r="A99" s="26" t="s">
        <v>119</v>
      </c>
      <c r="B99" s="25" t="s">
        <v>120</v>
      </c>
      <c r="C99" s="25" t="s">
        <v>207</v>
      </c>
    </row>
    <row r="100" customFormat="false" ht="33.75" hidden="false" customHeight="true" outlineLevel="0" collapsed="false">
      <c r="A100" s="26" t="s">
        <v>119</v>
      </c>
      <c r="B100" s="25" t="s">
        <v>120</v>
      </c>
      <c r="C100" s="25" t="s">
        <v>208</v>
      </c>
    </row>
    <row r="101" customFormat="false" ht="33.75" hidden="false" customHeight="true" outlineLevel="0" collapsed="false">
      <c r="A101" s="26" t="s">
        <v>119</v>
      </c>
      <c r="B101" s="25" t="s">
        <v>120</v>
      </c>
      <c r="C101" s="25" t="s">
        <v>209</v>
      </c>
    </row>
    <row r="102" customFormat="false" ht="33.75" hidden="false" customHeight="true" outlineLevel="0" collapsed="false">
      <c r="A102" s="26" t="s">
        <v>119</v>
      </c>
      <c r="B102" s="25" t="s">
        <v>120</v>
      </c>
      <c r="C102" s="25" t="s">
        <v>210</v>
      </c>
    </row>
    <row r="103" customFormat="false" ht="33.75" hidden="false" customHeight="true" outlineLevel="0" collapsed="false">
      <c r="A103" s="26" t="s">
        <v>119</v>
      </c>
      <c r="B103" s="25" t="s">
        <v>120</v>
      </c>
      <c r="C103" s="25" t="s">
        <v>211</v>
      </c>
    </row>
    <row r="104" customFormat="false" ht="33.75" hidden="false" customHeight="true" outlineLevel="0" collapsed="false">
      <c r="A104" s="26" t="s">
        <v>119</v>
      </c>
      <c r="B104" s="25" t="s">
        <v>120</v>
      </c>
      <c r="C104" s="25" t="s">
        <v>212</v>
      </c>
    </row>
    <row r="105" customFormat="false" ht="33.75" hidden="false" customHeight="true" outlineLevel="0" collapsed="false">
      <c r="A105" s="26" t="s">
        <v>119</v>
      </c>
      <c r="B105" s="25" t="s">
        <v>120</v>
      </c>
      <c r="C105" s="25" t="s">
        <v>213</v>
      </c>
    </row>
    <row r="106" customFormat="false" ht="33.75" hidden="false" customHeight="true" outlineLevel="0" collapsed="false">
      <c r="A106" s="26" t="s">
        <v>119</v>
      </c>
      <c r="B106" s="25" t="s">
        <v>120</v>
      </c>
      <c r="C106" s="25" t="s">
        <v>214</v>
      </c>
    </row>
    <row r="107" customFormat="false" ht="33.75" hidden="false" customHeight="true" outlineLevel="0" collapsed="false">
      <c r="A107" s="26" t="s">
        <v>119</v>
      </c>
      <c r="B107" s="25" t="s">
        <v>120</v>
      </c>
      <c r="C107" s="25" t="s">
        <v>215</v>
      </c>
    </row>
    <row r="108" customFormat="false" ht="33.75" hidden="false" customHeight="true" outlineLevel="0" collapsed="false">
      <c r="A108" s="26" t="s">
        <v>119</v>
      </c>
      <c r="B108" s="25" t="s">
        <v>120</v>
      </c>
      <c r="C108" s="25" t="s">
        <v>216</v>
      </c>
    </row>
    <row r="109" customFormat="false" ht="33.75" hidden="false" customHeight="true" outlineLevel="0" collapsed="false">
      <c r="A109" s="26" t="s">
        <v>119</v>
      </c>
      <c r="B109" s="25" t="s">
        <v>120</v>
      </c>
      <c r="C109" s="25" t="s">
        <v>217</v>
      </c>
    </row>
    <row r="110" customFormat="false" ht="33.75" hidden="false" customHeight="true" outlineLevel="0" collapsed="false">
      <c r="A110" s="26" t="s">
        <v>119</v>
      </c>
      <c r="B110" s="25" t="s">
        <v>120</v>
      </c>
      <c r="C110" s="25" t="s">
        <v>218</v>
      </c>
    </row>
    <row r="111" customFormat="false" ht="33.75" hidden="false" customHeight="true" outlineLevel="0" collapsed="false">
      <c r="A111" s="26" t="s">
        <v>119</v>
      </c>
      <c r="B111" s="25" t="s">
        <v>120</v>
      </c>
      <c r="C111" s="25" t="s">
        <v>219</v>
      </c>
    </row>
    <row r="112" customFormat="false" ht="33.75" hidden="false" customHeight="true" outlineLevel="0" collapsed="false">
      <c r="A112" s="26" t="s">
        <v>119</v>
      </c>
      <c r="B112" s="25" t="s">
        <v>120</v>
      </c>
      <c r="C112" s="25" t="s">
        <v>220</v>
      </c>
    </row>
    <row r="113" customFormat="false" ht="33.75" hidden="false" customHeight="true" outlineLevel="0" collapsed="false">
      <c r="A113" s="26" t="s">
        <v>119</v>
      </c>
      <c r="B113" s="25" t="s">
        <v>120</v>
      </c>
      <c r="C113" s="25" t="s">
        <v>221</v>
      </c>
    </row>
    <row r="114" customFormat="false" ht="33.75" hidden="false" customHeight="true" outlineLevel="0" collapsed="false">
      <c r="A114" s="26" t="s">
        <v>119</v>
      </c>
      <c r="B114" s="25" t="s">
        <v>120</v>
      </c>
      <c r="C114" s="25" t="s">
        <v>222</v>
      </c>
    </row>
    <row r="115" customFormat="false" ht="33.75" hidden="false" customHeight="true" outlineLevel="0" collapsed="false">
      <c r="A115" s="26" t="s">
        <v>119</v>
      </c>
      <c r="B115" s="25" t="s">
        <v>120</v>
      </c>
      <c r="C115" s="25" t="s">
        <v>223</v>
      </c>
    </row>
    <row r="116" customFormat="false" ht="33.75" hidden="false" customHeight="true" outlineLevel="0" collapsed="false">
      <c r="A116" s="26" t="s">
        <v>119</v>
      </c>
      <c r="B116" s="25" t="s">
        <v>120</v>
      </c>
      <c r="C116" s="25" t="s">
        <v>224</v>
      </c>
    </row>
    <row r="117" customFormat="false" ht="33.75" hidden="false" customHeight="true" outlineLevel="0" collapsed="false">
      <c r="A117" s="26" t="s">
        <v>119</v>
      </c>
      <c r="B117" s="25" t="s">
        <v>120</v>
      </c>
      <c r="C117" s="25" t="s">
        <v>225</v>
      </c>
    </row>
    <row r="118" customFormat="false" ht="33.75" hidden="false" customHeight="true" outlineLevel="0" collapsed="false">
      <c r="A118" s="26" t="s">
        <v>119</v>
      </c>
      <c r="B118" s="25" t="s">
        <v>120</v>
      </c>
      <c r="C118" s="25" t="s">
        <v>226</v>
      </c>
    </row>
    <row r="119" customFormat="false" ht="33.75" hidden="false" customHeight="true" outlineLevel="0" collapsed="false">
      <c r="A119" s="26" t="s">
        <v>119</v>
      </c>
      <c r="B119" s="25" t="s">
        <v>120</v>
      </c>
      <c r="C119" s="25" t="s">
        <v>227</v>
      </c>
    </row>
    <row r="120" customFormat="false" ht="33.75" hidden="false" customHeight="true" outlineLevel="0" collapsed="false">
      <c r="A120" s="26" t="s">
        <v>119</v>
      </c>
      <c r="B120" s="25" t="s">
        <v>120</v>
      </c>
      <c r="C120" s="25" t="s">
        <v>228</v>
      </c>
    </row>
    <row r="121" customFormat="false" ht="33.75" hidden="false" customHeight="true" outlineLevel="0" collapsed="false">
      <c r="A121" s="26" t="s">
        <v>119</v>
      </c>
      <c r="B121" s="25" t="s">
        <v>120</v>
      </c>
      <c r="C121" s="25" t="s">
        <v>229</v>
      </c>
    </row>
    <row r="122" customFormat="false" ht="33.75" hidden="false" customHeight="true" outlineLevel="0" collapsed="false">
      <c r="A122" s="26" t="s">
        <v>119</v>
      </c>
      <c r="B122" s="25" t="s">
        <v>120</v>
      </c>
      <c r="C122" s="25" t="s">
        <v>230</v>
      </c>
    </row>
    <row r="123" customFormat="false" ht="33.75" hidden="false" customHeight="true" outlineLevel="0" collapsed="false">
      <c r="A123" s="26" t="s">
        <v>119</v>
      </c>
      <c r="B123" s="25" t="s">
        <v>120</v>
      </c>
      <c r="C123" s="25" t="s">
        <v>231</v>
      </c>
    </row>
    <row r="124" customFormat="false" ht="33.75" hidden="false" customHeight="true" outlineLevel="0" collapsed="false">
      <c r="A124" s="26" t="s">
        <v>119</v>
      </c>
      <c r="B124" s="25" t="s">
        <v>120</v>
      </c>
      <c r="C124" s="25" t="s">
        <v>232</v>
      </c>
    </row>
    <row r="125" customFormat="false" ht="33.75" hidden="false" customHeight="true" outlineLevel="0" collapsed="false">
      <c r="A125" s="26" t="s">
        <v>119</v>
      </c>
      <c r="B125" s="25" t="s">
        <v>120</v>
      </c>
      <c r="C125" s="25" t="s">
        <v>233</v>
      </c>
    </row>
    <row r="126" customFormat="false" ht="33.75" hidden="false" customHeight="true" outlineLevel="0" collapsed="false">
      <c r="A126" s="26" t="s">
        <v>119</v>
      </c>
      <c r="B126" s="25" t="s">
        <v>120</v>
      </c>
      <c r="C126" s="25" t="s">
        <v>234</v>
      </c>
    </row>
    <row r="127" customFormat="false" ht="33.75" hidden="false" customHeight="true" outlineLevel="0" collapsed="false">
      <c r="A127" s="26" t="s">
        <v>119</v>
      </c>
      <c r="B127" s="25" t="s">
        <v>120</v>
      </c>
      <c r="C127" s="25" t="s">
        <v>235</v>
      </c>
    </row>
    <row r="128" customFormat="false" ht="33.75" hidden="false" customHeight="true" outlineLevel="0" collapsed="false">
      <c r="A128" s="26" t="s">
        <v>119</v>
      </c>
      <c r="B128" s="25" t="s">
        <v>120</v>
      </c>
      <c r="C128" s="25" t="s">
        <v>236</v>
      </c>
    </row>
    <row r="129" customFormat="false" ht="33.75" hidden="false" customHeight="true" outlineLevel="0" collapsed="false">
      <c r="A129" s="26" t="s">
        <v>119</v>
      </c>
      <c r="B129" s="25" t="s">
        <v>120</v>
      </c>
      <c r="C129" s="25" t="s">
        <v>237</v>
      </c>
    </row>
    <row r="130" customFormat="false" ht="33.75" hidden="false" customHeight="true" outlineLevel="0" collapsed="false">
      <c r="A130" s="26" t="s">
        <v>119</v>
      </c>
      <c r="B130" s="25" t="s">
        <v>120</v>
      </c>
      <c r="C130" s="25" t="s">
        <v>238</v>
      </c>
    </row>
    <row r="131" customFormat="false" ht="33.75" hidden="false" customHeight="true" outlineLevel="0" collapsed="false">
      <c r="A131" s="26" t="s">
        <v>119</v>
      </c>
      <c r="B131" s="25" t="s">
        <v>120</v>
      </c>
      <c r="C131" s="25" t="s">
        <v>239</v>
      </c>
    </row>
    <row r="132" customFormat="false" ht="33.75" hidden="false" customHeight="true" outlineLevel="0" collapsed="false">
      <c r="A132" s="26" t="s">
        <v>119</v>
      </c>
      <c r="B132" s="25" t="s">
        <v>120</v>
      </c>
      <c r="C132" s="25" t="s">
        <v>240</v>
      </c>
    </row>
    <row r="133" customFormat="false" ht="33.75" hidden="false" customHeight="true" outlineLevel="0" collapsed="false">
      <c r="A133" s="26" t="s">
        <v>119</v>
      </c>
      <c r="B133" s="25" t="s">
        <v>120</v>
      </c>
      <c r="C133" s="25" t="s">
        <v>241</v>
      </c>
    </row>
    <row r="134" customFormat="false" ht="33.75" hidden="false" customHeight="true" outlineLevel="0" collapsed="false">
      <c r="A134" s="26" t="s">
        <v>119</v>
      </c>
      <c r="B134" s="25" t="s">
        <v>120</v>
      </c>
      <c r="C134" s="25" t="s">
        <v>242</v>
      </c>
    </row>
    <row r="135" customFormat="false" ht="33.75" hidden="false" customHeight="true" outlineLevel="0" collapsed="false">
      <c r="A135" s="26" t="s">
        <v>119</v>
      </c>
      <c r="B135" s="25" t="s">
        <v>120</v>
      </c>
      <c r="C135" s="25" t="s">
        <v>243</v>
      </c>
    </row>
    <row r="136" customFormat="false" ht="33.75" hidden="false" customHeight="true" outlineLevel="0" collapsed="false">
      <c r="A136" s="26" t="s">
        <v>119</v>
      </c>
      <c r="B136" s="25" t="s">
        <v>120</v>
      </c>
      <c r="C136" s="25" t="s">
        <v>244</v>
      </c>
    </row>
    <row r="137" customFormat="false" ht="33.75" hidden="false" customHeight="true" outlineLevel="0" collapsed="false">
      <c r="A137" s="26" t="s">
        <v>119</v>
      </c>
      <c r="B137" s="25" t="s">
        <v>120</v>
      </c>
      <c r="C137" s="25" t="s">
        <v>245</v>
      </c>
    </row>
    <row r="138" customFormat="false" ht="33.75" hidden="false" customHeight="true" outlineLevel="0" collapsed="false">
      <c r="A138" s="26" t="s">
        <v>119</v>
      </c>
      <c r="B138" s="25" t="s">
        <v>120</v>
      </c>
      <c r="C138" s="25" t="s">
        <v>246</v>
      </c>
    </row>
    <row r="139" customFormat="false" ht="33.75" hidden="false" customHeight="true" outlineLevel="0" collapsed="false">
      <c r="A139" s="26" t="s">
        <v>119</v>
      </c>
      <c r="B139" s="25" t="s">
        <v>120</v>
      </c>
      <c r="C139" s="25" t="s">
        <v>247</v>
      </c>
    </row>
    <row r="140" customFormat="false" ht="33.75" hidden="false" customHeight="true" outlineLevel="0" collapsed="false">
      <c r="A140" s="26" t="s">
        <v>119</v>
      </c>
      <c r="B140" s="25" t="s">
        <v>248</v>
      </c>
      <c r="C140" s="25" t="s">
        <v>249</v>
      </c>
    </row>
    <row r="141" customFormat="false" ht="33.75" hidden="false" customHeight="true" outlineLevel="0" collapsed="false">
      <c r="A141" s="26" t="s">
        <v>119</v>
      </c>
      <c r="B141" s="25" t="s">
        <v>250</v>
      </c>
      <c r="C141" s="25" t="s">
        <v>251</v>
      </c>
    </row>
    <row r="142" customFormat="false" ht="33.75" hidden="false" customHeight="true" outlineLevel="0" collapsed="false">
      <c r="A142" s="26" t="s">
        <v>119</v>
      </c>
      <c r="B142" s="25" t="s">
        <v>252</v>
      </c>
      <c r="C142" s="25" t="s">
        <v>253</v>
      </c>
    </row>
    <row r="143" customFormat="false" ht="33.75" hidden="false" customHeight="true" outlineLevel="0" collapsed="false">
      <c r="A143" s="26" t="s">
        <v>119</v>
      </c>
      <c r="B143" s="25" t="s">
        <v>254</v>
      </c>
      <c r="C143" s="25" t="s">
        <v>255</v>
      </c>
    </row>
  </sheetData>
  <autoFilter ref="A5:C143"/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2025-07-16T02:30:30Z</dcterms:created>
  <dc:creator>Varcas Kumar Sabharwal</dc:creator>
  <dc:description/>
  <dc:language>en-AE</dc:language>
  <cp:lastModifiedBy>Ryan Rodrigues</cp:lastModifiedBy>
  <dcterms:modified xsi:type="dcterms:W3CDTF">2026-10-03T22:04:50Z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0x01010068406715A740934999FE71FB7A3B349E</vt:lpwstr>
  </property>
</Properties>
</file>