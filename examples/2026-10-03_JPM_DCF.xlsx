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ank Model" sheetId="1" state="visible" r:id="rId3"/>
    <sheet name="Data Review" sheetId="2" state="visible" r:id="rId4"/>
  </sheets>
  <definedNames>
    <definedName function="false" hidden="true" localSheetId="0" name="_xlnm._FilterDatabase" vbProcedure="false">'Bank Model'!$A$5:$G$19</definedName>
    <definedName function="false" hidden="true" localSheetId="1" name="_xlnm._FilterDatabase" vbProcedure="false">'Data Review'!$A$5:$C$49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DCF Builder Pro</author>
  </authors>
  <commentList>
    <comment ref="B5" authorId="0">
      <text>
        <r>
          <rPr>
            <sz val="10"/>
            <rFont val="Arial"/>
            <family val="2"/>
          </rPr>
          <t xml:space="preserve">Canonical method: preferred_direct. Source filing(s): 0001628280-26-008131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Canonical method: preferred_direct. Source filing(s): 0001628280-26-008131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Canonical method: preferred_direct. Source filing(s): 0001628280-26-008131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Canonical method: filed_10k_bank_table_value_normalized_to_usd. Source filing(s): 0001628280-26-008131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Canonical method: filed_10k_bank_table_value_normalized_to_usd. Source filing(s): 0001628280-26-008131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Canonical method: preferred_direct. Source filing(s): 0001628280-26-008131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Canonical method: companyfacts_preferred_direct. Source filing(s): 0001628280-26-008131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Canonical method: companyfacts_preferred_direct. Source filing(s): 0001628280-26-008131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Canonical method: filed_10k_bank_table_value_normalized_to_usd. Source filing(s): 0001628280-26-008131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Canonical method: filed_10k_bank_table_value_normalized_to_usd. Source filing(s): 0001628280-26-008131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Canonical method: filed_10k_bank_table_value_normalized_to_usd. Source filing(s): 0001628280-26-008131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Canonical method: filed_10k_bank_table_value_normalized_to_usd. Source filing(s): 0001628280-26-008131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Canonical method: parent_attributable_equity_less_preferred_stock. Source filing(s): 0001628280-26-008131; 0001628280-26-008131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Canonical method: common_dividends_plus_common_stock_repurchases. Source filing(s): 0001628280-26-008131; 0001628280-26-008131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Canonical method: companyfacts_preferred_direct. Source filing(s): 0001628280-26-008131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Proxy: FY2021–FY2025 SEC loans_and_leases CAGR (1061328000000 to 1467664000000).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FY2021–FY2025 SEC loans_and_leases CAGR (1061328000000 to 1467664000000).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FY2021–FY2025 SEC deposits CAGR (2462303000000 to 2559320000000).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FY2025 interest income divided by filed average earning assets; FY2025 preferred_direct: InterestIncomeOperating accession 0001628280-26-008131 filed 2026-02-13; FY2025 filed_10k_bank_table_value_normalized_to_usd: BankAverageInterestEarningAssets accession 0001628280-26-008131 filed 2026-02-13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FY2025 interest expense divided by filed average interest-bearing liabilities; FY2025 preferred_direct: InterestExpenseOperating accession 0001628280-26-008131 filed 2026-02-13; FY2025 filed_10k_bank_table_value_normalized_to_usd: BankAverageInterestBearingLiabilities accession 0001628280-26-008131 filed 2026-02-13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FY2023–FY2025 filed noninterest-income CAGR; FY2023 filed_10k_bank_table_value_normalized_to_usd: BankNoninterestIncome accession 0001628280-26-008131 filed 2026-02-13; FY2025 filed_10k_bank_table_value_normalized_to_usd: BankNoninterestIncome accession 0001628280-26-008131 filed 2026-02-13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FY2025 noninterest expense divided by net interest income plus noninterest income.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FY2025 filed credit provision divided by average FY2024–FY2025 loans.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FY2025 income_tax_expense_over_pretax_income: IncomeTaxExpenseBenefit accession 0001628280-26-008131 filed 2026-02-13; IncomeLossFromContinuingOperationsBeforeIncomeTaxesExtraordinaryItemsNoncontrollingInterest accession 0001628280-26-008131 filed 2026-02-13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FY2025 filed common dividends and repurchases divided by net income available to common.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BankMinimumCet1Ratio accession 0001628280-26-008131 filed 2026-02-13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live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live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openbb_yfinance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Analyst base-case assumption: 2.5% nominal terminal residual-income growth; editable in the workbook.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Market source as of 2026-10-03.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Uses the latest filed weighted-average diluted shares from FY2025; the exact concept and filing are shown in the sourced input table.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2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<sst xmlns="http://schemas.openxmlformats.org/spreadsheetml/2006/main" count="310" uniqueCount="163">
  <si>
    <t xml:space="preserve">JPMORGAN CHASE &amp; CO (JPM) — Bank Residual Income Model</t>
  </si>
  <si>
    <t xml:space="preserve">Equity value model. Amounts are USD actual values displayed in millions, except per share, ratios, and shares. Blue cells are editable assumptions; forecast and valuation cells contain formulas.</t>
  </si>
  <si>
    <t xml:space="preserve">Filed FY2025 bank inputs and sources</t>
  </si>
  <si>
    <t xml:space="preserve">Input</t>
  </si>
  <si>
    <t xml:space="preserve">FY2025 value</t>
  </si>
  <si>
    <t xml:space="preserve">SEC concept(s)</t>
  </si>
  <si>
    <t xml:space="preserve">Accession(s)</t>
  </si>
  <si>
    <t xml:space="preserve">Filed date(s)</t>
  </si>
  <si>
    <t xml:space="preserve">Fiscal period(s)</t>
  </si>
  <si>
    <t xml:space="preserve">Source unit(s)</t>
  </si>
  <si>
    <t xml:space="preserve">Interest income</t>
  </si>
  <si>
    <t xml:space="preserve">InterestIncomeOperating</t>
  </si>
  <si>
    <t xml:space="preserve">0001628280-26-008131</t>
  </si>
  <si>
    <t xml:space="preserve">2026-02-13</t>
  </si>
  <si>
    <t xml:space="preserve">FY 2025</t>
  </si>
  <si>
    <t xml:space="preserve">USD actual</t>
  </si>
  <si>
    <t xml:space="preserve">Interest expense</t>
  </si>
  <si>
    <t xml:space="preserve">InterestExpenseOperating</t>
  </si>
  <si>
    <t xml:space="preserve">Net interest income</t>
  </si>
  <si>
    <t xml:space="preserve">InterestIncomeExpenseNet</t>
  </si>
  <si>
    <t xml:space="preserve">Noninterest income</t>
  </si>
  <si>
    <t xml:space="preserve">BankNoninterestIncome</t>
  </si>
  <si>
    <t xml:space="preserve">USD millions</t>
  </si>
  <si>
    <t xml:space="preserve">Noninterest expense</t>
  </si>
  <si>
    <t xml:space="preserve">BankNoninterestExpense</t>
  </si>
  <si>
    <t xml:space="preserve">Provision for credit losses</t>
  </si>
  <si>
    <t xml:space="preserve">ProvisionForLoanLeaseAndOtherLosses</t>
  </si>
  <si>
    <t xml:space="preserve">Loans and leases</t>
  </si>
  <si>
    <t xml:space="preserve">us-gaap:FinancingReceivableExcludingAccruedInterestAfterAllowanceForCreditLoss</t>
  </si>
  <si>
    <t xml:space="preserve">Deposits</t>
  </si>
  <si>
    <t xml:space="preserve">us-gaap:Deposits</t>
  </si>
  <si>
    <t xml:space="preserve">Average interest-bearing liabilities</t>
  </si>
  <si>
    <t xml:space="preserve">BankAverageInterestBearingLiabilities</t>
  </si>
  <si>
    <t xml:space="preserve">Average interest-earning assets</t>
  </si>
  <si>
    <t xml:space="preserve">BankAverageInterestEarningAssets</t>
  </si>
  <si>
    <t xml:space="preserve">Risk-weighted assets</t>
  </si>
  <si>
    <t xml:space="preserve">BankRiskWeightedAssets</t>
  </si>
  <si>
    <t xml:space="preserve">CET1 capital</t>
  </si>
  <si>
    <t xml:space="preserve">BankCET1Capital</t>
  </si>
  <si>
    <t xml:space="preserve">Common equity</t>
  </si>
  <si>
    <t xml:space="preserve">StockholdersEquity; us-gaap:PreferredStockIncludingAdditionalPaidInCapitalNetOfDiscount</t>
  </si>
  <si>
    <t xml:space="preserve">Common equity distributions</t>
  </si>
  <si>
    <t xml:space="preserve">PaymentsOfDividendsCommonStock; PaymentsForRepurchaseOfCommonStock</t>
  </si>
  <si>
    <t xml:space="preserve">Weighted-average diluted shares</t>
  </si>
  <si>
    <t xml:space="preserve">us-gaap:WeightedAverageNumberOfDilutedSharesOutstanding</t>
  </si>
  <si>
    <t xml:space="preserve">shares actual</t>
  </si>
  <si>
    <t xml:space="preserve">Editable forecast and valuation assumptions</t>
  </si>
  <si>
    <t xml:space="preserve">Earning-asset growth</t>
  </si>
  <si>
    <t xml:space="preserve">Loan growth</t>
  </si>
  <si>
    <t xml:space="preserve">Deposit growth</t>
  </si>
  <si>
    <t xml:space="preserve">Earning-asset yield</t>
  </si>
  <si>
    <t xml:space="preserve">Funding cost</t>
  </si>
  <si>
    <t xml:space="preserve">Noninterest-income growth</t>
  </si>
  <si>
    <t xml:space="preserve">Efficiency ratio</t>
  </si>
  <si>
    <t xml:space="preserve">Provision rate on average loans</t>
  </si>
  <si>
    <t xml:space="preserve">Tax rate</t>
  </si>
  <si>
    <t xml:space="preserve">Target common payout ratio</t>
  </si>
  <si>
    <t xml:space="preserve">Minimum CET1 ratio</t>
  </si>
  <si>
    <t xml:space="preserve">Risk-free rate</t>
  </si>
  <si>
    <t xml:space="preserve">Equity risk premium</t>
  </si>
  <si>
    <t xml:space="preserve">Beta</t>
  </si>
  <si>
    <t xml:space="preserve">Cost of equity (CAPM)</t>
  </si>
  <si>
    <t xml:space="preserve">Terminal residual-income growth</t>
  </si>
  <si>
    <t xml:space="preserve">Current share price</t>
  </si>
  <si>
    <t xml:space="preserve">Diluted shares for valuation</t>
  </si>
  <si>
    <t xml:space="preserve">Five-year operating, capital, and residual-income forecast</t>
  </si>
  <si>
    <t xml:space="preserve">Forecast schedule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</si>
  <si>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</si>
  <si>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</si>
  <si>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</si>
  <si>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</si>
  <si>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</si>
  <si>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Interest-bearing liabilities</t>
  </si>
  <si>
    <t xml:space="preserve">Total revenue</t>
  </si>
  <si>
    <t xml:space="preserve">Average loans and leases</t>
  </si>
  <si>
    <t xml:space="preserve">Pretax income</t>
  </si>
  <si>
    <t xml:space="preserve">Tax expense</t>
  </si>
  <si>
    <t xml:space="preserve">Net income available to common</t>
  </si>
  <si>
    <t xml:space="preserve">Opening common equity</t>
  </si>
  <si>
    <t xml:space="preserve">Target common distributions</t>
  </si>
  <si>
    <t xml:space="preserve">Opening CET1 capital</t>
  </si>
  <si>
    <t xml:space="preserve">Ending risk-weighted assets</t>
  </si>
  <si>
    <t xml:space="preserve">Required CET1 capital</t>
  </si>
  <si>
    <t xml:space="preserve">CET1 capital before distributions</t>
  </si>
  <si>
    <t xml:space="preserve">Available distribution capacity</t>
  </si>
  <si>
    <t xml:space="preserve">Allowed common distributions</t>
  </si>
  <si>
    <t xml:space="preserve">Ending CET1 capital</t>
  </si>
  <si>
    <t xml:space="preserve">Ending CET1 ratio</t>
  </si>
  <si>
    <t xml:space="preserve">Ending common equity</t>
  </si>
  <si>
    <t xml:space="preserve">Equity charge</t>
  </si>
  <si>
    <t xml:space="preserve">Residual income</t>
  </si>
  <si>
    <t xml:space="preserve">Present value of residual income</t>
  </si>
  <si>
    <t xml:space="preserve">Residual-income equity valuation</t>
  </si>
  <si>
    <t xml:space="preserve">PV of forecast residual income</t>
  </si>
  <si>
    <t xml:space="preserve">Terminal residual income</t>
  </si>
  <si>
    <t xml:space="preserve">PV of terminal residual income</t>
  </si>
  <si>
    <t xml:space="preserve">Common equity value</t>
  </si>
  <si>
    <t xml:space="preserve">Implied share price</t>
  </si>
  <si>
    <t xml:space="preserve">Implied return</t>
  </si>
  <si>
    <t xml:space="preserve">Enterprise value</t>
  </si>
  <si>
    <t xml:space="preserve">Not applicable — bank equity model</t>
  </si>
  <si>
    <t xml:space="preserve">Historical interest reconciliation</t>
  </si>
  <si>
    <t xml:space="preserve">Latest filed CET1 ratio</t>
  </si>
  <si>
    <t xml:space="preserve">Equity value sensitivity — cost of equity and terminal growth</t>
  </si>
  <si>
    <t xml:space="preserve">Cost of equity / terminal growth</t>
  </si>
  <si>
    <t xml:space="preserve">PV forecast residual income</t>
  </si>
  <si>
    <t xml:space="preserve">Year 5 residual income</t>
  </si>
  <si>
    <t xml:space="preserve">Sensitivity basis</t>
  </si>
  <si>
    <t xml:space="preserve">Opening common equity plus discounted forecast and terminal residual income; cells blank when terminal growth is not below cost of equity.</t>
  </si>
  <si>
    <t xml:space="preserve">Data Review — JPMORGAN CHASE &amp; CO (JPM)</t>
  </si>
  <si>
    <t xml:space="preserve">The model values common equity from residual income. Enterprise value is not applicable to a bank.</t>
  </si>
  <si>
    <t xml:space="preserve">Status</t>
  </si>
  <si>
    <t xml:space="preserve">Area</t>
  </si>
  <si>
    <t xml:space="preserve">Review note</t>
  </si>
  <si>
    <t xml:space="preserve">REVIEW</t>
  </si>
  <si>
    <t xml:space="preserve">Assumption</t>
  </si>
  <si>
    <t xml:space="preserve">The filed minimum CET1 ratio is editable; confirm how current supervisory buffers apply to the institution.</t>
  </si>
  <si>
    <t xml:space="preserve">CET1 retained earnings are forecast with an explicit net-income-less-distributions proxy.</t>
  </si>
  <si>
    <t xml:space="preserve">valuation_context: data status is cached</t>
  </si>
  <si>
    <t xml:space="preserve">insider_trades: Insider trades are intentionally lazy-loaded and do not block the primary valuation load.</t>
  </si>
  <si>
    <t xml:space="preserve">INFO</t>
  </si>
  <si>
    <t xml:space="preserve">Source</t>
  </si>
  <si>
    <t xml:space="preserve">FY2025 interest_income: preferred_direct; InterestIncomeOperating, accession 0001628280-26-008131, filed 2026-02-13, FY 2025, USD actual</t>
  </si>
  <si>
    <t xml:space="preserve">FY2025 interest_expense: preferred_direct; InterestExpenseOperating, accession 0001628280-26-008131, filed 2026-02-13, FY 2025, USD actual</t>
  </si>
  <si>
    <t xml:space="preserve">FY2025 net_interest_income: preferred_direct; InterestIncomeExpenseNet, accession 0001628280-26-008131, filed 2026-02-13, FY 2025, USD actual</t>
  </si>
  <si>
    <t xml:space="preserve">FY2025 noninterest_income: filed_10k_bank_table_value_normalized_to_usd; BankNoninterestIncome, accession 0001628280-26-008131, filed 2026-02-13, FY 2025, USD millions</t>
  </si>
  <si>
    <t xml:space="preserve">FY2025 noninterest_expense: filed_10k_bank_table_value_normalized_to_usd; BankNoninterestExpense, accession 0001628280-26-008131, filed 2026-02-13, FY 2025, USD millions</t>
  </si>
  <si>
    <t xml:space="preserve">FY2025 provision_for_credit_losses: preferred_direct; ProvisionForLoanLeaseAndOtherLosses, accession 0001628280-26-008131, filed 2026-02-13, FY 2025, USD actual</t>
  </si>
  <si>
    <t xml:space="preserve">FY2025 loans_and_leases: companyfacts_preferred_direct; us-gaap:FinancingReceivableExcludingAccruedInterestAfterAllowanceForCreditLoss, accession 0001628280-26-008131, filed 2026-02-13, FY 2025, USD actual</t>
  </si>
  <si>
    <t xml:space="preserve">FY2025 deposits: companyfacts_preferred_direct; us-gaap:Deposits, accession 0001628280-26-008131, filed 2026-02-13, FY 2025, USD actual</t>
  </si>
  <si>
    <t xml:space="preserve">FY2025 interest_bearing_liabilities: filed_10k_bank_table_value_normalized_to_usd; BankAverageInterestBearingLiabilities, accession 0001628280-26-008131, filed 2026-02-13, FY 2025, USD millions</t>
  </si>
  <si>
    <t xml:space="preserve">FY2025 interest_earning_assets: filed_10k_bank_table_value_normalized_to_usd; BankAverageInterestEarningAssets, accession 0001628280-26-008131, filed 2026-02-13, FY 2025, USD millions</t>
  </si>
  <si>
    <t xml:space="preserve">FY2025 risk_weighted_assets: filed_10k_bank_table_value_normalized_to_usd; BankRiskWeightedAssets, accession 0001628280-26-008131, filed 2026-02-13, FY 2025, USD millions</t>
  </si>
  <si>
    <t xml:space="preserve">FY2025 cet1_capital: filed_10k_bank_table_value_normalized_to_usd; BankCET1Capital, accession 0001628280-26-008131, filed 2026-02-13, FY 2025, USD millions</t>
  </si>
  <si>
    <t xml:space="preserve">FY2025 minimum_cet1_ratio: filed_10k_cet1_requirement_percent_normalized_to_ratio; BankMinimumCet1Ratio, accession 0001628280-26-008131, filed 2026-02-13, FY 2025, percent percent</t>
  </si>
  <si>
    <t xml:space="preserve">FY2025 common_equity: parent_attributable_equity_less_preferred_stock; StockholdersEquity, accession 0001628280-26-008131, filed 2026-02-13, FY 2025, USD actual; us-gaap:PreferredStockIncludingAdditionalPaidInCapitalNetOfDiscount, accession 0001628280-26-008131, filed 2026-02-13, FY 2025, USD actual</t>
  </si>
  <si>
    <t xml:space="preserve">FY2025 common_equity_distributions: common_dividends_plus_common_stock_repurchases; PaymentsOfDividendsCommonStock, accession 0001628280-26-008131, filed 2026-02-13, FY 2025, USD actual; PaymentsForRepurchaseOfCommonStock, accession 0001628280-26-008131, filed 2026-02-13, FY 2025, USD actual</t>
  </si>
  <si>
    <t xml:space="preserve">FY2025 diluted_shares: companyfacts_preferred_direct; us-gaap:WeightedAverageNumberOfDilutedSharesOutstanding, accession 0001628280-26-008131, filed 2026-02-13, FY 2025, shares actual</t>
  </si>
  <si>
    <t xml:space="preserve">Risk-free rate 0.0528 from live; equity risk premium 0.0838 from live; beta 0.97 from openbb_yfinance; market context as of 2026-10-03.</t>
  </si>
  <si>
    <t xml:space="preserve">Minimum CET1 ratio 0.1150; source: BankMinimumCet1Ratio accession 0001628280-26-008131 filed 2026-02-13.</t>
  </si>
  <si>
    <t xml:space="preserve">Bank model is equity value based; enterprise value is not applicable.</t>
  </si>
  <si>
    <t xml:space="preserve">CET1 forecast roll-forward uses net income less common distributions as an explicit proxy; regulatory deductions, AOCI, and supervisory adjustments are not forecast separately.</t>
  </si>
  <si>
    <t xml:space="preserve">earningAssetGrowth assumption source: Proxy: FY2021–FY2025 SEC loans_and_leases CAGR (1061328000000 to 1467664000000)..</t>
  </si>
  <si>
    <t xml:space="preserve">loanGrowth assumption source: FY2021–FY2025 SEC loans_and_leases CAGR (1061328000000 to 1467664000000)..</t>
  </si>
  <si>
    <t xml:space="preserve">depositGrowth assumption source: FY2021–FY2025 SEC deposits CAGR (2462303000000 to 2559320000000)..</t>
  </si>
  <si>
    <t xml:space="preserve">earningAssetYield assumption source: FY2025 interest income divided by filed average earning assets; FY2025 preferred_direct: InterestIncomeOperating accession 0001628280-26-008131 filed 2026-02-13; FY2025 filed_10k_bank_table_value_normalized_to_usd: BankAverageInterestEarningAssets accession 0001628280-26-008131 filed 2026-02-13.</t>
  </si>
  <si>
    <t xml:space="preserve">fundingCost assumption source: FY2025 interest expense divided by filed average interest-bearing liabilities; FY2025 preferred_direct: InterestExpenseOperating accession 0001628280-26-008131 filed 2026-02-13; FY2025 filed_10k_bank_table_value_normalized_to_usd: BankAverageInterestBearingLiabilities accession 0001628280-26-008131 filed 2026-02-13.</t>
  </si>
  <si>
    <t xml:space="preserve">noninterestIncomeGrowth assumption source: FY2023–FY2025 filed noninterest-income CAGR; FY2023 filed_10k_bank_table_value_normalized_to_usd: BankNoninterestIncome accession 0001628280-26-008131 filed 2026-02-13; FY2025 filed_10k_bank_table_value_normalized_to_usd: BankNoninterestIncome accession 0001628280-26-008131 filed 2026-02-13.</t>
  </si>
  <si>
    <t xml:space="preserve">efficiencyRatio assumption source: FY2025 noninterest expense divided by net interest income plus noninterest income..</t>
  </si>
  <si>
    <t xml:space="preserve">provisionRate assumption source: FY2025 filed credit provision divided by average FY2024–FY2025 loans..</t>
  </si>
  <si>
    <t xml:space="preserve">taxRate assumption source: FY2025 income_tax_expense_over_pretax_income: IncomeTaxExpenseBenefit accession 0001628280-26-008131 filed 2026-02-13; IncomeLossFromContinuingOperationsBeforeIncomeTaxesExtraordinaryItemsNoncontrollingInterest accession 0001628280-26-008131 filed 2026-02-13.</t>
  </si>
  <si>
    <t xml:space="preserve">payoutRatio assumption source: FY2025 filed common dividends and repurchases divided by net income available to common..</t>
  </si>
  <si>
    <t xml:space="preserve">terminalGrowthRate assumption source: Analyst base-case assumption: 2.5% nominal terminal residual-income growth; editable in the workbook..</t>
  </si>
  <si>
    <t xml:space="preserve">Financial statements are annual through FY2025; interim filings are not included. Review current-year forecasts against the latest SEC quarterly results.</t>
  </si>
  <si>
    <t xml:space="preserve">Market context as of 2026-10-03</t>
  </si>
  <si>
    <t xml:space="preserve">financials: edgartools_native</t>
  </si>
  <si>
    <t xml:space="preserve">profile: SEC Edgar</t>
  </si>
  <si>
    <t xml:space="preserve">market_data: openbb_yfinance</t>
  </si>
  <si>
    <t xml:space="preserve">market_context: backend_canonical_valuation_context</t>
  </si>
  <si>
    <t xml:space="preserve">peers: backend_peer_pipeline</t>
  </si>
  <si>
    <t xml:space="preserve">insider_trades: lazy_optional</t>
  </si>
  <si>
    <t xml:space="preserve">Sensitivity</t>
  </si>
  <si>
    <t xml:space="preserve">Equity value sensitivity varies cost of equity and terminal residual-income growth; both axes are linked to the editable base assumptions.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</si>
</sst>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* #,##0.00_-;\-* #,##0.00_-;_-* \-??_-;_-@_-"/>
    <numFmt numFmtId="166" formatCode="_-\$* #,##0.00_-;&quot;-$&quot;* #,##0.00_-;_-\$* \-??_-;_-@_-"/>
    <numFmt numFmtId="167" formatCode="0%"/>
    <numFmt numFmtId="168" formatCode="#,##0.0,,;[RED]\(#,##0.0,,\);\-"/>
    <numFmt numFmtId="169" formatCode="0.0%;[RED]\(0.0%\);\-"/>
    <numFmt numFmtId="170" formatCode="0.00"/>
    <numFmt numFmtId="171" formatCode="\$#,##0.00;[RED]&quot;($&quot;#,##0.00\);\-"/>
  </numFmts>
  <fonts count="2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Aptos Narrow"/>
      <family val="2"/>
      <charset val="1"/>
    </font>
    <font>
      <sz val="8"/>
      <name val="Arial"/>
      <family val="2"/>
      <charset val="1"/>
    </font>
    <font>
      <sz val="11"/>
      <color rgb="FF000000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0"/>
      <color rgb="FF000000"/>
      <name val="Times New Roman"/>
      <family val="1"/>
      <charset val="1"/>
    </font>
    <font>
      <sz val="9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10"/>
      <color rgb="FF000000"/>
      <name val="Aptos Narrow"/>
      <family val="2"/>
      <charset val="1"/>
    </font>
    <font>
      <sz val="10"/>
      <color theme="1"/>
      <name val="Trebuchet MS"/>
      <family val="2"/>
      <charset val="1"/>
    </font>
    <font>
      <sz val="9"/>
      <color rgb="FF000000"/>
      <name val="Arial"/>
      <family val="2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sz val="10"/>
      <name val="Arial"/>
      <family val="2"/>
    </font>
    <font>
      <i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D9EAF7"/>
        <bgColor rgb="FFDDEBF7"/>
      </patternFill>
    </fill>
    <fill>
      <patternFill patternType="solid">
        <fgColor rgb="FF365F91"/>
        <bgColor rgb="FF333399"/>
      </patternFill>
    </fill>
    <fill>
      <patternFill patternType="solid">
        <fgColor rgb="FFFFF2CC"/>
        <bgColor rgb="FFFCE4D6"/>
      </patternFill>
    </fill>
    <fill>
      <patternFill patternType="solid">
        <fgColor rgb="FFE2F0D9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5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3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FE" xfId="20"/>
    <cellStyle name="Comma 2" xfId="21"/>
    <cellStyle name="Comma 3" xfId="22"/>
    <cellStyle name="Comma 4" xfId="23"/>
    <cellStyle name="Comma 4 2" xfId="24"/>
    <cellStyle name="Comma 5" xfId="25"/>
    <cellStyle name="Comma 6" xfId="26"/>
    <cellStyle name="Currency 2" xfId="27"/>
    <cellStyle name="Currency 4" xfId="28"/>
    <cellStyle name="HeaderCellStyle" xfId="29"/>
    <cellStyle name="Normal 10" xfId="30"/>
    <cellStyle name="Normal 17" xfId="31"/>
    <cellStyle name="Normal 18" xfId="32"/>
    <cellStyle name="Normal 2" xfId="33"/>
    <cellStyle name="Normal 2 2" xfId="34"/>
    <cellStyle name="Normal 2 2 2" xfId="35"/>
    <cellStyle name="Normal 2 3" xfId="36"/>
    <cellStyle name="Normal 3" xfId="37"/>
    <cellStyle name="Normal 3 2 3" xfId="38"/>
    <cellStyle name="Normal 3 2 3 2" xfId="39"/>
    <cellStyle name="Normal 4" xfId="40"/>
    <cellStyle name="Normal 5" xfId="41"/>
    <cellStyle name="Normal 5 2" xfId="42"/>
    <cellStyle name="Normal 5 3" xfId="43"/>
    <cellStyle name="Normal 5 4" xfId="44"/>
    <cellStyle name="Normal 6" xfId="45"/>
    <cellStyle name="Normal 7" xfId="46"/>
    <cellStyle name="Normal 8" xfId="47"/>
    <cellStyle name="Normal_Ch01 Pics v2.2" xfId="48"/>
    <cellStyle name="Percent 2" xfId="49"/>
    <cellStyle name="Percent 3" xfId="50"/>
  </cellStyles>
  <dxfs count="7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365F91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365F91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9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3" topLeftCell="C44" activePane="bottomRight" state="frozen"/>
      <selection pane="topLeft" activeCell="A1" activeCellId="0" sqref="A1"/>
      <selection pane="topRight" activeCell="C1" activeCellId="0" sqref="C1"/>
      <selection pane="bottomLeft" activeCell="A44" activeCellId="0" sqref="A44"/>
      <selection pane="bottomRigh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39"/>
    <col collapsed="false" customWidth="true" hidden="false" outlineLevel="0" max="7" min="2" style="0" width="17"/>
    <col collapsed="false" customWidth="true" hidden="false" outlineLevel="0" max="8" min="8" style="0" width="28"/>
    <col collapsed="false" customWidth="true" hidden="false" outlineLevel="0" max="9" min="9" style="0" width="24"/>
    <col collapsed="false" customWidth="true" hidden="false" outlineLevel="0" max="11" min="10" style="0" width="14"/>
    <col collapsed="false" customWidth="true" hidden="false" outlineLevel="0" max="12" min="12" style="0" width="2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customFormat="false" ht="30" hidden="false" customHeight="true" outlineLevel="0" collapsed="false">
      <c r="A5" s="5" t="s">
        <v>10</v>
      </c>
      <c r="B5" s="6" t="n">
        <v>193341000000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</row>
    <row r="6" customFormat="false" ht="30" hidden="false" customHeight="true" outlineLevel="0" collapsed="false">
      <c r="A6" s="5" t="s">
        <v>16</v>
      </c>
      <c r="B6" s="6" t="n">
        <v>97898000000</v>
      </c>
      <c r="C6" s="7" t="s">
        <v>17</v>
      </c>
      <c r="D6" s="7" t="s">
        <v>12</v>
      </c>
      <c r="E6" s="7" t="s">
        <v>13</v>
      </c>
      <c r="F6" s="7" t="s">
        <v>14</v>
      </c>
      <c r="G6" s="7" t="s">
        <v>15</v>
      </c>
    </row>
    <row r="7" customFormat="false" ht="30" hidden="false" customHeight="true" outlineLevel="0" collapsed="false">
      <c r="A7" s="5" t="s">
        <v>18</v>
      </c>
      <c r="B7" s="6" t="n">
        <v>95443000000</v>
      </c>
      <c r="C7" s="7" t="s">
        <v>19</v>
      </c>
      <c r="D7" s="7" t="s">
        <v>12</v>
      </c>
      <c r="E7" s="7" t="s">
        <v>13</v>
      </c>
      <c r="F7" s="7" t="s">
        <v>14</v>
      </c>
      <c r="G7" s="7" t="s">
        <v>15</v>
      </c>
    </row>
    <row r="8" customFormat="false" ht="30" hidden="false" customHeight="true" outlineLevel="0" collapsed="false">
      <c r="A8" s="5" t="s">
        <v>20</v>
      </c>
      <c r="B8" s="6" t="n">
        <v>87004000000</v>
      </c>
      <c r="C8" s="7" t="s">
        <v>21</v>
      </c>
      <c r="D8" s="7" t="s">
        <v>12</v>
      </c>
      <c r="E8" s="7" t="s">
        <v>13</v>
      </c>
      <c r="F8" s="7" t="s">
        <v>14</v>
      </c>
      <c r="G8" s="7" t="s">
        <v>22</v>
      </c>
    </row>
    <row r="9" customFormat="false" ht="30" hidden="false" customHeight="true" outlineLevel="0" collapsed="false">
      <c r="A9" s="5" t="s">
        <v>23</v>
      </c>
      <c r="B9" s="6" t="n">
        <v>95640000000</v>
      </c>
      <c r="C9" s="7" t="s">
        <v>24</v>
      </c>
      <c r="D9" s="7" t="s">
        <v>12</v>
      </c>
      <c r="E9" s="7" t="s">
        <v>13</v>
      </c>
      <c r="F9" s="7" t="s">
        <v>14</v>
      </c>
      <c r="G9" s="7" t="s">
        <v>22</v>
      </c>
    </row>
    <row r="10" customFormat="false" ht="30" hidden="false" customHeight="true" outlineLevel="0" collapsed="false">
      <c r="A10" s="5" t="s">
        <v>25</v>
      </c>
      <c r="B10" s="6" t="n">
        <v>14212000000</v>
      </c>
      <c r="C10" s="7" t="s">
        <v>26</v>
      </c>
      <c r="D10" s="7" t="s">
        <v>12</v>
      </c>
      <c r="E10" s="7" t="s">
        <v>13</v>
      </c>
      <c r="F10" s="7" t="s">
        <v>14</v>
      </c>
      <c r="G10" s="7" t="s">
        <v>15</v>
      </c>
    </row>
    <row r="11" customFormat="false" ht="30" hidden="false" customHeight="true" outlineLevel="0" collapsed="false">
      <c r="A11" s="5" t="s">
        <v>27</v>
      </c>
      <c r="B11" s="6" t="n">
        <v>1467664000000</v>
      </c>
      <c r="C11" s="7" t="s">
        <v>28</v>
      </c>
      <c r="D11" s="7" t="s">
        <v>12</v>
      </c>
      <c r="E11" s="7" t="s">
        <v>13</v>
      </c>
      <c r="F11" s="7" t="s">
        <v>14</v>
      </c>
      <c r="G11" s="7" t="s">
        <v>15</v>
      </c>
    </row>
    <row r="12" customFormat="false" ht="30" hidden="false" customHeight="true" outlineLevel="0" collapsed="false">
      <c r="A12" s="5" t="s">
        <v>29</v>
      </c>
      <c r="B12" s="6" t="n">
        <v>2559320000000</v>
      </c>
      <c r="C12" s="7" t="s">
        <v>30</v>
      </c>
      <c r="D12" s="7" t="s">
        <v>12</v>
      </c>
      <c r="E12" s="7" t="s">
        <v>13</v>
      </c>
      <c r="F12" s="7" t="s">
        <v>14</v>
      </c>
      <c r="G12" s="7" t="s">
        <v>15</v>
      </c>
    </row>
    <row r="13" customFormat="false" ht="30" hidden="false" customHeight="true" outlineLevel="0" collapsed="false">
      <c r="A13" s="5" t="s">
        <v>31</v>
      </c>
      <c r="B13" s="6" t="n">
        <v>3163933000000</v>
      </c>
      <c r="C13" s="7" t="s">
        <v>32</v>
      </c>
      <c r="D13" s="7" t="s">
        <v>12</v>
      </c>
      <c r="E13" s="7" t="s">
        <v>13</v>
      </c>
      <c r="F13" s="7" t="s">
        <v>14</v>
      </c>
      <c r="G13" s="7" t="s">
        <v>22</v>
      </c>
    </row>
    <row r="14" customFormat="false" ht="30" hidden="false" customHeight="true" outlineLevel="0" collapsed="false">
      <c r="A14" s="5" t="s">
        <v>33</v>
      </c>
      <c r="B14" s="6" t="n">
        <v>3834359000000</v>
      </c>
      <c r="C14" s="7" t="s">
        <v>34</v>
      </c>
      <c r="D14" s="7" t="s">
        <v>12</v>
      </c>
      <c r="E14" s="7" t="s">
        <v>13</v>
      </c>
      <c r="F14" s="7" t="s">
        <v>14</v>
      </c>
      <c r="G14" s="7" t="s">
        <v>22</v>
      </c>
    </row>
    <row r="15" customFormat="false" ht="30" hidden="false" customHeight="true" outlineLevel="0" collapsed="false">
      <c r="A15" s="5" t="s">
        <v>35</v>
      </c>
      <c r="B15" s="6" t="n">
        <v>1981692000000</v>
      </c>
      <c r="C15" s="7" t="s">
        <v>36</v>
      </c>
      <c r="D15" s="7" t="s">
        <v>12</v>
      </c>
      <c r="E15" s="7" t="s">
        <v>13</v>
      </c>
      <c r="F15" s="7" t="s">
        <v>14</v>
      </c>
      <c r="G15" s="7" t="s">
        <v>22</v>
      </c>
    </row>
    <row r="16" customFormat="false" ht="30" hidden="false" customHeight="true" outlineLevel="0" collapsed="false">
      <c r="A16" s="5" t="s">
        <v>37</v>
      </c>
      <c r="B16" s="6" t="n">
        <v>288469000000</v>
      </c>
      <c r="C16" s="7" t="s">
        <v>38</v>
      </c>
      <c r="D16" s="7" t="s">
        <v>12</v>
      </c>
      <c r="E16" s="7" t="s">
        <v>13</v>
      </c>
      <c r="F16" s="7" t="s">
        <v>14</v>
      </c>
      <c r="G16" s="7" t="s">
        <v>22</v>
      </c>
    </row>
    <row r="17" customFormat="false" ht="30" hidden="false" customHeight="true" outlineLevel="0" collapsed="false">
      <c r="A17" s="5" t="s">
        <v>39</v>
      </c>
      <c r="B17" s="6" t="n">
        <v>342393000000</v>
      </c>
      <c r="C17" s="7" t="s">
        <v>40</v>
      </c>
      <c r="D17" s="7" t="s">
        <v>12</v>
      </c>
      <c r="E17" s="7" t="s">
        <v>13</v>
      </c>
      <c r="F17" s="7" t="s">
        <v>14</v>
      </c>
      <c r="G17" s="7" t="s">
        <v>15</v>
      </c>
    </row>
    <row r="18" customFormat="false" ht="30" hidden="false" customHeight="true" outlineLevel="0" collapsed="false">
      <c r="A18" s="5" t="s">
        <v>41</v>
      </c>
      <c r="B18" s="6" t="n">
        <v>48216000000</v>
      </c>
      <c r="C18" s="7" t="s">
        <v>42</v>
      </c>
      <c r="D18" s="7" t="s">
        <v>12</v>
      </c>
      <c r="E18" s="7" t="s">
        <v>13</v>
      </c>
      <c r="F18" s="7" t="s">
        <v>14</v>
      </c>
      <c r="G18" s="7" t="s">
        <v>15</v>
      </c>
    </row>
    <row r="19" customFormat="false" ht="30" hidden="false" customHeight="true" outlineLevel="0" collapsed="false">
      <c r="A19" s="5" t="s">
        <v>43</v>
      </c>
      <c r="B19" s="6" t="n">
        <v>2781500000</v>
      </c>
      <c r="C19" s="7" t="s">
        <v>44</v>
      </c>
      <c r="D19" s="7" t="s">
        <v>12</v>
      </c>
      <c r="E19" s="7" t="s">
        <v>13</v>
      </c>
      <c r="F19" s="7" t="s">
        <v>14</v>
      </c>
      <c r="G19" s="7" t="s">
        <v>45</v>
      </c>
    </row>
    <row r="21" customFormat="false" ht="15" hidden="false" customHeight="false" outlineLevel="0" collapsed="false">
      <c r="A21" s="3" t="s">
        <v>46</v>
      </c>
      <c r="B21" s="3"/>
    </row>
    <row r="23" customFormat="false" ht="15" hidden="false" customHeight="false" outlineLevel="0" collapsed="false">
      <c r="A23" s="5" t="s">
        <v>47</v>
      </c>
      <c r="B23" s="8" t="n">
        <v>0.0844118505006199</v>
      </c>
    </row>
    <row r="24" customFormat="false" ht="15" hidden="false" customHeight="false" outlineLevel="0" collapsed="false">
      <c r="A24" s="5" t="s">
        <v>48</v>
      </c>
      <c r="B24" s="8" t="n">
        <v>0.0844118505006199</v>
      </c>
    </row>
    <row r="25" customFormat="false" ht="15" hidden="false" customHeight="false" outlineLevel="0" collapsed="false">
      <c r="A25" s="5" t="s">
        <v>49</v>
      </c>
      <c r="B25" s="8" t="n">
        <v>0.00970794617600435</v>
      </c>
    </row>
    <row r="26" customFormat="false" ht="15" hidden="false" customHeight="false" outlineLevel="0" collapsed="false">
      <c r="A26" s="5" t="s">
        <v>50</v>
      </c>
      <c r="B26" s="8" t="n">
        <v>0.0504232910898536</v>
      </c>
    </row>
    <row r="27" customFormat="false" ht="15" hidden="false" customHeight="false" outlineLevel="0" collapsed="false">
      <c r="A27" s="5" t="s">
        <v>51</v>
      </c>
      <c r="B27" s="8" t="n">
        <v>0.0309418688701689</v>
      </c>
    </row>
    <row r="28" customFormat="false" ht="15" hidden="false" customHeight="false" outlineLevel="0" collapsed="false">
      <c r="A28" s="5" t="s">
        <v>52</v>
      </c>
      <c r="B28" s="8" t="n">
        <v>0.124238988133348</v>
      </c>
    </row>
    <row r="29" customFormat="false" ht="15" hidden="false" customHeight="false" outlineLevel="0" collapsed="false">
      <c r="A29" s="5" t="s">
        <v>53</v>
      </c>
      <c r="B29" s="8" t="n">
        <v>0.524207029986791</v>
      </c>
    </row>
    <row r="30" customFormat="false" ht="15" hidden="false" customHeight="false" outlineLevel="0" collapsed="false">
      <c r="A30" s="5" t="s">
        <v>54</v>
      </c>
      <c r="B30" s="8" t="n">
        <v>0.0101830432840243</v>
      </c>
    </row>
    <row r="31" customFormat="false" ht="15" hidden="false" customHeight="false" outlineLevel="0" collapsed="false">
      <c r="A31" s="5" t="s">
        <v>55</v>
      </c>
      <c r="B31" s="8" t="n">
        <v>0.214160754872925</v>
      </c>
    </row>
    <row r="32" customFormat="false" ht="15" hidden="false" customHeight="false" outlineLevel="0" collapsed="false">
      <c r="A32" s="5" t="s">
        <v>56</v>
      </c>
      <c r="B32" s="8" t="n">
        <v>0.865932723909413</v>
      </c>
    </row>
    <row r="33" customFormat="false" ht="15" hidden="false" customHeight="false" outlineLevel="0" collapsed="false">
      <c r="A33" s="5" t="s">
        <v>57</v>
      </c>
      <c r="B33" s="8" t="n">
        <v>0.115</v>
      </c>
    </row>
    <row r="34" customFormat="false" ht="15" hidden="false" customHeight="false" outlineLevel="0" collapsed="false">
      <c r="A34" s="5" t="s">
        <v>58</v>
      </c>
      <c r="B34" s="8" t="n">
        <v>0.0527699995040894</v>
      </c>
    </row>
    <row r="35" customFormat="false" ht="15" hidden="false" customHeight="false" outlineLevel="0" collapsed="false">
      <c r="A35" s="5" t="s">
        <v>59</v>
      </c>
      <c r="B35" s="8" t="n">
        <v>0.0838371068129586</v>
      </c>
    </row>
    <row r="36" customFormat="false" ht="15" hidden="false" customHeight="false" outlineLevel="0" collapsed="false">
      <c r="A36" s="5" t="s">
        <v>60</v>
      </c>
      <c r="B36" s="9" t="n">
        <v>0.975</v>
      </c>
    </row>
    <row r="37" customFormat="false" ht="15" hidden="false" customHeight="false" outlineLevel="0" collapsed="false">
      <c r="A37" s="5" t="s">
        <v>61</v>
      </c>
      <c r="B37" s="10" t="n">
        <f aca="false">B34+B35*B36</f>
        <v>0.134511178646724</v>
      </c>
    </row>
    <row r="38" customFormat="false" ht="15" hidden="false" customHeight="false" outlineLevel="0" collapsed="false">
      <c r="A38" s="5" t="s">
        <v>62</v>
      </c>
      <c r="B38" s="8" t="n">
        <v>0.025</v>
      </c>
    </row>
    <row r="39" customFormat="false" ht="15" hidden="false" customHeight="false" outlineLevel="0" collapsed="false">
      <c r="A39" s="5" t="s">
        <v>63</v>
      </c>
      <c r="B39" s="11" t="n">
        <v>332.38</v>
      </c>
    </row>
    <row r="40" customFormat="false" ht="15" hidden="false" customHeight="false" outlineLevel="0" collapsed="false">
      <c r="A40" s="5" t="s">
        <v>64</v>
      </c>
      <c r="B40" s="12" t="n">
        <v>2781500000</v>
      </c>
    </row>
    <row r="42" customFormat="false" ht="15" hidden="false" customHeight="false" outlineLevel="0" collapsed="false">
      <c r="A42" s="3" t="s">
        <v>65</v>
      </c>
      <c r="B42" s="3"/>
      <c r="C42" s="3"/>
      <c r="D42" s="3"/>
      <c r="E42" s="3"/>
      <c r="F42" s="3"/>
      <c r="G42" s="3"/>
    </row>
    <row r="43" customFormat="false" ht="15" hidden="false" customHeight="false" outlineLevel="0" collapsed="false">
      <c r="A43" s="5" t="s">
        <v>66</v>
      </c>
      <c r="C43" s="13" t="s">
        <v>67</v>
      </c>
      <c r="D43" s="13" t="s">
        <v>68</v>
      </c>
      <c r="E43" s="13" t="s">
        <v>69</v>
      </c>
      <c r="F43" s="13" t="s">
        <v>70</v>
      </c>
      <c r="G43" s="13" t="s">
        <v>71</v>
      </c>
    </row>
    <row r="44" customFormat="false" ht="15" hidden="false" customHeight="false" outlineLevel="0" collapsed="false">
      <c r="A44" s="5" t="s">
        <v>33</v>
      </c>
      <c r="C44" s="14" t="n">
        <f aca="false">$B$14*(1+$B$23)</f>
        <v>4158024338673.71</v>
      </c>
      <c r="D44" s="14" t="n">
        <f aca="false">C44*(1+$B$23)</f>
        <v>4509010867527.77</v>
      </c>
      <c r="E44" s="14" t="n">
        <f aca="false">D44*(1+$B$23)</f>
        <v>4889624818783.2</v>
      </c>
      <c r="F44" s="14" t="n">
        <f aca="false">E44*(1+$B$23)</f>
        <v>5302367097990.44</v>
      </c>
      <c r="G44" s="14" t="n">
        <f aca="false">F44*(1+$B$23)</f>
        <v>5749949716765.42</v>
      </c>
    </row>
    <row r="45" customFormat="false" ht="15" hidden="false" customHeight="false" outlineLevel="0" collapsed="false">
      <c r="A45" s="5" t="s">
        <v>72</v>
      </c>
      <c r="C45" s="14" t="n">
        <f aca="false">$B$13*(1+$B$25)</f>
        <v>3194648291268.48</v>
      </c>
      <c r="D45" s="14" t="n">
        <f aca="false">C45*(1+$B$25)</f>
        <v>3225661764931.38</v>
      </c>
      <c r="E45" s="14" t="n">
        <f aca="false">D45*(1+$B$25)</f>
        <v>3256976315727.33</v>
      </c>
      <c r="F45" s="14" t="n">
        <f aca="false">E45*(1+$B$25)</f>
        <v>3288594866496.93</v>
      </c>
      <c r="G45" s="14" t="n">
        <f aca="false">F45*(1+$B$25)</f>
        <v>3320520368455.57</v>
      </c>
    </row>
    <row r="46" customFormat="false" ht="15" hidden="false" customHeight="false" outlineLevel="0" collapsed="false">
      <c r="A46" s="5" t="s">
        <v>27</v>
      </c>
      <c r="C46" s="14" t="n">
        <f aca="false">$B$11*(1+$B$24)</f>
        <v>1591552234153.14</v>
      </c>
      <c r="D46" s="14" t="n">
        <f aca="false">C46*(1+$B$24)</f>
        <v>1725898103406.4</v>
      </c>
      <c r="E46" s="14" t="n">
        <f aca="false">D46*(1+$B$24)</f>
        <v>1871584356090.45</v>
      </c>
      <c r="F46" s="14" t="n">
        <f aca="false">E46*(1+$B$24)</f>
        <v>2029568254956.06</v>
      </c>
      <c r="G46" s="14" t="n">
        <f aca="false">F46*(1+$B$24)</f>
        <v>2200887867074.21</v>
      </c>
    </row>
    <row r="47" customFormat="false" ht="15" hidden="false" customHeight="false" outlineLevel="0" collapsed="false">
      <c r="A47" s="5" t="s">
        <v>29</v>
      </c>
      <c r="C47" s="14" t="n">
        <f aca="false">$B$12*(1+$B$25)</f>
        <v>2584165740807.17</v>
      </c>
      <c r="D47" s="14" t="n">
        <f aca="false">C47*(1+$B$25)</f>
        <v>2609252682728.8</v>
      </c>
      <c r="E47" s="14" t="n">
        <f aca="false">D47*(1+$B$25)</f>
        <v>2634583167332.33</v>
      </c>
      <c r="F47" s="14" t="n">
        <f aca="false">E47*(1+$B$25)</f>
        <v>2660159558917</v>
      </c>
      <c r="G47" s="14" t="n">
        <f aca="false">F47*(1+$B$25)</f>
        <v>2685984244734.55</v>
      </c>
    </row>
    <row r="48" customFormat="false" ht="15" hidden="false" customHeight="false" outlineLevel="0" collapsed="false">
      <c r="A48" s="5" t="s">
        <v>10</v>
      </c>
      <c r="C48" s="14" t="n">
        <f aca="false">C44*$B$26</f>
        <v>209661271587.64</v>
      </c>
      <c r="D48" s="14" t="n">
        <f aca="false">D44*$B$26</f>
        <v>227359167500.666</v>
      </c>
      <c r="E48" s="14" t="n">
        <f aca="false">E44*$B$26</f>
        <v>246550975557.678</v>
      </c>
      <c r="F48" s="14" t="n">
        <f aca="false">F44*$B$26</f>
        <v>267362799647.234</v>
      </c>
      <c r="G48" s="14" t="n">
        <f aca="false">G44*$B$26</f>
        <v>289931388320.484</v>
      </c>
    </row>
    <row r="49" customFormat="false" ht="15" hidden="false" customHeight="false" outlineLevel="0" collapsed="false">
      <c r="A49" s="5" t="s">
        <v>16</v>
      </c>
      <c r="C49" s="14" t="n">
        <f aca="false">C45*$B$27</f>
        <v>98848388514.7385</v>
      </c>
      <c r="D49" s="14" t="n">
        <f aca="false">D45*$B$27</f>
        <v>99808003350.0243</v>
      </c>
      <c r="E49" s="14" t="n">
        <f aca="false">E45*$B$27</f>
        <v>100776934074.481</v>
      </c>
      <c r="F49" s="14" t="n">
        <f aca="false">F45*$B$27</f>
        <v>101755271126.259</v>
      </c>
      <c r="G49" s="14" t="n">
        <f aca="false">G45*$B$27</f>
        <v>102743105821.477</v>
      </c>
    </row>
    <row r="50" customFormat="false" ht="15" hidden="false" customHeight="false" outlineLevel="0" collapsed="false">
      <c r="A50" s="5" t="s">
        <v>18</v>
      </c>
      <c r="C50" s="14" t="n">
        <f aca="false">C48-C49</f>
        <v>110812883072.902</v>
      </c>
      <c r="D50" s="14" t="n">
        <f aca="false">D48-D49</f>
        <v>127551164150.642</v>
      </c>
      <c r="E50" s="14" t="n">
        <f aca="false">E48-E49</f>
        <v>145774041483.197</v>
      </c>
      <c r="F50" s="14" t="n">
        <f aca="false">F48-F49</f>
        <v>165607528520.976</v>
      </c>
      <c r="G50" s="14" t="n">
        <f aca="false">G48-G49</f>
        <v>187188282499.007</v>
      </c>
    </row>
    <row r="51" customFormat="false" ht="15" hidden="false" customHeight="false" outlineLevel="0" collapsed="false">
      <c r="A51" s="5" t="s">
        <v>20</v>
      </c>
      <c r="C51" s="14" t="n">
        <f aca="false">$B$8*(1+$B$28)</f>
        <v>97813288923.5538</v>
      </c>
      <c r="D51" s="14" t="n">
        <f aca="false">C51*(1+$B$28)</f>
        <v>109965512965.411</v>
      </c>
      <c r="E51" s="14" t="n">
        <f aca="false">D51*(1+$B$28)</f>
        <v>123627517025.798</v>
      </c>
      <c r="F51" s="14" t="n">
        <f aca="false">E51*(1+$B$28)</f>
        <v>138986874646.522</v>
      </c>
      <c r="G51" s="14" t="n">
        <f aca="false">F51*(1+$B$28)</f>
        <v>156254463316.422</v>
      </c>
    </row>
    <row r="52" customFormat="false" ht="15" hidden="false" customHeight="false" outlineLevel="0" collapsed="false">
      <c r="A52" s="5" t="s">
        <v>73</v>
      </c>
      <c r="C52" s="14" t="n">
        <f aca="false">C50+C51</f>
        <v>208626171996.456</v>
      </c>
      <c r="D52" s="14" t="n">
        <f aca="false">D50+D51</f>
        <v>237516677116.053</v>
      </c>
      <c r="E52" s="14" t="n">
        <f aca="false">E50+E51</f>
        <v>269401558508.995</v>
      </c>
      <c r="F52" s="14" t="n">
        <f aca="false">F50+F51</f>
        <v>304594403167.498</v>
      </c>
      <c r="G52" s="14" t="n">
        <f aca="false">G50+G51</f>
        <v>343442745815.429</v>
      </c>
    </row>
    <row r="53" customFormat="false" ht="15" hidden="false" customHeight="false" outlineLevel="0" collapsed="false">
      <c r="A53" s="5" t="s">
        <v>23</v>
      </c>
      <c r="C53" s="14" t="n">
        <f aca="false">C52*$B$29</f>
        <v>109363305999.775</v>
      </c>
      <c r="D53" s="14" t="n">
        <f aca="false">D52*$B$29</f>
        <v>124507911883.338</v>
      </c>
      <c r="E53" s="14" t="n">
        <f aca="false">E52*$B$29</f>
        <v>141222190859.813</v>
      </c>
      <c r="F53" s="14" t="n">
        <f aca="false">F52*$B$29</f>
        <v>159670527435.033</v>
      </c>
      <c r="G53" s="14" t="n">
        <f aca="false">G52*$B$29</f>
        <v>180035101754.414</v>
      </c>
    </row>
    <row r="54" customFormat="false" ht="15" hidden="false" customHeight="false" outlineLevel="0" collapsed="false">
      <c r="A54" s="5" t="s">
        <v>74</v>
      </c>
      <c r="C54" s="14" t="n">
        <f aca="false">AVERAGE($B$11,C46)</f>
        <v>1529608117076.57</v>
      </c>
      <c r="D54" s="14" t="n">
        <f aca="false">AVERAGE(C46,D46)</f>
        <v>1658725168779.77</v>
      </c>
      <c r="E54" s="14" t="n">
        <f aca="false">AVERAGE(D46,E46)</f>
        <v>1798741229748.43</v>
      </c>
      <c r="F54" s="14" t="n">
        <f aca="false">AVERAGE(E46,F46)</f>
        <v>1950576305523.25</v>
      </c>
      <c r="G54" s="14" t="n">
        <f aca="false">AVERAGE(F46,G46)</f>
        <v>2115228061015.13</v>
      </c>
    </row>
    <row r="55" customFormat="false" ht="15" hidden="false" customHeight="false" outlineLevel="0" collapsed="false">
      <c r="A55" s="5" t="s">
        <v>25</v>
      </c>
      <c r="C55" s="14" t="n">
        <f aca="false">C54*$B$30</f>
        <v>15576065663.7856</v>
      </c>
      <c r="D55" s="14" t="n">
        <f aca="false">D54*$B$30</f>
        <v>16890870189.9849</v>
      </c>
      <c r="E55" s="14" t="n">
        <f aca="false">E54*$B$30</f>
        <v>18316659799.2873</v>
      </c>
      <c r="F55" s="14" t="n">
        <f aca="false">F54*$B$30</f>
        <v>19862802947.9355</v>
      </c>
      <c r="G55" s="14" t="n">
        <f aca="false">G54*$B$30</f>
        <v>21539458900.8999</v>
      </c>
    </row>
    <row r="56" customFormat="false" ht="15" hidden="false" customHeight="false" outlineLevel="0" collapsed="false">
      <c r="A56" s="5" t="s">
        <v>75</v>
      </c>
      <c r="C56" s="14" t="n">
        <f aca="false">C52-C53-C55</f>
        <v>83686800332.8947</v>
      </c>
      <c r="D56" s="14" t="n">
        <f aca="false">D52-D53-D55</f>
        <v>96117895042.7303</v>
      </c>
      <c r="E56" s="14" t="n">
        <f aca="false">E52-E53-E55</f>
        <v>109862707849.895</v>
      </c>
      <c r="F56" s="14" t="n">
        <f aca="false">F52-F53-F55</f>
        <v>125061072784.529</v>
      </c>
      <c r="G56" s="14" t="n">
        <f aca="false">G52-G53-G55</f>
        <v>141868185160.115</v>
      </c>
    </row>
    <row r="57" customFormat="false" ht="15" hidden="false" customHeight="false" outlineLevel="0" collapsed="false">
      <c r="A57" s="5" t="s">
        <v>76</v>
      </c>
      <c r="C57" s="14" t="n">
        <f aca="false">MAX(0,C56*$B$31)</f>
        <v>17922428332.1925</v>
      </c>
      <c r="D57" s="14" t="n">
        <f aca="false">MAX(0,D56*$B$31)</f>
        <v>20584680959.1477</v>
      </c>
      <c r="E57" s="14" t="n">
        <f aca="false">MAX(0,E56*$B$31)</f>
        <v>23528280445.5171</v>
      </c>
      <c r="F57" s="14" t="n">
        <f aca="false">MAX(0,F56*$B$31)</f>
        <v>26783173752.7526</v>
      </c>
      <c r="G57" s="14" t="n">
        <f aca="false">MAX(0,G56*$B$31)</f>
        <v>30382597626.3421</v>
      </c>
    </row>
    <row r="58" customFormat="false" ht="15" hidden="false" customHeight="false" outlineLevel="0" collapsed="false">
      <c r="A58" s="5" t="s">
        <v>77</v>
      </c>
      <c r="C58" s="14" t="n">
        <f aca="false">C56-C57</f>
        <v>65764372000.7022</v>
      </c>
      <c r="D58" s="14" t="n">
        <f aca="false">D56-D57</f>
        <v>75533214083.5826</v>
      </c>
      <c r="E58" s="14" t="n">
        <f aca="false">E56-E57</f>
        <v>86334427404.3778</v>
      </c>
      <c r="F58" s="14" t="n">
        <f aca="false">F56-F57</f>
        <v>98277899031.7765</v>
      </c>
      <c r="G58" s="14" t="n">
        <f aca="false">G56-G57</f>
        <v>111485587533.773</v>
      </c>
    </row>
    <row r="59" customFormat="false" ht="15" hidden="false" customHeight="false" outlineLevel="0" collapsed="false">
      <c r="A59" s="5" t="s">
        <v>78</v>
      </c>
      <c r="C59" s="14" t="n">
        <f aca="false">$B$17</f>
        <v>342393000000</v>
      </c>
      <c r="D59" s="14" t="n">
        <f aca="false">C69</f>
        <v>351209850217.942</v>
      </c>
      <c r="E59" s="14" t="n">
        <f aca="false">D69</f>
        <v>361336382484.495</v>
      </c>
      <c r="F59" s="14" t="n">
        <f aca="false">E69</f>
        <v>372911003999.441</v>
      </c>
      <c r="G59" s="14" t="n">
        <f aca="false">F69</f>
        <v>386086854222.537</v>
      </c>
    </row>
    <row r="60" customFormat="false" ht="15" hidden="false" customHeight="false" outlineLevel="0" collapsed="false">
      <c r="A60" s="5" t="s">
        <v>79</v>
      </c>
      <c r="C60" s="14" t="n">
        <f aca="false">MAX(0,C58*$B$32)</f>
        <v>56947521782.76</v>
      </c>
      <c r="D60" s="14" t="n">
        <f aca="false">MAX(0,D58*$B$32)</f>
        <v>65406681817.0295</v>
      </c>
      <c r="E60" s="14" t="n">
        <f aca="false">MAX(0,E58*$B$32)</f>
        <v>74759805889.4323</v>
      </c>
      <c r="F60" s="14" t="n">
        <f aca="false">MAX(0,F58*$B$32)</f>
        <v>85102048808.6804</v>
      </c>
      <c r="G60" s="14" t="n">
        <f aca="false">MAX(0,G58*$B$32)</f>
        <v>96539018489.7611</v>
      </c>
    </row>
    <row r="61" customFormat="false" ht="15" hidden="false" customHeight="false" outlineLevel="0" collapsed="false">
      <c r="A61" s="5" t="s">
        <v>80</v>
      </c>
      <c r="C61" s="14" t="n">
        <f aca="false">$B$16</f>
        <v>288469000000</v>
      </c>
      <c r="D61" s="14" t="n">
        <f aca="false">C67</f>
        <v>297285850217.942</v>
      </c>
      <c r="E61" s="14" t="n">
        <f aca="false">D67</f>
        <v>307412382484.495</v>
      </c>
      <c r="F61" s="14" t="n">
        <f aca="false">E67</f>
        <v>318987003999.441</v>
      </c>
      <c r="G61" s="14" t="n">
        <f aca="false">F67</f>
        <v>332162854222.537</v>
      </c>
    </row>
    <row r="62" customFormat="false" ht="15" hidden="false" customHeight="false" outlineLevel="0" collapsed="false">
      <c r="A62" s="5" t="s">
        <v>81</v>
      </c>
      <c r="C62" s="14" t="n">
        <f aca="false">$B$15*(1+$B$23)</f>
        <v>2148970288842.27</v>
      </c>
      <c r="D62" s="14" t="n">
        <f aca="false">C62*(1+$B$23)</f>
        <v>2330368847594.3</v>
      </c>
      <c r="E62" s="14" t="n">
        <f aca="false">D62*(1+$B$23)</f>
        <v>2527079594368.74</v>
      </c>
      <c r="F62" s="14" t="n">
        <f aca="false">E62*(1+$B$23)</f>
        <v>2740395059291.76</v>
      </c>
      <c r="G62" s="14" t="n">
        <f aca="false">F62*(1+$B$23)</f>
        <v>2971716877349.33</v>
      </c>
    </row>
    <row r="63" customFormat="false" ht="15" hidden="false" customHeight="false" outlineLevel="0" collapsed="false">
      <c r="A63" s="5" t="s">
        <v>82</v>
      </c>
      <c r="C63" s="14" t="n">
        <f aca="false">C62*$B$33</f>
        <v>247131583216.862</v>
      </c>
      <c r="D63" s="14" t="n">
        <f aca="false">D62*$B$33</f>
        <v>267992417473.345</v>
      </c>
      <c r="E63" s="14" t="n">
        <f aca="false">E62*$B$33</f>
        <v>290614153352.405</v>
      </c>
      <c r="F63" s="14" t="n">
        <f aca="false">F62*$B$33</f>
        <v>315145431818.552</v>
      </c>
      <c r="G63" s="14" t="n">
        <f aca="false">G62*$B$33</f>
        <v>341747440895.173</v>
      </c>
    </row>
    <row r="64" customFormat="false" ht="15" hidden="false" customHeight="false" outlineLevel="0" collapsed="false">
      <c r="A64" s="5" t="s">
        <v>83</v>
      </c>
      <c r="C64" s="14" t="n">
        <f aca="false">C61+C58</f>
        <v>354233372000.702</v>
      </c>
      <c r="D64" s="14" t="n">
        <f aca="false">D61+D58</f>
        <v>372819064301.525</v>
      </c>
      <c r="E64" s="14" t="n">
        <f aca="false">E61+E58</f>
        <v>393746809888.873</v>
      </c>
      <c r="F64" s="14" t="n">
        <f aca="false">F61+F58</f>
        <v>417264903031.217</v>
      </c>
      <c r="G64" s="14" t="n">
        <f aca="false">G61+G58</f>
        <v>443648441756.31</v>
      </c>
    </row>
    <row r="65" customFormat="false" ht="15" hidden="false" customHeight="false" outlineLevel="0" collapsed="false">
      <c r="A65" s="5" t="s">
        <v>84</v>
      </c>
      <c r="C65" s="14" t="n">
        <f aca="false">MAX(0,C64-C63)</f>
        <v>107101788783.841</v>
      </c>
      <c r="D65" s="14" t="n">
        <f aca="false">MAX(0,D64-D63)</f>
        <v>104826646828.18</v>
      </c>
      <c r="E65" s="14" t="n">
        <f aca="false">MAX(0,E64-E63)</f>
        <v>103132656536.469</v>
      </c>
      <c r="F65" s="14" t="n">
        <f aca="false">MAX(0,F64-F63)</f>
        <v>102119471212.665</v>
      </c>
      <c r="G65" s="14" t="n">
        <f aca="false">MAX(0,G64-G63)</f>
        <v>101901000861.137</v>
      </c>
    </row>
    <row r="66" customFormat="false" ht="15" hidden="false" customHeight="false" outlineLevel="0" collapsed="false">
      <c r="A66" s="5" t="s">
        <v>85</v>
      </c>
      <c r="C66" s="14" t="n">
        <f aca="false">MIN(C60,C65)</f>
        <v>56947521782.76</v>
      </c>
      <c r="D66" s="14" t="n">
        <f aca="false">MIN(D60,D65)</f>
        <v>65406681817.0295</v>
      </c>
      <c r="E66" s="14" t="n">
        <f aca="false">MIN(E60,E65)</f>
        <v>74759805889.4323</v>
      </c>
      <c r="F66" s="14" t="n">
        <f aca="false">MIN(F60,F65)</f>
        <v>85102048808.6804</v>
      </c>
      <c r="G66" s="14" t="n">
        <f aca="false">MIN(G60,G65)</f>
        <v>96539018489.7611</v>
      </c>
    </row>
    <row r="67" customFormat="false" ht="15" hidden="false" customHeight="false" outlineLevel="0" collapsed="false">
      <c r="A67" s="5" t="s">
        <v>86</v>
      </c>
      <c r="C67" s="14" t="n">
        <f aca="false">C64-C66</f>
        <v>297285850217.942</v>
      </c>
      <c r="D67" s="14" t="n">
        <f aca="false">D64-D66</f>
        <v>307412382484.495</v>
      </c>
      <c r="E67" s="14" t="n">
        <f aca="false">E64-E66</f>
        <v>318987003999.441</v>
      </c>
      <c r="F67" s="14" t="n">
        <f aca="false">F64-F66</f>
        <v>332162854222.537</v>
      </c>
      <c r="G67" s="14" t="n">
        <f aca="false">G64-G66</f>
        <v>347109423266.549</v>
      </c>
    </row>
    <row r="68" customFormat="false" ht="15" hidden="false" customHeight="false" outlineLevel="0" collapsed="false">
      <c r="A68" s="5" t="s">
        <v>87</v>
      </c>
      <c r="C68" s="10" t="n">
        <f aca="false">IFERROR(C67/C62,0)</f>
        <v>0.138338743798129</v>
      </c>
      <c r="D68" s="10" t="n">
        <f aca="false">IFERROR(D67/D62,0)</f>
        <v>0.131915762091415</v>
      </c>
      <c r="E68" s="10" t="n">
        <f aca="false">IFERROR(E67/E62,0)</f>
        <v>0.126227525524032</v>
      </c>
      <c r="F68" s="10" t="n">
        <f aca="false">IFERROR(F67/F62,0)</f>
        <v>0.12120984275471</v>
      </c>
      <c r="G68" s="10" t="n">
        <f aca="false">IFERROR(G67/G62,0)</f>
        <v>0.116804338230282</v>
      </c>
    </row>
    <row r="69" customFormat="false" ht="15" hidden="false" customHeight="false" outlineLevel="0" collapsed="false">
      <c r="A69" s="5" t="s">
        <v>88</v>
      </c>
      <c r="C69" s="14" t="n">
        <f aca="false">C59+C58-C66</f>
        <v>351209850217.942</v>
      </c>
      <c r="D69" s="14" t="n">
        <f aca="false">D59+D58-D66</f>
        <v>361336382484.495</v>
      </c>
      <c r="E69" s="14" t="n">
        <f aca="false">E59+E58-E66</f>
        <v>372911003999.441</v>
      </c>
      <c r="F69" s="14" t="n">
        <f aca="false">F59+F58-F66</f>
        <v>386086854222.537</v>
      </c>
      <c r="G69" s="14" t="n">
        <f aca="false">G59+G58-G66</f>
        <v>401033423266.549</v>
      </c>
    </row>
    <row r="70" customFormat="false" ht="15" hidden="false" customHeight="false" outlineLevel="0" collapsed="false">
      <c r="A70" s="5" t="s">
        <v>89</v>
      </c>
      <c r="C70" s="14" t="n">
        <f aca="false">C59*$B$37</f>
        <v>46055685990.3878</v>
      </c>
      <c r="D70" s="14" t="n">
        <f aca="false">D59*$B$37</f>
        <v>47241650905.1548</v>
      </c>
      <c r="E70" s="14" t="n">
        <f aca="false">E59*$B$37</f>
        <v>48603782695.933</v>
      </c>
      <c r="F70" s="14" t="n">
        <f aca="false">F59*$B$37</f>
        <v>50160698678.298</v>
      </c>
      <c r="G70" s="14" t="n">
        <f aca="false">G59*$B$37</f>
        <v>51932997821.4794</v>
      </c>
    </row>
    <row r="71" customFormat="false" ht="15" hidden="false" customHeight="false" outlineLevel="0" collapsed="false">
      <c r="A71" s="5" t="s">
        <v>90</v>
      </c>
      <c r="C71" s="14" t="n">
        <f aca="false">C58-C70</f>
        <v>19708686010.3144</v>
      </c>
      <c r="D71" s="14" t="n">
        <f aca="false">D58-D70</f>
        <v>28291563178.4278</v>
      </c>
      <c r="E71" s="14" t="n">
        <f aca="false">E58-E70</f>
        <v>37730644708.4448</v>
      </c>
      <c r="F71" s="14" t="n">
        <f aca="false">F58-F70</f>
        <v>48117200353.4785</v>
      </c>
      <c r="G71" s="14" t="n">
        <f aca="false">G58-G70</f>
        <v>59552589712.2934</v>
      </c>
    </row>
    <row r="72" customFormat="false" ht="15" hidden="false" customHeight="false" outlineLevel="0" collapsed="false">
      <c r="A72" s="5" t="s">
        <v>91</v>
      </c>
      <c r="C72" s="14" t="n">
        <f aca="false">C71/(1+$B$37)^1</f>
        <v>17371962816.4647</v>
      </c>
      <c r="D72" s="14" t="n">
        <f aca="false">D71/(1+$B$37)^2</f>
        <v>21980591999.8735</v>
      </c>
      <c r="E72" s="14" t="n">
        <f aca="false">E71/(1+$B$37)^3</f>
        <v>25838535085.739</v>
      </c>
      <c r="F72" s="14" t="n">
        <f aca="false">F71/(1+$B$37)^4</f>
        <v>29044588819.2383</v>
      </c>
      <c r="G72" s="14" t="n">
        <f aca="false">G71/(1+$B$37)^5</f>
        <v>31685222027.7996</v>
      </c>
    </row>
    <row r="73" customFormat="false" ht="15" hidden="false" customHeight="false" outlineLevel="0" collapsed="false">
      <c r="A73" s="3" t="s">
        <v>92</v>
      </c>
      <c r="B73" s="3"/>
    </row>
    <row r="74" customFormat="false" ht="15" hidden="false" customHeight="false" outlineLevel="0" collapsed="false">
      <c r="A74" s="15" t="s">
        <v>93</v>
      </c>
      <c r="B74" s="14" t="n">
        <f aca="false">SUM(C72:G72)</f>
        <v>125920900749.115</v>
      </c>
    </row>
    <row r="75" customFormat="false" ht="15" hidden="false" customHeight="false" outlineLevel="0" collapsed="false">
      <c r="A75" s="15" t="s">
        <v>94</v>
      </c>
      <c r="B75" s="14" t="n">
        <f aca="false">IF($B$37&lt;=$B$38,"",G71*(1+$B$38)/($B$37-$B$38))</f>
        <v>557398844660.565</v>
      </c>
    </row>
    <row r="76" customFormat="false" ht="15" hidden="false" customHeight="false" outlineLevel="0" collapsed="false">
      <c r="A76" s="15" t="s">
        <v>95</v>
      </c>
      <c r="B76" s="14" t="n">
        <f aca="false">IF(B75="","",B75/(1+$B$37)^5)</f>
        <v>296566551285.732</v>
      </c>
    </row>
    <row r="77" customFormat="false" ht="15" hidden="false" customHeight="false" outlineLevel="0" collapsed="false">
      <c r="A77" s="15" t="s">
        <v>96</v>
      </c>
      <c r="B77" s="14" t="n">
        <f aca="false">IF($B$75="","",MAX(0,$B$17+$B$74+$B$76))</f>
        <v>764880452034.847</v>
      </c>
    </row>
    <row r="78" customFormat="false" ht="15" hidden="false" customHeight="false" outlineLevel="0" collapsed="false">
      <c r="A78" s="16" t="s">
        <v>97</v>
      </c>
      <c r="B78" s="17" t="n">
        <f aca="false">IFERROR(B77/$B$40,0)</f>
        <v>274.988478171795</v>
      </c>
    </row>
    <row r="79" customFormat="false" ht="15" hidden="false" customHeight="false" outlineLevel="0" collapsed="false">
      <c r="A79" s="16" t="s">
        <v>63</v>
      </c>
      <c r="B79" s="17" t="n">
        <f aca="false">B39</f>
        <v>332.38</v>
      </c>
    </row>
    <row r="80" customFormat="false" ht="15" hidden="false" customHeight="false" outlineLevel="0" collapsed="false">
      <c r="A80" s="15" t="s">
        <v>98</v>
      </c>
      <c r="B80" s="10" t="n">
        <f aca="false">IFERROR(B78/$B$79-1,0)</f>
        <v>-0.172668397100323</v>
      </c>
    </row>
    <row r="81" customFormat="false" ht="15" hidden="false" customHeight="false" outlineLevel="0" collapsed="false">
      <c r="A81" s="5" t="s">
        <v>99</v>
      </c>
      <c r="B81" s="5" t="s">
        <v>100</v>
      </c>
    </row>
    <row r="82" customFormat="false" ht="15" hidden="false" customHeight="false" outlineLevel="0" collapsed="false">
      <c r="A82" s="0" t="s">
        <v>101</v>
      </c>
      <c r="B82" s="18" t="n">
        <f aca="false">B5-B6-B7</f>
        <v>0</v>
      </c>
    </row>
    <row r="83" customFormat="false" ht="15" hidden="false" customHeight="false" outlineLevel="0" collapsed="false">
      <c r="A83" s="0" t="s">
        <v>102</v>
      </c>
      <c r="B83" s="19" t="n">
        <f aca="false">B16/B15</f>
        <v>0.145567020505709</v>
      </c>
    </row>
    <row r="85" customFormat="false" ht="15" hidden="false" customHeight="false" outlineLevel="0" collapsed="false">
      <c r="A85" s="3" t="s">
        <v>103</v>
      </c>
      <c r="B85" s="3"/>
      <c r="C85" s="3"/>
      <c r="D85" s="3"/>
      <c r="E85" s="3"/>
      <c r="F85" s="3"/>
      <c r="G85" s="3"/>
      <c r="H85" s="3"/>
      <c r="I85" s="3"/>
    </row>
    <row r="86" customFormat="false" ht="15" hidden="false" customHeight="false" outlineLevel="0" collapsed="false">
      <c r="B86" s="20" t="s">
        <v>104</v>
      </c>
      <c r="C86" s="21" t="n">
        <f aca="false">$B$38-1%</f>
        <v>0.015</v>
      </c>
      <c r="D86" s="21" t="n">
        <f aca="false">$B$38-0.5%</f>
        <v>0.02</v>
      </c>
      <c r="E86" s="21" t="n">
        <f aca="false">$B$38</f>
        <v>0.025</v>
      </c>
      <c r="F86" s="21" t="n">
        <f aca="false">$B$38+0.5%</f>
        <v>0.03</v>
      </c>
      <c r="G86" s="21" t="n">
        <f aca="false">$B$38+1%</f>
        <v>0.035</v>
      </c>
      <c r="H86" s="4" t="s">
        <v>105</v>
      </c>
      <c r="I86" s="4" t="s">
        <v>106</v>
      </c>
    </row>
    <row r="87" customFormat="false" ht="15" hidden="false" customHeight="false" outlineLevel="0" collapsed="false">
      <c r="B87" s="10" t="n">
        <f aca="false">$B$37-2%</f>
        <v>0.114511178646724</v>
      </c>
      <c r="C87" s="14" t="n">
        <f aca="false">IF(OR($B87&lt;=C$86,$B87&lt;=0),"",MAX(0,$B$17+$H87+($I87*(1+C$86)/($B87-C$86))/(1+$B87)^5))</f>
        <v>901314577870.289</v>
      </c>
      <c r="D87" s="14" t="n">
        <f aca="false">IF(OR($B87&lt;=D$86,$B87&lt;=0),"",MAX(0,$B$17+$H87+($I87*(1+D$86)/($B87-D$86))/(1+$B87)^5))</f>
        <v>924495280728.041</v>
      </c>
      <c r="E87" s="14" t="n">
        <f aca="false">IF(OR($B87&lt;=E$86,$B87&lt;=0),"",MAX(0,$B$17+$H87+($I87*(1+E$86)/($B87-E$86))/(1+$B87)^5))</f>
        <v>950265682795.233</v>
      </c>
      <c r="F87" s="14" t="n">
        <f aca="false">IF(OR($B87&lt;=F$86,$B87&lt;=0),"",MAX(0,$B$17+$H87+($I87*(1+F$86)/($B87-F$86))/(1+$B87)^5))</f>
        <v>979085433182.951</v>
      </c>
      <c r="G87" s="14" t="n">
        <f aca="false">IF(OR($B87&lt;=G$86,$B87&lt;=0),"",MAX(0,$B$17+$H87+($I87*(1+G$86)/($B87-G$86))/(1+$B87)^5))</f>
        <v>1011529799741.4</v>
      </c>
      <c r="H87" s="14" t="n">
        <f aca="false">(C58-$B87*C59)/(1+$B87)^1+(D58-$B87*D59)/(1+$B87)^2+(E58-$B87*E59)/(1+$B87)^3+(F58-$B87*F59)/(1+$B87)^4+(G58-$B87*G59)/(1+$B87)^5</f>
        <v>159877023668.524</v>
      </c>
      <c r="I87" s="14" t="n">
        <f aca="false">G58-$B87*G59</f>
        <v>67274326796.7441</v>
      </c>
    </row>
    <row r="88" customFormat="false" ht="15" hidden="false" customHeight="false" outlineLevel="0" collapsed="false">
      <c r="B88" s="10" t="n">
        <f aca="false">$B$37-1%</f>
        <v>0.124511178646724</v>
      </c>
      <c r="C88" s="14" t="n">
        <f aca="false">IF(OR($B88&lt;=C$86,$B88&lt;=0),"",MAX(0,$B$17+$H88+($I88*(1+C$86)/($B88-C$86))/(1+$B88)^5))</f>
        <v>811746561361.794</v>
      </c>
      <c r="D88" s="14" t="n">
        <f aca="false">IF(OR($B88&lt;=D$86,$B88&lt;=0),"",MAX(0,$B$17+$H88+($I88*(1+D$86)/($B88-D$86))/(1+$B88)^5))</f>
        <v>829071636840.002</v>
      </c>
      <c r="E88" s="14" t="n">
        <f aca="false">IF(OR($B88&lt;=E$86,$B88&lt;=0),"",MAX(0,$B$17+$H88+($I88*(1+E$86)/($B88-E$86))/(1+$B88)^5))</f>
        <v>848137730333.855</v>
      </c>
      <c r="F88" s="14" t="n">
        <f aca="false">IF(OR($B88&lt;=F$86,$B88&lt;=0),"",MAX(0,$B$17+$H88+($I88*(1+F$86)/($B88-F$86))/(1+$B88)^5))</f>
        <v>869221161222.803</v>
      </c>
      <c r="G88" s="14" t="n">
        <f aca="false">IF(OR($B88&lt;=G$86,$B88&lt;=0),"",MAX(0,$B$17+$H88+($I88*(1+G$86)/($B88-G$86))/(1+$B88)^5))</f>
        <v>892659988522.311</v>
      </c>
      <c r="H88" s="14" t="n">
        <f aca="false">(C58-$B88*C59)/(1+$B88)^1+(D58-$B88*D59)/(1+$B88)^2+(E58-$B88*E59)/(1+$B88)^3+(F58-$B88*F59)/(1+$B88)^4+(G58-$B88*G59)/(1+$B88)^5</f>
        <v>142487265295.591</v>
      </c>
      <c r="I88" s="14" t="n">
        <f aca="false">G58-$B88*G59</f>
        <v>63413458254.5188</v>
      </c>
    </row>
    <row r="89" customFormat="false" ht="15" hidden="false" customHeight="false" outlineLevel="0" collapsed="false">
      <c r="B89" s="10" t="n">
        <f aca="false">$B$37</f>
        <v>0.134511178646724</v>
      </c>
      <c r="C89" s="14" t="n">
        <f aca="false">IF(OR($B89&lt;=C$86,$B89&lt;=0),"",MAX(0,$B$17+$H89+($I89*(1+C$86)/($B89-C$86))/(1+$B89)^5))</f>
        <v>737414253723.487</v>
      </c>
      <c r="D89" s="14" t="n">
        <f aca="false">IF(OR($B89&lt;=D$86,$B89&lt;=0),"",MAX(0,$B$17+$H89+($I89*(1+D$86)/($B89-D$86))/(1+$B89)^5))</f>
        <v>750547712769.006</v>
      </c>
      <c r="E89" s="14" t="n">
        <f aca="false">IF(OR($B89&lt;=E$86,$B89&lt;=0),"",MAX(0,$B$17+$H89+($I89*(1+E$86)/($B89-E$86))/(1+$B89)^5))</f>
        <v>764880452034.847</v>
      </c>
      <c r="F89" s="14" t="n">
        <f aca="false">IF(OR($B89&lt;=F$86,$B89&lt;=0),"",MAX(0,$B$17+$H89+($I89*(1+F$86)/($B89-F$86))/(1+$B89)^5))</f>
        <v>780584598594.284</v>
      </c>
      <c r="G89" s="14" t="n">
        <f aca="false">IF(OR($B89&lt;=G$86,$B89&lt;=0),"",MAX(0,$B$17+$H89+($I89*(1+G$86)/($B89-G$86))/(1+$B89)^5))</f>
        <v>797866874040.646</v>
      </c>
      <c r="H89" s="14" t="n">
        <f aca="false">(C58-$B89*C59)/(1+$B89)^1+(D58-$B89*D59)/(1+$B89)^2+(E58-$B89*E59)/(1+$B89)^3+(F58-$B89*F59)/(1+$B89)^4+(G58-$B89*G59)/(1+$B89)^5</f>
        <v>125920900749.115</v>
      </c>
      <c r="I89" s="14" t="n">
        <f aca="false">G58-$B89*G59</f>
        <v>59552589712.2934</v>
      </c>
    </row>
    <row r="90" customFormat="false" ht="15" hidden="false" customHeight="false" outlineLevel="0" collapsed="false">
      <c r="B90" s="10" t="n">
        <f aca="false">$B$37+1%</f>
        <v>0.144511178646724</v>
      </c>
      <c r="C90" s="14" t="n">
        <f aca="false">IF(OR($B90&lt;=C$86,$B90&lt;=0),"",MAX(0,$B$17+$H90+($I90*(1+C$86)/($B90-C$86))/(1+$B90)^5))</f>
        <v>674777698449.214</v>
      </c>
      <c r="D90" s="14" t="n">
        <f aca="false">IF(OR($B90&lt;=D$86,$B90&lt;=0),"",MAX(0,$B$17+$H90+($I90*(1+D$86)/($B90-D$86))/(1+$B90)^5))</f>
        <v>684841565455.196</v>
      </c>
      <c r="E90" s="14" t="n">
        <f aca="false">IF(OR($B90&lt;=E$86,$B90&lt;=0),"",MAX(0,$B$17+$H90+($I90*(1+E$86)/($B90-E$86))/(1+$B90)^5))</f>
        <v>695747518291.135</v>
      </c>
      <c r="F90" s="14" t="n">
        <f aca="false">IF(OR($B90&lt;=F$86,$B90&lt;=0),"",MAX(0,$B$17+$H90+($I90*(1+F$86)/($B90-F$86))/(1+$B90)^5))</f>
        <v>707605863108.785</v>
      </c>
      <c r="G90" s="14" t="n">
        <f aca="false">IF(OR($B90&lt;=G$86,$B90&lt;=0),"",MAX(0,$B$17+$H90+($I90*(1+G$86)/($B90-G$86))/(1+$B90)^5))</f>
        <v>720547051245.645</v>
      </c>
      <c r="H90" s="14" t="n">
        <f aca="false">(C58-$B90*C59)/(1+$B90)^1+(D58-$B90*D59)/(1+$B90)^2+(E58-$B90*E59)/(1+$B90)^3+(F58-$B90*F59)/(1+$B90)^4+(G58-$B90*G59)/(1+$B90)^5</f>
        <v>110130879434.101</v>
      </c>
      <c r="I90" s="14" t="n">
        <f aca="false">G58-$B90*G59</f>
        <v>55691721170.068</v>
      </c>
    </row>
    <row r="91" customFormat="false" ht="15" hidden="false" customHeight="false" outlineLevel="0" collapsed="false">
      <c r="B91" s="10" t="n">
        <f aca="false">$B$37+2%</f>
        <v>0.154511178646724</v>
      </c>
      <c r="C91" s="14" t="n">
        <f aca="false">IF(OR($B91&lt;=C$86,$B91&lt;=0),"",MAX(0,$B$17+$H91+($I91*(1+C$86)/($B91-C$86))/(1+$B91)^5))</f>
        <v>621312462319.726</v>
      </c>
      <c r="D91" s="14" t="n">
        <f aca="false">IF(OR($B91&lt;=D$86,$B91&lt;=0),"",MAX(0,$B$17+$H91+($I91*(1+D$86)/($B91-D$86))/(1+$B91)^5))</f>
        <v>629085636545.895</v>
      </c>
      <c r="E91" s="14" t="n">
        <f aca="false">IF(OR($B91&lt;=E$86,$B91&lt;=0),"",MAX(0,$B$17+$H91+($I91*(1+E$86)/($B91-E$86))/(1+$B91)^5))</f>
        <v>637459004076.409</v>
      </c>
      <c r="F91" s="14" t="n">
        <f aca="false">IF(OR($B91&lt;=F$86,$B91&lt;=0),"",MAX(0,$B$17+$H91+($I91*(1+F$86)/($B91-F$86))/(1+$B91)^5))</f>
        <v>646504870865.345</v>
      </c>
      <c r="G91" s="14" t="n">
        <f aca="false">IF(OR($B91&lt;=G$86,$B91&lt;=0),"",MAX(0,$B$17+$H91+($I91*(1+G$86)/($B91-G$86))/(1+$B91)^5))</f>
        <v>656307643149.764</v>
      </c>
      <c r="H91" s="14" t="n">
        <f aca="false">(C58-$B91*C59)/(1+$B91)^1+(D58-$B91*D59)/(1+$B91)^2+(E58-$B91*E59)/(1+$B91)^3+(F58-$B91*F59)/(1+$B91)^4+(G58-$B91*G59)/(1+$B91)^5</f>
        <v>95073254674.1555</v>
      </c>
      <c r="I91" s="14" t="n">
        <f aca="false">G58-$B91*G59</f>
        <v>51830852627.8427</v>
      </c>
    </row>
    <row r="93" customFormat="false" ht="27.75" hidden="false" customHeight="true" outlineLevel="0" collapsed="false">
      <c r="A93" s="5" t="s">
        <v>107</v>
      </c>
      <c r="B93" s="22" t="s">
        <v>108</v>
      </c>
      <c r="C93" s="22"/>
      <c r="D93" s="22"/>
      <c r="E93" s="22"/>
      <c r="F93" s="22"/>
      <c r="G93" s="22"/>
      <c r="H93" s="22"/>
      <c r="I93" s="22"/>
    </row>
  </sheetData>
  <autoFilter ref="A5:G19"/>
  <mergeCells count="3">
    <mergeCell ref="A1:L1"/>
    <mergeCell ref="A2:L2"/>
    <mergeCell ref="B93:I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12"/>
  </cols>
  <sheetData>
    <row r="1" customFormat="false" ht="19.7" hidden="false" customHeight="false" outlineLevel="0" collapsed="false">
      <c r="A1" s="23" t="s">
        <v>109</v>
      </c>
      <c r="B1" s="23"/>
      <c r="C1" s="23"/>
    </row>
    <row r="2" customFormat="false" ht="15" hidden="false" customHeight="true" outlineLevel="0" collapsed="false">
      <c r="A2" s="24" t="s">
        <v>110</v>
      </c>
      <c r="B2" s="24"/>
      <c r="C2" s="24"/>
    </row>
    <row r="5" customFormat="false" ht="15" hidden="false" customHeight="false" outlineLevel="0" collapsed="false">
      <c r="A5" s="20" t="s">
        <v>111</v>
      </c>
      <c r="B5" s="20" t="s">
        <v>112</v>
      </c>
      <c r="C5" s="20" t="s">
        <v>113</v>
      </c>
    </row>
    <row r="6" customFormat="false" ht="33.75" hidden="false" customHeight="true" outlineLevel="0" collapsed="false">
      <c r="A6" s="25" t="s">
        <v>114</v>
      </c>
      <c r="B6" s="26" t="s">
        <v>115</v>
      </c>
      <c r="C6" s="26" t="s">
        <v>116</v>
      </c>
    </row>
    <row r="7" customFormat="false" ht="33.75" hidden="false" customHeight="true" outlineLevel="0" collapsed="false">
      <c r="A7" s="25" t="s">
        <v>114</v>
      </c>
      <c r="B7" s="26" t="s">
        <v>115</v>
      </c>
      <c r="C7" s="26" t="s">
        <v>117</v>
      </c>
    </row>
    <row r="8" customFormat="false" ht="33.75" hidden="false" customHeight="true" outlineLevel="0" collapsed="false">
      <c r="A8" s="25" t="s">
        <v>114</v>
      </c>
      <c r="B8" s="26" t="s">
        <v>115</v>
      </c>
      <c r="C8" s="26" t="s">
        <v>118</v>
      </c>
    </row>
    <row r="9" customFormat="false" ht="33.75" hidden="false" customHeight="true" outlineLevel="0" collapsed="false">
      <c r="A9" s="25" t="s">
        <v>114</v>
      </c>
      <c r="B9" s="26" t="s">
        <v>115</v>
      </c>
      <c r="C9" s="26" t="s">
        <v>119</v>
      </c>
    </row>
    <row r="10" customFormat="false" ht="33.75" hidden="false" customHeight="true" outlineLevel="0" collapsed="false">
      <c r="A10" s="27" t="s">
        <v>120</v>
      </c>
      <c r="B10" s="26" t="s">
        <v>121</v>
      </c>
      <c r="C10" s="26" t="s">
        <v>122</v>
      </c>
    </row>
    <row r="11" customFormat="false" ht="33.75" hidden="false" customHeight="true" outlineLevel="0" collapsed="false">
      <c r="A11" s="27" t="s">
        <v>120</v>
      </c>
      <c r="B11" s="26" t="s">
        <v>121</v>
      </c>
      <c r="C11" s="26" t="s">
        <v>123</v>
      </c>
    </row>
    <row r="12" customFormat="false" ht="33.75" hidden="false" customHeight="true" outlineLevel="0" collapsed="false">
      <c r="A12" s="27" t="s">
        <v>120</v>
      </c>
      <c r="B12" s="26" t="s">
        <v>121</v>
      </c>
      <c r="C12" s="26" t="s">
        <v>124</v>
      </c>
    </row>
    <row r="13" customFormat="false" ht="33.75" hidden="false" customHeight="true" outlineLevel="0" collapsed="false">
      <c r="A13" s="27" t="s">
        <v>120</v>
      </c>
      <c r="B13" s="26" t="s">
        <v>121</v>
      </c>
      <c r="C13" s="26" t="s">
        <v>125</v>
      </c>
    </row>
    <row r="14" customFormat="false" ht="33.75" hidden="false" customHeight="true" outlineLevel="0" collapsed="false">
      <c r="A14" s="27" t="s">
        <v>120</v>
      </c>
      <c r="B14" s="26" t="s">
        <v>121</v>
      </c>
      <c r="C14" s="26" t="s">
        <v>126</v>
      </c>
    </row>
    <row r="15" customFormat="false" ht="33.75" hidden="false" customHeight="true" outlineLevel="0" collapsed="false">
      <c r="A15" s="27" t="s">
        <v>120</v>
      </c>
      <c r="B15" s="26" t="s">
        <v>121</v>
      </c>
      <c r="C15" s="26" t="s">
        <v>127</v>
      </c>
    </row>
    <row r="16" customFormat="false" ht="33.75" hidden="false" customHeight="true" outlineLevel="0" collapsed="false">
      <c r="A16" s="27" t="s">
        <v>120</v>
      </c>
      <c r="B16" s="26" t="s">
        <v>121</v>
      </c>
      <c r="C16" s="26" t="s">
        <v>128</v>
      </c>
    </row>
    <row r="17" customFormat="false" ht="33.75" hidden="false" customHeight="true" outlineLevel="0" collapsed="false">
      <c r="A17" s="27" t="s">
        <v>120</v>
      </c>
      <c r="B17" s="26" t="s">
        <v>121</v>
      </c>
      <c r="C17" s="26" t="s">
        <v>129</v>
      </c>
    </row>
    <row r="18" customFormat="false" ht="33.75" hidden="false" customHeight="true" outlineLevel="0" collapsed="false">
      <c r="A18" s="27" t="s">
        <v>120</v>
      </c>
      <c r="B18" s="26" t="s">
        <v>121</v>
      </c>
      <c r="C18" s="26" t="s">
        <v>130</v>
      </c>
    </row>
    <row r="19" customFormat="false" ht="33.75" hidden="false" customHeight="true" outlineLevel="0" collapsed="false">
      <c r="A19" s="27" t="s">
        <v>120</v>
      </c>
      <c r="B19" s="26" t="s">
        <v>121</v>
      </c>
      <c r="C19" s="26" t="s">
        <v>131</v>
      </c>
    </row>
    <row r="20" customFormat="false" ht="33.75" hidden="false" customHeight="true" outlineLevel="0" collapsed="false">
      <c r="A20" s="27" t="s">
        <v>120</v>
      </c>
      <c r="B20" s="26" t="s">
        <v>121</v>
      </c>
      <c r="C20" s="26" t="s">
        <v>132</v>
      </c>
    </row>
    <row r="21" customFormat="false" ht="33.75" hidden="false" customHeight="true" outlineLevel="0" collapsed="false">
      <c r="A21" s="27" t="s">
        <v>120</v>
      </c>
      <c r="B21" s="26" t="s">
        <v>121</v>
      </c>
      <c r="C21" s="26" t="s">
        <v>133</v>
      </c>
    </row>
    <row r="22" customFormat="false" ht="33.75" hidden="false" customHeight="true" outlineLevel="0" collapsed="false">
      <c r="A22" s="27" t="s">
        <v>120</v>
      </c>
      <c r="B22" s="26" t="s">
        <v>121</v>
      </c>
      <c r="C22" s="26" t="s">
        <v>134</v>
      </c>
    </row>
    <row r="23" customFormat="false" ht="33.75" hidden="false" customHeight="true" outlineLevel="0" collapsed="false">
      <c r="A23" s="27" t="s">
        <v>120</v>
      </c>
      <c r="B23" s="26" t="s">
        <v>121</v>
      </c>
      <c r="C23" s="26" t="s">
        <v>135</v>
      </c>
    </row>
    <row r="24" customFormat="false" ht="33.75" hidden="false" customHeight="true" outlineLevel="0" collapsed="false">
      <c r="A24" s="27" t="s">
        <v>120</v>
      </c>
      <c r="B24" s="26" t="s">
        <v>121</v>
      </c>
      <c r="C24" s="26" t="s">
        <v>136</v>
      </c>
    </row>
    <row r="25" customFormat="false" ht="33.75" hidden="false" customHeight="true" outlineLevel="0" collapsed="false">
      <c r="A25" s="27" t="s">
        <v>120</v>
      </c>
      <c r="B25" s="26" t="s">
        <v>121</v>
      </c>
      <c r="C25" s="26" t="s">
        <v>137</v>
      </c>
    </row>
    <row r="26" customFormat="false" ht="33.75" hidden="false" customHeight="true" outlineLevel="0" collapsed="false">
      <c r="A26" s="27" t="s">
        <v>120</v>
      </c>
      <c r="B26" s="26" t="s">
        <v>121</v>
      </c>
      <c r="C26" s="26" t="s">
        <v>138</v>
      </c>
    </row>
    <row r="27" customFormat="false" ht="33.75" hidden="false" customHeight="true" outlineLevel="0" collapsed="false">
      <c r="A27" s="27" t="s">
        <v>120</v>
      </c>
      <c r="B27" s="26" t="s">
        <v>121</v>
      </c>
      <c r="C27" s="26" t="s">
        <v>139</v>
      </c>
    </row>
    <row r="28" customFormat="false" ht="33.75" hidden="false" customHeight="true" outlineLevel="0" collapsed="false">
      <c r="A28" s="27" t="s">
        <v>120</v>
      </c>
      <c r="B28" s="26" t="s">
        <v>121</v>
      </c>
      <c r="C28" s="26" t="s">
        <v>140</v>
      </c>
    </row>
    <row r="29" customFormat="false" ht="33.75" hidden="false" customHeight="true" outlineLevel="0" collapsed="false">
      <c r="A29" s="27" t="s">
        <v>120</v>
      </c>
      <c r="B29" s="26" t="s">
        <v>121</v>
      </c>
      <c r="C29" s="26" t="s">
        <v>141</v>
      </c>
    </row>
    <row r="30" customFormat="false" ht="33.75" hidden="false" customHeight="true" outlineLevel="0" collapsed="false">
      <c r="A30" s="27" t="s">
        <v>120</v>
      </c>
      <c r="B30" s="26" t="s">
        <v>121</v>
      </c>
      <c r="C30" s="26" t="s">
        <v>142</v>
      </c>
    </row>
    <row r="31" customFormat="false" ht="33.75" hidden="false" customHeight="true" outlineLevel="0" collapsed="false">
      <c r="A31" s="27" t="s">
        <v>120</v>
      </c>
      <c r="B31" s="26" t="s">
        <v>121</v>
      </c>
      <c r="C31" s="26" t="s">
        <v>143</v>
      </c>
    </row>
    <row r="32" customFormat="false" ht="33.75" hidden="false" customHeight="true" outlineLevel="0" collapsed="false">
      <c r="A32" s="27" t="s">
        <v>120</v>
      </c>
      <c r="B32" s="26" t="s">
        <v>121</v>
      </c>
      <c r="C32" s="26" t="s">
        <v>144</v>
      </c>
    </row>
    <row r="33" customFormat="false" ht="33.75" hidden="false" customHeight="true" outlineLevel="0" collapsed="false">
      <c r="A33" s="27" t="s">
        <v>120</v>
      </c>
      <c r="B33" s="26" t="s">
        <v>121</v>
      </c>
      <c r="C33" s="26" t="s">
        <v>145</v>
      </c>
    </row>
    <row r="34" customFormat="false" ht="33.75" hidden="false" customHeight="true" outlineLevel="0" collapsed="false">
      <c r="A34" s="27" t="s">
        <v>120</v>
      </c>
      <c r="B34" s="26" t="s">
        <v>121</v>
      </c>
      <c r="C34" s="26" t="s">
        <v>146</v>
      </c>
    </row>
    <row r="35" customFormat="false" ht="33.75" hidden="false" customHeight="true" outlineLevel="0" collapsed="false">
      <c r="A35" s="27" t="s">
        <v>120</v>
      </c>
      <c r="B35" s="26" t="s">
        <v>121</v>
      </c>
      <c r="C35" s="26" t="s">
        <v>147</v>
      </c>
    </row>
    <row r="36" customFormat="false" ht="33.75" hidden="false" customHeight="true" outlineLevel="0" collapsed="false">
      <c r="A36" s="27" t="s">
        <v>120</v>
      </c>
      <c r="B36" s="26" t="s">
        <v>121</v>
      </c>
      <c r="C36" s="26" t="s">
        <v>148</v>
      </c>
    </row>
    <row r="37" customFormat="false" ht="33.75" hidden="false" customHeight="true" outlineLevel="0" collapsed="false">
      <c r="A37" s="27" t="s">
        <v>120</v>
      </c>
      <c r="B37" s="26" t="s">
        <v>121</v>
      </c>
      <c r="C37" s="26" t="s">
        <v>149</v>
      </c>
    </row>
    <row r="38" customFormat="false" ht="33.75" hidden="false" customHeight="true" outlineLevel="0" collapsed="false">
      <c r="A38" s="27" t="s">
        <v>120</v>
      </c>
      <c r="B38" s="26" t="s">
        <v>121</v>
      </c>
      <c r="C38" s="26" t="s">
        <v>150</v>
      </c>
    </row>
    <row r="39" customFormat="false" ht="33.75" hidden="false" customHeight="true" outlineLevel="0" collapsed="false">
      <c r="A39" s="27" t="s">
        <v>120</v>
      </c>
      <c r="B39" s="26" t="s">
        <v>121</v>
      </c>
      <c r="C39" s="26" t="s">
        <v>151</v>
      </c>
    </row>
    <row r="40" customFormat="false" ht="33.75" hidden="false" customHeight="true" outlineLevel="0" collapsed="false">
      <c r="A40" s="27" t="s">
        <v>120</v>
      </c>
      <c r="B40" s="26" t="s">
        <v>121</v>
      </c>
      <c r="C40" s="26" t="s">
        <v>152</v>
      </c>
    </row>
    <row r="41" customFormat="false" ht="33.75" hidden="false" customHeight="true" outlineLevel="0" collapsed="false">
      <c r="A41" s="27" t="s">
        <v>120</v>
      </c>
      <c r="B41" s="26" t="s">
        <v>121</v>
      </c>
      <c r="C41" s="26" t="s">
        <v>153</v>
      </c>
    </row>
    <row r="42" customFormat="false" ht="33.75" hidden="false" customHeight="true" outlineLevel="0" collapsed="false">
      <c r="A42" s="27" t="s">
        <v>120</v>
      </c>
      <c r="B42" s="26" t="s">
        <v>121</v>
      </c>
      <c r="C42" s="26" t="s">
        <v>154</v>
      </c>
    </row>
    <row r="43" customFormat="false" ht="33.75" hidden="false" customHeight="true" outlineLevel="0" collapsed="false">
      <c r="A43" s="27" t="s">
        <v>120</v>
      </c>
      <c r="B43" s="26" t="s">
        <v>121</v>
      </c>
      <c r="C43" s="26" t="s">
        <v>155</v>
      </c>
    </row>
    <row r="44" customFormat="false" ht="33.75" hidden="false" customHeight="true" outlineLevel="0" collapsed="false">
      <c r="A44" s="27" t="s">
        <v>120</v>
      </c>
      <c r="B44" s="26" t="s">
        <v>121</v>
      </c>
      <c r="C44" s="26" t="s">
        <v>156</v>
      </c>
    </row>
    <row r="45" customFormat="false" ht="33.75" hidden="false" customHeight="true" outlineLevel="0" collapsed="false">
      <c r="A45" s="27" t="s">
        <v>120</v>
      </c>
      <c r="B45" s="26" t="s">
        <v>121</v>
      </c>
      <c r="C45" s="26" t="s">
        <v>157</v>
      </c>
    </row>
    <row r="46" customFormat="false" ht="33.75" hidden="false" customHeight="true" outlineLevel="0" collapsed="false">
      <c r="A46" s="27" t="s">
        <v>120</v>
      </c>
      <c r="B46" s="26" t="s">
        <v>121</v>
      </c>
      <c r="C46" s="26" t="s">
        <v>158</v>
      </c>
    </row>
    <row r="47" customFormat="false" ht="33.75" hidden="false" customHeight="true" outlineLevel="0" collapsed="false">
      <c r="A47" s="27" t="s">
        <v>120</v>
      </c>
      <c r="B47" s="26" t="s">
        <v>121</v>
      </c>
      <c r="C47" s="26" t="s">
        <v>159</v>
      </c>
    </row>
    <row r="48" customFormat="false" ht="33.75" hidden="false" customHeight="true" outlineLevel="0" collapsed="false">
      <c r="A48" s="27" t="s">
        <v>120</v>
      </c>
      <c r="B48" s="26" t="s">
        <v>121</v>
      </c>
      <c r="C48" s="26" t="s">
        <v>160</v>
      </c>
    </row>
    <row r="49" customFormat="false" ht="33.75" hidden="false" customHeight="true" outlineLevel="0" collapsed="false">
      <c r="A49" s="27" t="s">
        <v>120</v>
      </c>
      <c r="B49" s="26" t="s">
        <v>161</v>
      </c>
      <c r="C49" s="26" t="s">
        <v>162</v>
      </c>
    </row>
  </sheetData>
  <autoFilter ref="A5:C49"/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2025-07-16T02:30:30Z</dcterms:created>
  <dc:creator>Varcas Kumar Sabharwal</dc:creator>
  <dc:description/>
  <dc:language>en-AE</dc:language>
  <cp:lastModifiedBy>Ryan Rodrigues</cp:lastModifiedBy>
  <dcterms:modified xsi:type="dcterms:W3CDTF">2026-10-03T20:47:29Z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0x01010068406715A740934999FE71FB7A3B349E</vt:lpwstr>
  </property>
</Properties>
</file>