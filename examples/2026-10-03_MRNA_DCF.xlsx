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Biotech Model" sheetId="1" state="visible" r:id="rId3"/>
    <sheet name="Pipeline Valuation" sheetId="2" state="visible" r:id="rId4"/>
    <sheet name="Input Required" sheetId="3" state="visible" r:id="rId5"/>
    <sheet name="Data Review" sheetId="4" state="visible" r:id="rId6"/>
  </sheets>
  <definedNames>
    <definedName function="false" hidden="true" localSheetId="3" name="_xlnm._FilterDatabase" vbProcedure="false">'Data Review'!$A$4:$I$195</definedName>
    <definedName function="false" hidden="true" localSheetId="2" name="_xlnm._FilterDatabase" vbProcedure="false">'Input Required'!$A$5:$H$196</definedName>
    <definedName function="false" hidden="true" localSheetId="1" name="_xlnm._FilterDatabase" vbProcedure="false">'Pipeline Valuation'!$A$5:$AX$19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<sst xmlns="http://schemas.openxmlformats.org/spreadsheetml/2006/main" count="2352" uniqueCount="764">
  <si>
    <t xml:space="preserve">Commercial DCF and Pipeline rNPV — MRNA</t>
  </si>
  <si>
    <t xml:space="preserve">Moderna, Inc.</t>
  </si>
  <si>
    <t xml:space="preserve">Commercial revenue starts from reported consolidated revenue (which can include collaboration and milestone revenue). Pipeline assumptions are blank and analyst-owned.</t>
  </si>
  <si>
    <t xml:space="preserve">Model status</t>
  </si>
  <si>
    <t xml:space="preserve">WACC and market inputs</t>
  </si>
  <si>
    <t xml:space="preserve">Value</t>
  </si>
  <si>
    <t xml:space="preserve">Source / as-of date</t>
  </si>
  <si>
    <t xml:space="preserve">Units: USD millions; diluted shares in millions; per-share value in USD.</t>
  </si>
  <si>
    <t xml:space="preserve">Risk-free rate</t>
  </si>
  <si>
    <t xml:space="preserve">live as of 2026-10-03</t>
  </si>
  <si>
    <t xml:space="preserve">FY2025 reported consolidated revenue base</t>
  </si>
  <si>
    <t xml:space="preserve">Equity-risk premium</t>
  </si>
  <si>
    <t xml:space="preserve">Beta</t>
  </si>
  <si>
    <t xml:space="preserve">openbb_yfinance as of 2026-10-03</t>
  </si>
  <si>
    <t xml:space="preserve">Commercial franchise DCF</t>
  </si>
  <si>
    <t xml:space="preserve">Cost of equity</t>
  </si>
  <si>
    <t xml:space="preserve">Cost of debt</t>
  </si>
  <si>
    <t xml:space="preserve">Commercial revenue growth</t>
  </si>
  <si>
    <t xml:space="preserve">Normalized tax rate</t>
  </si>
  <si>
    <t xml:space="preserve">Commercial revenue</t>
  </si>
  <si>
    <t xml:space="preserve">Market capitalization</t>
  </si>
  <si>
    <t xml:space="preserve">Post-tax commercial FCFF margin</t>
  </si>
  <si>
    <t xml:space="preserve">Interest-bearing debt</t>
  </si>
  <si>
    <t xml:space="preserve">Commercial FCFF</t>
  </si>
  <si>
    <t xml:space="preserve">Equity weight</t>
  </si>
  <si>
    <t xml:space="preserve">Discount factor</t>
  </si>
  <si>
    <t xml:space="preserve">Debt weight</t>
  </si>
  <si>
    <t xml:space="preserve">PV of commercial FCFF</t>
  </si>
  <si>
    <t xml:space="preserve">WACC</t>
  </si>
  <si>
    <t xml:space="preserve">Terminal growth</t>
  </si>
  <si>
    <t xml:space="preserve">Commercial franchise terminal value</t>
  </si>
  <si>
    <t xml:space="preserve">PV of commercial terminal value</t>
  </si>
  <si>
    <t xml:space="preserve">PV of commercial forecast</t>
  </si>
  <si>
    <t xml:space="preserve">Commercial franchise enterprise value</t>
  </si>
  <si>
    <t xml:space="preserve">Individually forecast late-stage asset rNPV</t>
  </si>
  <si>
    <t xml:space="preserve">Other SEC-listed pipeline asset rNPV</t>
  </si>
  <si>
    <t xml:space="preserve">Pipeline rNPV outside the SEC-mapped asset inventory</t>
  </si>
  <si>
    <t xml:space="preserve">Enterprise value</t>
  </si>
  <si>
    <t xml:space="preserve">Add cash and cash equivalents</t>
  </si>
  <si>
    <t xml:space="preserve">Add marketable securities / nonoperating assets</t>
  </si>
  <si>
    <t xml:space="preserve">Less interest-bearing debt</t>
  </si>
  <si>
    <t xml:space="preserve">Less noncontrolling interest</t>
  </si>
  <si>
    <t xml:space="preserve">Less preferred equity</t>
  </si>
  <si>
    <t xml:space="preserve">Common-equity value</t>
  </si>
  <si>
    <t xml:space="preserve">Diluted shares (millions)</t>
  </si>
  <si>
    <t xml:space="preserve">Implied value per share</t>
  </si>
  <si>
    <t xml:space="preserve">Current share price</t>
  </si>
  <si>
    <t xml:space="preserve">Implied upside / (downside)</t>
  </si>
  <si>
    <t xml:space="preserve">Formula guide: Commercial revenue = prior year × (1 + growth). Late-stage asset FCFF = sales × PoS × retained share × post-tax margin. Asset rNPV = discounted FCFF − included development-cost PV. Early, paused, and other SEC-listed programs use explicit include controls and analyst-entered PVs; those PVs stay fixed in sensitivity. Unmapped pipeline is separate.</t>
  </si>
  <si>
    <t xml:space="preserve">Sensitivity: implied value per share</t>
  </si>
  <si>
    <t xml:space="preserve">WACC / terminal growth</t>
  </si>
  <si>
    <t xml:space="preserve">Risk-adjusted Pipeline Valuation — MRNA</t>
  </si>
  <si>
    <t xml:space="preserve">SEC identity, stage, status, partner, and filing narrative are reported facts. The 35-year schedule captures launch and post-LOE cash flows; sales, probability, economics, and residual rNPV remain analyst inputs.</t>
  </si>
  <si>
    <t xml:space="preserve">Total individually forecast late-stage asset rNPV</t>
  </si>
  <si>
    <t xml:space="preserve">Risk-adjusted asset FCFF</t>
  </si>
  <si>
    <t xml:space="preserve">Asset ID</t>
  </si>
  <si>
    <t xml:space="preserve">SEC asset label</t>
  </si>
  <si>
    <t xml:space="preserve">Stage / status / partner</t>
  </si>
  <si>
    <t xml:space="preserve">SEC source and filing basis</t>
  </si>
  <si>
    <t xml:space="preserve">Include</t>
  </si>
  <si>
    <t xml:space="preserve">Launch year</t>
  </si>
  <si>
    <t xml:space="preserve">Peak sales</t>
  </si>
  <si>
    <t xml:space="preserve">Years to peak</t>
  </si>
  <si>
    <t xml:space="preserve">Exclusivity year</t>
  </si>
  <si>
    <t xml:space="preserve">Post-LOE erosion</t>
  </si>
  <si>
    <t xml:space="preserve">PoS</t>
  </si>
  <si>
    <t xml:space="preserve">Retained share</t>
  </si>
  <si>
    <t xml:space="preserve">Post-tax FCFF margin</t>
  </si>
  <si>
    <t xml:space="preserve">Development-cost PV</t>
  </si>
  <si>
    <t xml:space="preserve">Asset rNPV</t>
  </si>
  <si>
    <t xml:space="preserve">mRNA-4157</t>
  </si>
  <si>
    <t xml:space="preserve">Phase 2; disclosed; Partner: Merck</t>
  </si>
  <si>
    <t xml:space="preserve">SEC accession 0001682852-26-000033; filed 2026-02-20; report date 2025-12-31; 10-K; SEC 10-K Item 1, Business: In January 2026, we and Merck announced five-year data from the Phase 2b study of intismeran autogene (mRNA-4157), our mRNA-based individualized neoantigen therapy, in combination with Merck’s pembrolizumab (KEYTRUDA®), which demonstrated sustained improvement in recurrence-free survival in patients with high-risk melanoma (stage III/IV) following complete resection. | ONCOLOGY THERAPEUTICS FRANCHISE Within our oncology therapeutics franchise, we are developing intismeran autogene (mRNA-4157) in collaboration with Merck. | 18 Table of Contents Intismeran autogene (mRNA-4157) As tumors grow, they acquire mutations which may lead to the creation of new protein segments (neoantigens) that can be presented on human leukocyte antigen (HLA) molecules in the tumor and recognized as non-self by T cells. | Intismeran autogene, mRNA-4157, uses next generation sequencing and a machine-learning base</t>
  </si>
  <si>
    <t xml:space="preserve">mRNA-4359</t>
  </si>
  <si>
    <t xml:space="preserve">Phase 1/2; disclosed</t>
  </si>
  <si>
    <t xml:space="preserve">SEC accession 0001682852-26-000033; filed 2026-02-20; report date 2025-12-31; 10-K; SEC 10-K Item 1, Business: In oncology, we are also advancing mRNA-4359, a cancer antigen therapy designed to elicit T-cell immune responses against tumor and immunosuppressive cells. | Separate from the collaboration with Merck, our Phase 1/2 study of mRNA-4359, an investigational wholly-owned cancer antigen therapy, is ongoing. | Cancer antigen therapy (mRNA-4359) We are developing a cancer antigen therapy (mRNA-4359) that encodes Indoleamine 2,3-dioxygenase (IDO) and programmed death-ligand 1 (PD-L1) antigens. | We designed mRNA-4359 with the goal of stimulating effector T cells that target and kill suppressive immune and tumor cells that express the target antigens. | Our initial indications for mRNA-4359 are advanced or metastatic cutaneous melanoma and NSCLC. | 19 Table of Contents We presented data from the Phase 1a study of mRNA-4359 at the European Society for Medical Oncology (ESMO) Congress in 2024, whe</t>
  </si>
  <si>
    <t xml:space="preserve">mRNA-1083</t>
  </si>
  <si>
    <t xml:space="preserve">Phase 3; disclosed</t>
  </si>
  <si>
    <t xml:space="preserve">SEC accession 0001682852-26-000033; filed 2026-02-20; report date 2025-12-31; 10-K; SEC 10-K Item 1, Business: In infectious disease, we have regulatory filings under review for our seasonal flu+COVID combination vaccine candidate (mRNA-1083) in Europe and Canada, and for our seasonal flu vaccine candidate (mRNA-1010) in the United States, Europe, Canada and Australia. | Additionally, we have regulatory filings under review for our seasonal flu+COVID vaccine (mRNA-1083) in Europe and Canada and for our seasonal flu vaccine (mRNA-1010) in the United States, Europe, Canada and Australia. | Combination vaccines (mRNA-1083 and mRNA-1365) We are developing combination vaccine candidates to simplify and facilitate protection against a range of respiratory diseases. | Our COVID and seasonal influenza combination vaccine (mRNA-1083), encodes the same antigens as our seasonal influenza vaccine (mRNA-1010) and mNEXSPIKE. | In June 2024, we announced that our Phase 3 clinical trial of mRNA-1083 met its prim</t>
  </si>
  <si>
    <t xml:space="preserve">mRNA-1010</t>
  </si>
  <si>
    <t xml:space="preserve">SEC accession 0001682852-26-000033; filed 2026-02-20; report date 2025-12-31; 10-K; SEC 10-K Item 1, Business: In infectious disease, we have regulatory filings under review for our seasonal flu+COVID combination vaccine candidate (mRNA-1083) in Europe and Canada, and for our seasonal flu vaccine candidate (mRNA-1010) in the United States, Europe, Canada and Australia. | For mRNA-1010, in response to a prior Refusal-to-File letter, we engaged with the U. | Additionally, we have regulatory filings under review for our seasonal flu+COVID vaccine (mRNA-1083) in Europe and Canada and for our seasonal flu vaccine (mRNA-1010) in the United States, Europe, Canada and Australia. | 13 Table of Contents Seasonal influenza vaccine (mRNA-1010) The WHO estimates that seasonal influenza viruses cause three to five million cases of severe illness and 290,000 to 650,000 deaths each year, resulting in a severe challenge to public health. | Our seasonal influenza vaccine candidate (mRNA-1010) encodes for the hemag</t>
  </si>
  <si>
    <t xml:space="preserve">mRNA-1403</t>
  </si>
  <si>
    <t xml:space="preserve">SEC accession 0001682852-26-000033; filed 2026-02-20; report date 2025-12-31; 10-K; SEC 10-K Item 1, Business: In addition, we recently completed enrollment of a second Northern Hemisphere season (2025-2026) cohort in our ongoing Phase 3 study for our norovirus candidate (mRNA-1403). | Vaccines against enteric viruses Norovirus vaccines (mRNA-1403 and mRNA-1405) Norovirus is a leading cause of acute gastroenteritis (AGE), responsible for approximately 18% of all AGE cases worldwide and imposing a substantial global health care burden. | We are currently developing pentavalent (mRNA-1405) and trivalent (mRNA-1403) vaccine candidates for norovirus. | In March 2024, we presented data demonstrating that a single dose of trivalent vaccine candidate mRNA-1403 was well-tolerated across all dose levels evaluated and elicited robust antibody responses against vaccine-matched norovirus genogroup I &amp; II selected genotypes, including functional histo-blood group antigen (HBGA) blocking antibodies. | In Septe</t>
  </si>
  <si>
    <t xml:space="preserve">mRNA-3927</t>
  </si>
  <si>
    <t xml:space="preserve">registrational study; disclosed; Partner: Recordati</t>
  </si>
  <si>
    <t xml:space="preserve">SEC accession 0001682852-26-000033; filed 2026-02-20; report date 2025-12-31; 10-K; SEC 10-K Item 1, Business: In rare disease, our propionic acidemia therapeutic (mRNA-3927) has reached target enrollment in a registrational study. | In January 2026, we entered into a strategic collaboration with Recordati, an international pharmaceutical group, to advance mRNA-3927 through the final stages of clinical development and, if approved, global commercialization. | Propionic acidemia (mRNA-3927) Propionic acidemia (PA) is a rare, inherited metabolic disorder with significant morbidity and mortality, affecting one in 100,000-150,000 individuals worldwide. | Our PA therapy candidate, mRNA-3927, is a novel, IV-administered, LNP-encapsulated dual mRNA therapy that encodes for PCCA and PCCB subunit proteins to restore functional PCC enzyme activity in the liver. | 20 Table of Contents At the International Congress of Inborn Errors of Metabolism (ICIEM) in September 2025, we reported data from the ongoing gl</t>
  </si>
  <si>
    <t xml:space="preserve">mRNA-3705</t>
  </si>
  <si>
    <t xml:space="preserve">registrational study; disclosed</t>
  </si>
  <si>
    <t xml:space="preserve">SEC accession 0001682852-26-000033; filed 2026-02-20; report date 2025-12-31; 10-K; SEC 10-K Item 1, Business: In addition, we expect the registrational study for our methylmalonic acidemia therapeutic (mRNA-3705) to begin in 2026. | Methylmalonic acidemia (mRNA-3705) Methylmalonic acidemia (MMA) is a rare, inherited metabolic disorder with significant morbidity and mortality caused by a deficiency in an enzyme called methylmalonyl-CoA mutase (MUT). | Our MMA therapy candidate, mRNA-3705, is an investigational, lipid nanoparticle-encapsulated therapy administered intravenously that codes for the human MUT (hMUT) enzyme and is hypothesized to restore normal MUT production. | In 2024, the FDA announced that it had selected our MMA therapy candidate, mRNA-3705, for the Support for Clinical trials Advancing Rare Disease Therapeutics (START) program. | mRNA-3705 was generally well-tolerated.</t>
  </si>
  <si>
    <t xml:space="preserve">mRNA-1018</t>
  </si>
  <si>
    <t xml:space="preserve">SEC accession 0001682852-26-000033; filed 2026-02-20; report date 2025-12-31; 10-K; SEC 10-K Item 1, Business: 14 Table of Contents Pandemic influenza vaccine (mRNA-1018) An influenza pandemic is a global outbreak of a new influenza A virus that is very different from recently circulating human seasonal influenza A viruses. | In 2023, we initiated a Phase 1/2 study to generate safety and immunogenicity data of our investigational pandemic influenza vaccine (mRNA-1018) in healthy adults 18 years of age and older. | In October 2025, we presented results of this study showing that mRNA-1018 demonstrated a rapid, potent and durable immune response. | 3 million to support a pivotal Phase 3 clinical trial that aims to help advance our investigational mRNA-based H5 pandemic influenza vaccine candidate, mRNA-1018, to licensure.</t>
  </si>
  <si>
    <t xml:space="preserve">mRNA-1195</t>
  </si>
  <si>
    <t xml:space="preserve">Phase 2; disclosed</t>
  </si>
  <si>
    <t xml:space="preserve">SEC accession 0001682852-26-000033; filed 2026-02-20; report date 2025-12-31; 10-K; SEC 10-K Item 1, Business: 15 Table of Contents EBV vaccines (mRNA-1189 and mRNA-1195) Epstein-Barr virus (EBV) is a member of the herpesvirus family that infects approximately 90% of people in the U. | We are developing two mRNA candidates against EBV —a prophylactic vaccine to prevent infectious mononucleosis (mRNA-1189) and a therapeutic to treat multiple sclerosis (mRNA-1195). | mRNA-1195 encodes for entry glycoproteins and latent antigens aimed at inducing an antibody and T cell response, and will be investigated in the context of multiple sclerosis and post-transplant lymphoproliferative disorder. | We are currently conducting Phase 2, randomized, observer-blind, placebo-controlled studies of mRNA-1189 and mRNA-1195. | Our Phase 1 study for mRNA-1195 is fully enrolled, and in November 2025 we shared data that showed mRNA-1195 was immunogenic and generally well tolerated across all dose levels. | Our mRNA-119</t>
  </si>
  <si>
    <t xml:space="preserve">mRNA-1982</t>
  </si>
  <si>
    <t xml:space="preserve">SEC accession 0001682852-26-000033; filed 2026-02-20; report date 2025-12-31; 10-K; SEC 10-K Item 1, Business: Bacterial vaccines Lyme vaccines (mRNA-1975 and mRNA-1982) Lyme disease is an illness caused by Borrelia bacteria transmitted by the bite of infected ticks. | This trial evaluates the safety and immunogenicity of a heptavalent (mRNA-1975) and monovalent (mRNA-1982) approach in parallel. | mRNA-1982 targets Borrelia burgdorferi, responsible for nearly all Lyme cases in North America, while mRNA-1975 targets the four major Borrelia species causing disease in North America and Europe. | The program will progress to a Phase 2 dose ranging study of mRNA-1982.</t>
  </si>
  <si>
    <t xml:space="preserve">mRNA-1769</t>
  </si>
  <si>
    <t xml:space="preserve">SEC accession 0001682852-26-000033; filed 2026-02-20; report date 2025-12-31; 10-K; SEC 10-K Item 1, Business: Mpox vaccine (mRNA-1769) Mpox (formerly known as monkeypox) is an infectious disease caused by the mpox virus, a member of the Orthopoxvirus genus, which also includes Variola virus, the virus that caused smallpox. | Our mpox vaccine candidate, mRNA-1769, is designed to express four antigens from the mpox virus. | In preclinical studies using a stringent non-human primate model, vaccination with mRNA-1769 resulted in fewer lesions, reduced viral replication, and stronger neutralizing and functional antibody responses compared with existing treatments. | The immune responses induced by mRNA-1769 also showed broad activity against several orthopoxviruses. | We conducted a randomized, placebo-controlled, dose-ranging Phase 1/2 study to evaluate the safety, tolerability, and immune response of three dose levels of mRNA-1769 in healthy adult participants. | Interim analysis showed that mRNA-1</t>
  </si>
  <si>
    <t xml:space="preserve">mRNA-4106</t>
  </si>
  <si>
    <t xml:space="preserve">SEC accession 0001682852-26-000033; filed 2026-02-20; report date 2025-12-31; 10-K; SEC 10-K Item 1, Business: We have also expanded our oncology portfolio with early-stage programs, including mRNA-4106 (a cancer antigen therapy), mRNA-2808 (a T-cell engager), and mRNA-4203 (a cell-therapy enhancer). | The Phase 2 portion of the study includes cohorts in first-line metastatic melanoma, second-line+ metastatic melanoma and first-line metastatic NSCLC Cancer antigen therapy (mRNA-4106) mRNA-4106 is a cancer antigen therapy offering broad coverage across tumor types.</t>
  </si>
  <si>
    <t xml:space="preserve">mRNA-2808</t>
  </si>
  <si>
    <t xml:space="preserve">Phase 1 / 2; disclosed</t>
  </si>
  <si>
    <t xml:space="preserve">SEC accession 0001682852-26-000033; filed 2026-02-20; report date 2025-12-31; 10-K; SEC 10-K Item 1, Business: We have also expanded our oncology portfolio with early-stage programs, including mRNA-4106 (a cancer antigen therapy), mRNA-2808 (a T-cell engager), and mRNA-4203 (a cell-therapy enhancer). | T-cell engager (mRNA-2808) mRNA-2808 is a T-cell engager targeting surface antigens in multiple myeloma and is currently dosing in a Phase 1 / 2 clinical study.</t>
  </si>
  <si>
    <t xml:space="preserve">mRNA-4349</t>
  </si>
  <si>
    <t xml:space="preserve">SEC accession 0001682852-26-000033; filed 2026-02-20; report date 2025-12-31; 10-K; SEC 10-K Item 1, Business: The Phase 1/2 study of mRNA-4349 is ongoing.</t>
  </si>
  <si>
    <t xml:space="preserve">Other SEC-listed assets — source-mapped rNPV inputs</t>
  </si>
  <si>
    <t xml:space="preserve">Analyst-entered rNPV (PV)</t>
  </si>
  <si>
    <t xml:space="preserve">Included rNPV</t>
  </si>
  <si>
    <t xml:space="preserve">mRNA-1011</t>
  </si>
  <si>
    <t xml:space="preserve">explicitly_paused</t>
  </si>
  <si>
    <t xml:space="preserve">SEC accession 0001682852-26-000033; filed 2026-02-20; report date 2025-12-31; 10-K; SEC 10-K Item 1, Business: We have paused development of mRNA-1011, mRNA-1012, mRNA-1020, and mRNA-1030, which were flu vaccines that included additional antigens relative to what is included in mRNA-1010.</t>
  </si>
  <si>
    <t xml:space="preserve">mRNA-1012</t>
  </si>
  <si>
    <t xml:space="preserve">mRNA-1020</t>
  </si>
  <si>
    <t xml:space="preserve">mRNA-1030</t>
  </si>
  <si>
    <t xml:space="preserve">mRNA-1365</t>
  </si>
  <si>
    <t xml:space="preserve">Phase 1; disclosed</t>
  </si>
  <si>
    <t xml:space="preserve">SEC accession 0001682852-26-000033; filed 2026-02-20; report date 2025-12-31; 10-K; SEC 10-K Item 1, Business: Combination vaccines (mRNA-1083 and mRNA-1365) We are developing combination vaccine candidates to simplify and facilitate protection against a range of respiratory diseases. | In addition, safety follow-up continues in our Phase 1 study for mRNA-1365, our RSV and human metapneumovirus (hMPV) combination vaccine, in children five to 23 months of age. | We are also evaluating an updated version of mRNA-1365 in older adults.</t>
  </si>
  <si>
    <t xml:space="preserve">mRNA-1647</t>
  </si>
  <si>
    <t xml:space="preserve">Phase 3; explicitly_paused</t>
  </si>
  <si>
    <t xml:space="preserve">SEC accession 0001682852-26-000033; filed 2026-02-20; report date 2025-12-31; 10-K; SEC 10-K Item 1, Business: Vaccines against latent viruses CMV vaccine (mRNA-1647) Cytomegalovirus (CMV) is member of the herpes virus family and a common human pathogen that causes complications for people who are immunosuppressed or can be passed to babies during pregnancy and result in congenital malformation. | Our CMV vaccine candidate, mRNA-1647, combines six mRNAs in one vaccine. | mRNA-1647 is designed to produce an immune response against both pentamer and gB for the prevention of CMV infection. | We conducted a cCMV Phase 3 study of mRNA-1647 in women of childbearing age and announced in October 2025 that the study failed to reach its primary clinical endpoint. | mRNA-1647 has the potential to prevent CMV viral replication and/or disease in transplant populations. | A Phase 2 proof-of-concept study for mRNA-1647 in allogeneic hematopoietic cell transplant (HCT) patients is ongoing. | We do not have curre</t>
  </si>
  <si>
    <t xml:space="preserve">mRNA-1189</t>
  </si>
  <si>
    <t xml:space="preserve">SEC accession 0001682852-26-000033; filed 2026-02-20; report date 2025-12-31; 10-K; SEC 10-K Item 1, Business: 15 Table of Contents EBV vaccines (mRNA-1189 and mRNA-1195) Epstein-Barr virus (EBV) is a member of the herpesvirus family that infects approximately 90% of people in the U. | We are developing two mRNA candidates against EBV —a prophylactic vaccine to prevent infectious mononucleosis (mRNA-1189) and a therapeutic to treat multiple sclerosis (mRNA-1195). | mRNA-1189 is designed to elicit an immune response to EBV envelope glycoproteins, which are required for infection of both epithelial and B cells. | We are currently conducting Phase 2, randomized, observer-blind, placebo-controlled studies of mRNA-1189 and mRNA-1195. | In March 2024, we shared Phase 1 data for mRNA-1189, where the randomized, observer-blind, placebo-controlled study showed mRNA-1189 was immunogenic and generally well tolerated across all dose levels. | We have since fully enrolled a dose finding Phase 2 study for mRNA</t>
  </si>
  <si>
    <t xml:space="preserve">mRNA-1645</t>
  </si>
  <si>
    <t xml:space="preserve">SEC accession 0001682852-26-000033; filed 2026-02-20; report date 2025-12-31; 10-K; SEC 10-K Item 1, Business: HIV vaccine (mRNA-1645) Human immunodeficiency virus (HIV) is responsible for acquired immunodeficiency syndrome (AIDS), a lifelong, progressive illness with no effective cure. | Our HIV vaccine candidate (mRNA-1645) is being studied in Phase 1 clinical trials, sponsored by IAVI, to determine the optimal design to induce broadly neutralizing antibodies capable of addressing the genetic diversity of HIV that is necessary in future proof of concept studies.</t>
  </si>
  <si>
    <t xml:space="preserve">mRNA-1405</t>
  </si>
  <si>
    <t xml:space="preserve">disclosed</t>
  </si>
  <si>
    <t xml:space="preserve">SEC accession 0001682852-26-000033; filed 2026-02-20; report date 2025-12-31; 10-K; SEC 10-K Item 1, Business: Vaccines against enteric viruses Norovirus vaccines (mRNA-1403 and mRNA-1405) Norovirus is a leading cause of acute gastroenteritis (AGE), responsible for approximately 18% of all AGE cases worldwide and imposing a substantial global health care burden. | We are currently developing pentavalent (mRNA-1405) and trivalent (mRNA-1403) vaccine candidates for norovirus.</t>
  </si>
  <si>
    <t xml:space="preserve">mRNA-1975</t>
  </si>
  <si>
    <t xml:space="preserve">SEC accession 0001682852-26-000033; filed 2026-02-20; report date 2025-12-31; 10-K; SEC 10-K Item 1, Business: Bacterial vaccines Lyme vaccines (mRNA-1975 and mRNA-1982) Lyme disease is an illness caused by Borrelia bacteria transmitted by the bite of infected ticks. | This trial evaluates the safety and immunogenicity of a heptavalent (mRNA-1975) and monovalent (mRNA-1982) approach in parallel. | mRNA-1982 targets Borrelia burgdorferi, responsible for nearly all Lyme cases in North America, while mRNA-1975 targets the four major Borrelia species causing disease in North America and Europe. | No safety concerns have been identified across the evaluated dose levels for three injections of mRNA-1975/1982. | Furthermore, three injections of mRNA-1975/1982 elicit robust anti-OspA IgG antibody responses, with titers up to ~1,300 times above baseline for OspA serotype 1 of Borrelia burgdorferi.</t>
  </si>
  <si>
    <t xml:space="preserve">mRNA-1215</t>
  </si>
  <si>
    <t xml:space="preserve">SEC accession 0001682852-26-000033; filed 2026-02-20; report date 2025-12-31; 10-K; SEC 10-K Item 1, Business: Public health vaccines Nipah vaccine (mRNA-1215) Nipah virus (NiV) is a zoonotic virus transmitted to humans from animals, contaminated food or through direct human-to-human transmission and causes a range of illnesses including fatal encephalitis. | 17 Table of Contents In collaboration with the NIH-Vaccine Research Center (VRC), we conducted a Phase 1 clinical trial of mRNA-1215, our vaccine candidate against NiV, and testing was focused on pandemic preparedness. | This Phase 1 dose-escalation, open-label clinical trial was the first study of mRNA-1215 in healthy adults to evaluate the safety, tolerability and immunogenicity of a NiV mRNA vaccine candidate.</t>
  </si>
  <si>
    <t xml:space="preserve">mRNA-4203</t>
  </si>
  <si>
    <t xml:space="preserve">SEC accession 0001682852-26-000033; filed 2026-02-20; report date 2025-12-31; 10-K; SEC 10-K Item 1, Business: We have also expanded our oncology portfolio with early-stage programs, including mRNA-4106 (a cancer antigen therapy), mRNA-2808 (a T-cell engager), and mRNA-4203 (a cell-therapy enhancer). | mRNA-4203 is being developed in collaboration with Immatics. | Cell therapy enhancer (mRNA-4203 and Anzu-cel (IMA203)) mRNA-4203 is a cell therapy enhancer that encodes for the target of an ex-vivo cell therapy to enhance the persistence and efficacy of the cell therapy. | mRNA-4203 is being developed in collaboration with Immatics and is dosed in combination with Immatics’ IMA203.</t>
  </si>
  <si>
    <t xml:space="preserve">mRNA-3692</t>
  </si>
  <si>
    <t xml:space="preserve">SEC accession 0001682852-26-000033; filed 2026-02-20; report date 2025-12-31; 10-K; SEC 10-K Item 1, Business: Cystic Fibrosis (mRNA-3692/VX-522) Cystic Fibrosis (CF) is a rare genetic disease, which is progressive from birth and leads to multi-organ damage and early death due to lung dysfunction. | We are collaborating with Vertex on our CF candidate, mRNA-3692/VX-522, which is designed to treat the underlying cause of CF by enabling cells in the lungs to produce functional CFTR protein for the treatment of the over 5,000 patients who do not produce any modulator-responsive CFTR protein. | Representative relationships and associated programs include those with Merck, for our intismeran programs (mRNA-4157), and Vertex, for our CF program (mRNA-3692).</t>
  </si>
  <si>
    <t xml:space="preserve">mRNA-1608</t>
  </si>
  <si>
    <t xml:space="preserve">Phase 2; explicitly_paused</t>
  </si>
  <si>
    <t xml:space="preserve">SEC accession 0001682852-26-000033; filed 2026-02-20; report date 2025-12-31; 10-K; SEC 10-K Item 1, Business: We do not have current plans for future development of the following programs: • mRNA-1647: CMV in congenital CMV (we plan to continue to evaluate mRNA-1647 in an ongoing Phase 2 trial of bone marrow transplant patients) • mRNA-1608: Herpes simplex virus (HSV) vaccine • mRNA-1468: Varicella-Zoster virus (VZV) vaccine • mRNA-3745: Glycogen Storage Disease Type 1a (GSD1a) therapeutic • mRNA-3210: Phenylketonuria (PKU) therapeutic MANUFACTURING Our m anufacturing capabilities play a critical role in our value chain and support every stage of the development of our products, from discovery to commercialization.</t>
  </si>
  <si>
    <t xml:space="preserve">mRNA-1468</t>
  </si>
  <si>
    <t xml:space="preserve">mRNA-3745</t>
  </si>
  <si>
    <t xml:space="preserve">mRNA-3210</t>
  </si>
  <si>
    <t xml:space="preserve">mRNA-3351</t>
  </si>
  <si>
    <t xml:space="preserve">SEC accession 0001682852-26-000033; filed 2026-02-20; report date 2025-12-31; 10-K; SEC 10-K Item 1, Business: Institute for Life Changing Medicines (ILCM) In September 2021, we entered into a collaboration agreement with the ILCM to develop a new mRNA therapeutic (mRNA-3351) for type 1 Crigler-Najjar syndrome (CN-1). | Under the terms of the agreement, we agreed to license mRNA-3351 to ILCM with no upfront fees, and without any downstream payments. | ILCM will be responsible for the clinical development of mRNA-3351.</t>
  </si>
  <si>
    <t xml:space="preserve">INCOMPLETE MODEL — Moderna, Inc. (MRNA)</t>
  </si>
  <si>
    <t xml:space="preserve">Model family: biotech_pipeline_rnpv. No valuation has been calculated because required inputs are missing.</t>
  </si>
  <si>
    <t xml:space="preserve">Input key</t>
  </si>
  <si>
    <t xml:space="preserve">Required input</t>
  </si>
  <si>
    <t xml:space="preserve">Period</t>
  </si>
  <si>
    <t xml:space="preserve">Unit</t>
  </si>
  <si>
    <t xml:space="preserve">Why required</t>
  </si>
  <si>
    <t xml:space="preserve">Enter value</t>
  </si>
  <si>
    <t xml:space="preserve">Source / reference</t>
  </si>
  <si>
    <t xml:space="preserve">Source required</t>
  </si>
  <si>
    <t xml:space="preserve">commercial_revenue_growth</t>
  </si>
  <si>
    <t xml:space="preserve">Commercial franchise revenue growth</t>
  </si>
  <si>
    <t xml:space="preserve">FY2026</t>
  </si>
  <si>
    <t xml:space="preserve">ratio</t>
  </si>
  <si>
    <t xml:space="preserve">MRNA pipeline rNPV uses its live 10-K program list, but commercial forecasts, success probabilities, launch timing, partner economics, and remaining development costs are not reported as valuation inputs. Enter a source or valuation rationale for each input. Forecast FY2026; the filed revenue base includes product and collaboration revenue.</t>
  </si>
  <si>
    <t xml:space="preserve">Yes</t>
  </si>
  <si>
    <t xml:space="preserve">FY2027</t>
  </si>
  <si>
    <t xml:space="preserve">MRNA pipeline rNPV uses its live 10-K program list, but commercial forecasts, success probabilities, launch timing, partner economics, and remaining development costs are not reported as valuation inputs. Enter a source or valuation rationale for each input. Forecast FY2027; the filed revenue base includes product and collaboration revenue.</t>
  </si>
  <si>
    <t xml:space="preserve">FY2028</t>
  </si>
  <si>
    <t xml:space="preserve">MRNA pipeline rNPV uses its live 10-K program list, but commercial forecasts, success probabilities, launch timing, partner economics, and remaining development costs are not reported as valuation inputs. Enter a source or valuation rationale for each input. Forecast FY2028; the filed revenue base includes product and collaboration revenue.</t>
  </si>
  <si>
    <t xml:space="preserve">FY2029</t>
  </si>
  <si>
    <t xml:space="preserve">MRNA pipeline rNPV uses its live 10-K program list, but commercial forecasts, success probabilities, launch timing, partner economics, and remaining development costs are not reported as valuation inputs. Enter a source or valuation rationale for each input. Forecast FY2029; the filed revenue base includes product and collaboration revenue.</t>
  </si>
  <si>
    <t xml:space="preserve">FY2030</t>
  </si>
  <si>
    <t xml:space="preserve">MRNA pipeline rNPV uses its live 10-K program list, but commercial forecasts, success probabilities, launch timing, partner economics, and remaining development costs are not reported as valuation inputs. Enter a source or valuation rationale for each input. Forecast FY2030; the filed revenue base includes product and collaboration revenue.</t>
  </si>
  <si>
    <t xml:space="preserve">FY2031</t>
  </si>
  <si>
    <t xml:space="preserve">MRNA pipeline rNPV uses its live 10-K program list, but commercial forecasts, success probabilities, launch timing, partner economics, and remaining development costs are not reported as valuation inputs. Enter a source or valuation rationale for each input. Forecast FY2031; the filed revenue base includes product and collaboration revenue.</t>
  </si>
  <si>
    <t xml:space="preserve">FY2032</t>
  </si>
  <si>
    <t xml:space="preserve">MRNA pipeline rNPV uses its live 10-K program list, but commercial forecasts, success probabilities, launch timing, partner economics, and remaining development costs are not reported as valuation inputs. Enter a source or valuation rationale for each input. Forecast FY2032; the filed revenue base includes product and collaboration revenue.</t>
  </si>
  <si>
    <t xml:space="preserve">FY2033</t>
  </si>
  <si>
    <t xml:space="preserve">MRNA pipeline rNPV uses its live 10-K program list, but commercial forecasts, success probabilities, launch timing, partner economics, and remaining development costs are not reported as valuation inputs. Enter a source or valuation rationale for each input. Forecast FY2033; the filed revenue base includes product and collaboration revenue.</t>
  </si>
  <si>
    <t xml:space="preserve">FY2034</t>
  </si>
  <si>
    <t xml:space="preserve">MRNA pipeline rNPV uses its live 10-K program list, but commercial forecasts, success probabilities, launch timing, partner economics, and remaining development costs are not reported as valuation inputs. Enter a source or valuation rationale for each input. Forecast FY2034; the filed revenue base includes product and collaboration revenue.</t>
  </si>
  <si>
    <t xml:space="preserve">FY2035</t>
  </si>
  <si>
    <t xml:space="preserve">MRNA pipeline rNPV uses its live 10-K program list, but commercial forecasts, success probabilities, launch timing, partner economics, and remaining development costs are not reported as valuation inputs. Enter a source or valuation rationale for each input. Forecast FY2035; the filed revenue base includes product and collaboration revenue.</t>
  </si>
  <si>
    <t xml:space="preserve">commercial_fcf_margin</t>
  </si>
  <si>
    <t xml:space="preserve">Existing commercial portfolio post-tax cash margin</t>
  </si>
  <si>
    <t xml:space="preserve">MRNA pipeline rNPV uses its live 10-K program list, but commercial forecasts, success probabilities, launch timing, partner economics, and remaining development costs are not reported as valuation inputs. Enter a source or valuation rationale for each input. This margin excludes the separately modeled pipeline development costs.</t>
  </si>
  <si>
    <t xml:space="preserve">asset_include:mRNA-4157</t>
  </si>
  <si>
    <t xml:space="preserve">mRNA-4157 include in rNPV</t>
  </si>
  <si>
    <t xml:space="preserve">0 or 1</t>
  </si>
  <si>
    <t xml:space="preserve">MRNA pipeline rNPV uses its live 10-K program list, but commercial forecasts, success probabilities, launch timing, partner economics, and remaining development costs are not reported as valuation inputs. Enter a source or valuation rationale for each input. SEC filing lists mRNA-4157 at Phase 2 with Merck.</t>
  </si>
  <si>
    <t xml:space="preserve">asset_launch_year:mRNA-4157</t>
  </si>
  <si>
    <t xml:space="preserve">mRNA-4157 expected launch year</t>
  </si>
  <si>
    <t xml:space="preserve">calendar year</t>
  </si>
  <si>
    <t xml:space="preserve">asset_peak_sales:mRNA-4157</t>
  </si>
  <si>
    <t xml:space="preserve">mRNA-4157 peak annual sales</t>
  </si>
  <si>
    <t xml:space="preserve">USD actual</t>
  </si>
  <si>
    <t xml:space="preserve">asset_years_to_peak:mRNA-4157</t>
  </si>
  <si>
    <t xml:space="preserve">mRNA-4157 years from launch to peak sales</t>
  </si>
  <si>
    <t xml:space="preserve">years</t>
  </si>
  <si>
    <t xml:space="preserve">asset_exclusivity_year:mRNA-4157</t>
  </si>
  <si>
    <t xml:space="preserve">mRNA-4157 expected loss-of-exclusivity year</t>
  </si>
  <si>
    <t xml:space="preserve">asset_post_loe_erosion:mRNA-4157</t>
  </si>
  <si>
    <t xml:space="preserve">mRNA-4157 post-LOE annual sales erosion</t>
  </si>
  <si>
    <t xml:space="preserve">asset_probability_of_success:mRNA-4157</t>
  </si>
  <si>
    <t xml:space="preserve">mRNA-4157 probability of success</t>
  </si>
  <si>
    <t xml:space="preserve">asset_retained_share:mRNA-4157</t>
  </si>
  <si>
    <t xml:space="preserve">mRNA-4157 retained economics after partner share</t>
  </si>
  <si>
    <t xml:space="preserve">asset_contribution_margin:mRNA-4157</t>
  </si>
  <si>
    <t xml:space="preserve">mRNA-4157 post-tax cash contribution margin</t>
  </si>
  <si>
    <t xml:space="preserve">asset_development_cost_pv:mRNA-4157</t>
  </si>
  <si>
    <t xml:space="preserve">mRNA-4157 remaining development-cost PV</t>
  </si>
  <si>
    <t xml:space="preserve">asset_include:mRNA-4359</t>
  </si>
  <si>
    <t xml:space="preserve">mRNA-4359 include in rNPV</t>
  </si>
  <si>
    <t xml:space="preserve">MRNA pipeline rNPV uses its live 10-K program list, but commercial forecasts, success probabilities, launch timing, partner economics, and remaining development costs are not reported as valuation inputs. Enter a source or valuation rationale for each input. SEC filing lists mRNA-4359 at Phase 1/2.</t>
  </si>
  <si>
    <t xml:space="preserve">asset_launch_year:mRNA-4359</t>
  </si>
  <si>
    <t xml:space="preserve">mRNA-4359 expected launch year</t>
  </si>
  <si>
    <t xml:space="preserve">asset_peak_sales:mRNA-4359</t>
  </si>
  <si>
    <t xml:space="preserve">mRNA-4359 peak annual sales</t>
  </si>
  <si>
    <t xml:space="preserve">asset_years_to_peak:mRNA-4359</t>
  </si>
  <si>
    <t xml:space="preserve">mRNA-4359 years from launch to peak sales</t>
  </si>
  <si>
    <t xml:space="preserve">asset_exclusivity_year:mRNA-4359</t>
  </si>
  <si>
    <t xml:space="preserve">mRNA-4359 expected loss-of-exclusivity year</t>
  </si>
  <si>
    <t xml:space="preserve">asset_post_loe_erosion:mRNA-4359</t>
  </si>
  <si>
    <t xml:space="preserve">mRNA-4359 post-LOE annual sales erosion</t>
  </si>
  <si>
    <t xml:space="preserve">asset_probability_of_success:mRNA-4359</t>
  </si>
  <si>
    <t xml:space="preserve">mRNA-4359 probability of success</t>
  </si>
  <si>
    <t xml:space="preserve">asset_retained_share:mRNA-4359</t>
  </si>
  <si>
    <t xml:space="preserve">mRNA-4359 retained economics after partner share</t>
  </si>
  <si>
    <t xml:space="preserve">asset_contribution_margin:mRNA-4359</t>
  </si>
  <si>
    <t xml:space="preserve">mRNA-4359 post-tax cash contribution margin</t>
  </si>
  <si>
    <t xml:space="preserve">asset_development_cost_pv:mRNA-4359</t>
  </si>
  <si>
    <t xml:space="preserve">mRNA-4359 remaining development-cost PV</t>
  </si>
  <si>
    <t xml:space="preserve">asset_include:mRNA-1083</t>
  </si>
  <si>
    <t xml:space="preserve">mRNA-1083 include in rNPV</t>
  </si>
  <si>
    <t xml:space="preserve">MRNA pipeline rNPV uses its live 10-K program list, but commercial forecasts, success probabilities, launch timing, partner economics, and remaining development costs are not reported as valuation inputs. Enter a source or valuation rationale for each input. SEC filing lists mRNA-1083 at Phase 3.</t>
  </si>
  <si>
    <t xml:space="preserve">asset_launch_year:mRNA-1083</t>
  </si>
  <si>
    <t xml:space="preserve">mRNA-1083 expected launch year</t>
  </si>
  <si>
    <t xml:space="preserve">asset_peak_sales:mRNA-1083</t>
  </si>
  <si>
    <t xml:space="preserve">mRNA-1083 peak annual sales</t>
  </si>
  <si>
    <t xml:space="preserve">asset_years_to_peak:mRNA-1083</t>
  </si>
  <si>
    <t xml:space="preserve">mRNA-1083 years from launch to peak sales</t>
  </si>
  <si>
    <t xml:space="preserve">asset_exclusivity_year:mRNA-1083</t>
  </si>
  <si>
    <t xml:space="preserve">mRNA-1083 expected loss-of-exclusivity year</t>
  </si>
  <si>
    <t xml:space="preserve">asset_post_loe_erosion:mRNA-1083</t>
  </si>
  <si>
    <t xml:space="preserve">mRNA-1083 post-LOE annual sales erosion</t>
  </si>
  <si>
    <t xml:space="preserve">asset_probability_of_success:mRNA-1083</t>
  </si>
  <si>
    <t xml:space="preserve">mRNA-1083 probability of success</t>
  </si>
  <si>
    <t xml:space="preserve">asset_retained_share:mRNA-1083</t>
  </si>
  <si>
    <t xml:space="preserve">mRNA-1083 retained economics after partner share</t>
  </si>
  <si>
    <t xml:space="preserve">asset_contribution_margin:mRNA-1083</t>
  </si>
  <si>
    <t xml:space="preserve">mRNA-1083 post-tax cash contribution margin</t>
  </si>
  <si>
    <t xml:space="preserve">asset_development_cost_pv:mRNA-1083</t>
  </si>
  <si>
    <t xml:space="preserve">mRNA-1083 remaining development-cost PV</t>
  </si>
  <si>
    <t xml:space="preserve">asset_include:mRNA-1010</t>
  </si>
  <si>
    <t xml:space="preserve">mRNA-1010 include in rNPV</t>
  </si>
  <si>
    <t xml:space="preserve">MRNA pipeline rNPV uses its live 10-K program list, but commercial forecasts, success probabilities, launch timing, partner economics, and remaining development costs are not reported as valuation inputs. Enter a source or valuation rationale for each input. SEC filing lists mRNA-1010 at Phase 3.</t>
  </si>
  <si>
    <t xml:space="preserve">asset_launch_year:mRNA-1010</t>
  </si>
  <si>
    <t xml:space="preserve">mRNA-1010 expected launch year</t>
  </si>
  <si>
    <t xml:space="preserve">asset_peak_sales:mRNA-1010</t>
  </si>
  <si>
    <t xml:space="preserve">mRNA-1010 peak annual sales</t>
  </si>
  <si>
    <t xml:space="preserve">asset_years_to_peak:mRNA-1010</t>
  </si>
  <si>
    <t xml:space="preserve">mRNA-1010 years from launch to peak sales</t>
  </si>
  <si>
    <t xml:space="preserve">asset_exclusivity_year:mRNA-1010</t>
  </si>
  <si>
    <t xml:space="preserve">mRNA-1010 expected loss-of-exclusivity year</t>
  </si>
  <si>
    <t xml:space="preserve">asset_post_loe_erosion:mRNA-1010</t>
  </si>
  <si>
    <t xml:space="preserve">mRNA-1010 post-LOE annual sales erosion</t>
  </si>
  <si>
    <t xml:space="preserve">asset_probability_of_success:mRNA-1010</t>
  </si>
  <si>
    <t xml:space="preserve">mRNA-1010 probability of success</t>
  </si>
  <si>
    <t xml:space="preserve">asset_retained_share:mRNA-1010</t>
  </si>
  <si>
    <t xml:space="preserve">mRNA-1010 retained economics after partner share</t>
  </si>
  <si>
    <t xml:space="preserve">asset_contribution_margin:mRNA-1010</t>
  </si>
  <si>
    <t xml:space="preserve">mRNA-1010 post-tax cash contribution margin</t>
  </si>
  <si>
    <t xml:space="preserve">asset_development_cost_pv:mRNA-1010</t>
  </si>
  <si>
    <t xml:space="preserve">mRNA-1010 remaining development-cost PV</t>
  </si>
  <si>
    <t xml:space="preserve">asset_include:mRNA-1403</t>
  </si>
  <si>
    <t xml:space="preserve">mRNA-1403 include in rNPV</t>
  </si>
  <si>
    <t xml:space="preserve">MRNA pipeline rNPV uses its live 10-K program list, but commercial forecasts, success probabilities, launch timing, partner economics, and remaining development costs are not reported as valuation inputs. Enter a source or valuation rationale for each input. SEC filing lists mRNA-1403 at Phase 3.</t>
  </si>
  <si>
    <t xml:space="preserve">asset_launch_year:mRNA-1403</t>
  </si>
  <si>
    <t xml:space="preserve">mRNA-1403 expected launch year</t>
  </si>
  <si>
    <t xml:space="preserve">asset_peak_sales:mRNA-1403</t>
  </si>
  <si>
    <t xml:space="preserve">mRNA-1403 peak annual sales</t>
  </si>
  <si>
    <t xml:space="preserve">asset_years_to_peak:mRNA-1403</t>
  </si>
  <si>
    <t xml:space="preserve">mRNA-1403 years from launch to peak sales</t>
  </si>
  <si>
    <t xml:space="preserve">asset_exclusivity_year:mRNA-1403</t>
  </si>
  <si>
    <t xml:space="preserve">mRNA-1403 expected loss-of-exclusivity year</t>
  </si>
  <si>
    <t xml:space="preserve">asset_post_loe_erosion:mRNA-1403</t>
  </si>
  <si>
    <t xml:space="preserve">mRNA-1403 post-LOE annual sales erosion</t>
  </si>
  <si>
    <t xml:space="preserve">asset_probability_of_success:mRNA-1403</t>
  </si>
  <si>
    <t xml:space="preserve">mRNA-1403 probability of success</t>
  </si>
  <si>
    <t xml:space="preserve">asset_retained_share:mRNA-1403</t>
  </si>
  <si>
    <t xml:space="preserve">mRNA-1403 retained economics after partner share</t>
  </si>
  <si>
    <t xml:space="preserve">asset_contribution_margin:mRNA-1403</t>
  </si>
  <si>
    <t xml:space="preserve">mRNA-1403 post-tax cash contribution margin</t>
  </si>
  <si>
    <t xml:space="preserve">asset_development_cost_pv:mRNA-1403</t>
  </si>
  <si>
    <t xml:space="preserve">mRNA-1403 remaining development-cost PV</t>
  </si>
  <si>
    <t xml:space="preserve">asset_include:mRNA-3927</t>
  </si>
  <si>
    <t xml:space="preserve">mRNA-3927 include in rNPV</t>
  </si>
  <si>
    <t xml:space="preserve">MRNA pipeline rNPV uses its live 10-K program list, but commercial forecasts, success probabilities, launch timing, partner economics, and remaining development costs are not reported as valuation inputs. Enter a source or valuation rationale for each input. SEC filing lists mRNA-3927 at registrational study with Recordati.</t>
  </si>
  <si>
    <t xml:space="preserve">asset_launch_year:mRNA-3927</t>
  </si>
  <si>
    <t xml:space="preserve">mRNA-3927 expected launch year</t>
  </si>
  <si>
    <t xml:space="preserve">asset_peak_sales:mRNA-3927</t>
  </si>
  <si>
    <t xml:space="preserve">mRNA-3927 peak annual sales</t>
  </si>
  <si>
    <t xml:space="preserve">asset_years_to_peak:mRNA-3927</t>
  </si>
  <si>
    <t xml:space="preserve">mRNA-3927 years from launch to peak sales</t>
  </si>
  <si>
    <t xml:space="preserve">asset_exclusivity_year:mRNA-3927</t>
  </si>
  <si>
    <t xml:space="preserve">mRNA-3927 expected loss-of-exclusivity year</t>
  </si>
  <si>
    <t xml:space="preserve">asset_post_loe_erosion:mRNA-3927</t>
  </si>
  <si>
    <t xml:space="preserve">mRNA-3927 post-LOE annual sales erosion</t>
  </si>
  <si>
    <t xml:space="preserve">asset_probability_of_success:mRNA-3927</t>
  </si>
  <si>
    <t xml:space="preserve">mRNA-3927 probability of success</t>
  </si>
  <si>
    <t xml:space="preserve">asset_retained_share:mRNA-3927</t>
  </si>
  <si>
    <t xml:space="preserve">mRNA-3927 retained economics after partner share</t>
  </si>
  <si>
    <t xml:space="preserve">asset_contribution_margin:mRNA-3927</t>
  </si>
  <si>
    <t xml:space="preserve">mRNA-3927 post-tax cash contribution margin</t>
  </si>
  <si>
    <t xml:space="preserve">asset_development_cost_pv:mRNA-3927</t>
  </si>
  <si>
    <t xml:space="preserve">mRNA-3927 remaining development-cost PV</t>
  </si>
  <si>
    <t xml:space="preserve">asset_include:mRNA-3705</t>
  </si>
  <si>
    <t xml:space="preserve">mRNA-3705 include in rNPV</t>
  </si>
  <si>
    <t xml:space="preserve">MRNA pipeline rNPV uses its live 10-K program list, but commercial forecasts, success probabilities, launch timing, partner economics, and remaining development costs are not reported as valuation inputs. Enter a source or valuation rationale for each input. SEC filing lists mRNA-3705 at registrational study.</t>
  </si>
  <si>
    <t xml:space="preserve">asset_launch_year:mRNA-3705</t>
  </si>
  <si>
    <t xml:space="preserve">mRNA-3705 expected launch year</t>
  </si>
  <si>
    <t xml:space="preserve">asset_peak_sales:mRNA-3705</t>
  </si>
  <si>
    <t xml:space="preserve">mRNA-3705 peak annual sales</t>
  </si>
  <si>
    <t xml:space="preserve">asset_years_to_peak:mRNA-3705</t>
  </si>
  <si>
    <t xml:space="preserve">mRNA-3705 years from launch to peak sales</t>
  </si>
  <si>
    <t xml:space="preserve">asset_exclusivity_year:mRNA-3705</t>
  </si>
  <si>
    <t xml:space="preserve">mRNA-3705 expected loss-of-exclusivity year</t>
  </si>
  <si>
    <t xml:space="preserve">asset_post_loe_erosion:mRNA-3705</t>
  </si>
  <si>
    <t xml:space="preserve">mRNA-3705 post-LOE annual sales erosion</t>
  </si>
  <si>
    <t xml:space="preserve">asset_probability_of_success:mRNA-3705</t>
  </si>
  <si>
    <t xml:space="preserve">mRNA-3705 probability of success</t>
  </si>
  <si>
    <t xml:space="preserve">asset_retained_share:mRNA-3705</t>
  </si>
  <si>
    <t xml:space="preserve">mRNA-3705 retained economics after partner share</t>
  </si>
  <si>
    <t xml:space="preserve">asset_contribution_margin:mRNA-3705</t>
  </si>
  <si>
    <t xml:space="preserve">mRNA-3705 post-tax cash contribution margin</t>
  </si>
  <si>
    <t xml:space="preserve">asset_development_cost_pv:mRNA-3705</t>
  </si>
  <si>
    <t xml:space="preserve">mRNA-3705 remaining development-cost PV</t>
  </si>
  <si>
    <t xml:space="preserve">asset_include:mRNA-1018</t>
  </si>
  <si>
    <t xml:space="preserve">mRNA-1018 include in rNPV</t>
  </si>
  <si>
    <t xml:space="preserve">MRNA pipeline rNPV uses its live 10-K program list, but commercial forecasts, success probabilities, launch timing, partner economics, and remaining development costs are not reported as valuation inputs. Enter a source or valuation rationale for each input. SEC filing lists mRNA-1018 at Phase 1/2.</t>
  </si>
  <si>
    <t xml:space="preserve">asset_launch_year:mRNA-1018</t>
  </si>
  <si>
    <t xml:space="preserve">mRNA-1018 expected launch year</t>
  </si>
  <si>
    <t xml:space="preserve">asset_peak_sales:mRNA-1018</t>
  </si>
  <si>
    <t xml:space="preserve">mRNA-1018 peak annual sales</t>
  </si>
  <si>
    <t xml:space="preserve">asset_years_to_peak:mRNA-1018</t>
  </si>
  <si>
    <t xml:space="preserve">mRNA-1018 years from launch to peak sales</t>
  </si>
  <si>
    <t xml:space="preserve">asset_exclusivity_year:mRNA-1018</t>
  </si>
  <si>
    <t xml:space="preserve">mRNA-1018 expected loss-of-exclusivity year</t>
  </si>
  <si>
    <t xml:space="preserve">asset_post_loe_erosion:mRNA-1018</t>
  </si>
  <si>
    <t xml:space="preserve">mRNA-1018 post-LOE annual sales erosion</t>
  </si>
  <si>
    <t xml:space="preserve">asset_probability_of_success:mRNA-1018</t>
  </si>
  <si>
    <t xml:space="preserve">mRNA-1018 probability of success</t>
  </si>
  <si>
    <t xml:space="preserve">asset_retained_share:mRNA-1018</t>
  </si>
  <si>
    <t xml:space="preserve">mRNA-1018 retained economics after partner share</t>
  </si>
  <si>
    <t xml:space="preserve">asset_contribution_margin:mRNA-1018</t>
  </si>
  <si>
    <t xml:space="preserve">mRNA-1018 post-tax cash contribution margin</t>
  </si>
  <si>
    <t xml:space="preserve">asset_development_cost_pv:mRNA-1018</t>
  </si>
  <si>
    <t xml:space="preserve">mRNA-1018 remaining development-cost PV</t>
  </si>
  <si>
    <t xml:space="preserve">asset_include:mRNA-1195</t>
  </si>
  <si>
    <t xml:space="preserve">mRNA-1195 include in rNPV</t>
  </si>
  <si>
    <t xml:space="preserve">MRNA pipeline rNPV uses its live 10-K program list, but commercial forecasts, success probabilities, launch timing, partner economics, and remaining development costs are not reported as valuation inputs. Enter a source or valuation rationale for each input. SEC filing lists mRNA-1195 at Phase 2.</t>
  </si>
  <si>
    <t xml:space="preserve">asset_launch_year:mRNA-1195</t>
  </si>
  <si>
    <t xml:space="preserve">mRNA-1195 expected launch year</t>
  </si>
  <si>
    <t xml:space="preserve">asset_peak_sales:mRNA-1195</t>
  </si>
  <si>
    <t xml:space="preserve">mRNA-1195 peak annual sales</t>
  </si>
  <si>
    <t xml:space="preserve">asset_years_to_peak:mRNA-1195</t>
  </si>
  <si>
    <t xml:space="preserve">mRNA-1195 years from launch to peak sales</t>
  </si>
  <si>
    <t xml:space="preserve">asset_exclusivity_year:mRNA-1195</t>
  </si>
  <si>
    <t xml:space="preserve">mRNA-1195 expected loss-of-exclusivity year</t>
  </si>
  <si>
    <t xml:space="preserve">asset_post_loe_erosion:mRNA-1195</t>
  </si>
  <si>
    <t xml:space="preserve">mRNA-1195 post-LOE annual sales erosion</t>
  </si>
  <si>
    <t xml:space="preserve">asset_probability_of_success:mRNA-1195</t>
  </si>
  <si>
    <t xml:space="preserve">mRNA-1195 probability of success</t>
  </si>
  <si>
    <t xml:space="preserve">asset_retained_share:mRNA-1195</t>
  </si>
  <si>
    <t xml:space="preserve">mRNA-1195 retained economics after partner share</t>
  </si>
  <si>
    <t xml:space="preserve">asset_contribution_margin:mRNA-1195</t>
  </si>
  <si>
    <t xml:space="preserve">mRNA-1195 post-tax cash contribution margin</t>
  </si>
  <si>
    <t xml:space="preserve">asset_development_cost_pv:mRNA-1195</t>
  </si>
  <si>
    <t xml:space="preserve">mRNA-1195 remaining development-cost PV</t>
  </si>
  <si>
    <t xml:space="preserve">asset_include:mRNA-1982</t>
  </si>
  <si>
    <t xml:space="preserve">mRNA-1982 include in rNPV</t>
  </si>
  <si>
    <t xml:space="preserve">MRNA pipeline rNPV uses its live 10-K program list, but commercial forecasts, success probabilities, launch timing, partner economics, and remaining development costs are not reported as valuation inputs. Enter a source or valuation rationale for each input. SEC filing lists mRNA-1982 at Phase 2.</t>
  </si>
  <si>
    <t xml:space="preserve">asset_launch_year:mRNA-1982</t>
  </si>
  <si>
    <t xml:space="preserve">mRNA-1982 expected launch year</t>
  </si>
  <si>
    <t xml:space="preserve">asset_peak_sales:mRNA-1982</t>
  </si>
  <si>
    <t xml:space="preserve">mRNA-1982 peak annual sales</t>
  </si>
  <si>
    <t xml:space="preserve">asset_years_to_peak:mRNA-1982</t>
  </si>
  <si>
    <t xml:space="preserve">mRNA-1982 years from launch to peak sales</t>
  </si>
  <si>
    <t xml:space="preserve">asset_exclusivity_year:mRNA-1982</t>
  </si>
  <si>
    <t xml:space="preserve">mRNA-1982 expected loss-of-exclusivity year</t>
  </si>
  <si>
    <t xml:space="preserve">asset_post_loe_erosion:mRNA-1982</t>
  </si>
  <si>
    <t xml:space="preserve">mRNA-1982 post-LOE annual sales erosion</t>
  </si>
  <si>
    <t xml:space="preserve">asset_probability_of_success:mRNA-1982</t>
  </si>
  <si>
    <t xml:space="preserve">mRNA-1982 probability of success</t>
  </si>
  <si>
    <t xml:space="preserve">asset_retained_share:mRNA-1982</t>
  </si>
  <si>
    <t xml:space="preserve">mRNA-1982 retained economics after partner share</t>
  </si>
  <si>
    <t xml:space="preserve">asset_contribution_margin:mRNA-1982</t>
  </si>
  <si>
    <t xml:space="preserve">mRNA-1982 post-tax cash contribution margin</t>
  </si>
  <si>
    <t xml:space="preserve">asset_development_cost_pv:mRNA-1982</t>
  </si>
  <si>
    <t xml:space="preserve">mRNA-1982 remaining development-cost PV</t>
  </si>
  <si>
    <t xml:space="preserve">asset_include:mRNA-1769</t>
  </si>
  <si>
    <t xml:space="preserve">mRNA-1769 include in rNPV</t>
  </si>
  <si>
    <t xml:space="preserve">MRNA pipeline rNPV uses its live 10-K program list, but commercial forecasts, success probabilities, launch timing, partner economics, and remaining development costs are not reported as valuation inputs. Enter a source or valuation rationale for each input. SEC filing lists mRNA-1769 at Phase 1/2.</t>
  </si>
  <si>
    <t xml:space="preserve">asset_launch_year:mRNA-1769</t>
  </si>
  <si>
    <t xml:space="preserve">mRNA-1769 expected launch year</t>
  </si>
  <si>
    <t xml:space="preserve">asset_peak_sales:mRNA-1769</t>
  </si>
  <si>
    <t xml:space="preserve">mRNA-1769 peak annual sales</t>
  </si>
  <si>
    <t xml:space="preserve">asset_years_to_peak:mRNA-1769</t>
  </si>
  <si>
    <t xml:space="preserve">mRNA-1769 years from launch to peak sales</t>
  </si>
  <si>
    <t xml:space="preserve">asset_exclusivity_year:mRNA-1769</t>
  </si>
  <si>
    <t xml:space="preserve">mRNA-1769 expected loss-of-exclusivity year</t>
  </si>
  <si>
    <t xml:space="preserve">asset_post_loe_erosion:mRNA-1769</t>
  </si>
  <si>
    <t xml:space="preserve">mRNA-1769 post-LOE annual sales erosion</t>
  </si>
  <si>
    <t xml:space="preserve">asset_probability_of_success:mRNA-1769</t>
  </si>
  <si>
    <t xml:space="preserve">mRNA-1769 probability of success</t>
  </si>
  <si>
    <t xml:space="preserve">asset_retained_share:mRNA-1769</t>
  </si>
  <si>
    <t xml:space="preserve">mRNA-1769 retained economics after partner share</t>
  </si>
  <si>
    <t xml:space="preserve">asset_contribution_margin:mRNA-1769</t>
  </si>
  <si>
    <t xml:space="preserve">mRNA-1769 post-tax cash contribution margin</t>
  </si>
  <si>
    <t xml:space="preserve">asset_development_cost_pv:mRNA-1769</t>
  </si>
  <si>
    <t xml:space="preserve">mRNA-1769 remaining development-cost PV</t>
  </si>
  <si>
    <t xml:space="preserve">asset_include:mRNA-4106</t>
  </si>
  <si>
    <t xml:space="preserve">mRNA-4106 include in rNPV</t>
  </si>
  <si>
    <t xml:space="preserve">MRNA pipeline rNPV uses its live 10-K program list, but commercial forecasts, success probabilities, launch timing, partner economics, and remaining development costs are not reported as valuation inputs. Enter a source or valuation rationale for each input. SEC filing lists mRNA-4106 at Phase 2.</t>
  </si>
  <si>
    <t xml:space="preserve">asset_launch_year:mRNA-4106</t>
  </si>
  <si>
    <t xml:space="preserve">mRNA-4106 expected launch year</t>
  </si>
  <si>
    <t xml:space="preserve">asset_peak_sales:mRNA-4106</t>
  </si>
  <si>
    <t xml:space="preserve">mRNA-4106 peak annual sales</t>
  </si>
  <si>
    <t xml:space="preserve">asset_years_to_peak:mRNA-4106</t>
  </si>
  <si>
    <t xml:space="preserve">mRNA-4106 years from launch to peak sales</t>
  </si>
  <si>
    <t xml:space="preserve">asset_exclusivity_year:mRNA-4106</t>
  </si>
  <si>
    <t xml:space="preserve">mRNA-4106 expected loss-of-exclusivity year</t>
  </si>
  <si>
    <t xml:space="preserve">asset_post_loe_erosion:mRNA-4106</t>
  </si>
  <si>
    <t xml:space="preserve">mRNA-4106 post-LOE annual sales erosion</t>
  </si>
  <si>
    <t xml:space="preserve">asset_probability_of_success:mRNA-4106</t>
  </si>
  <si>
    <t xml:space="preserve">mRNA-4106 probability of success</t>
  </si>
  <si>
    <t xml:space="preserve">asset_retained_share:mRNA-4106</t>
  </si>
  <si>
    <t xml:space="preserve">mRNA-4106 retained economics after partner share</t>
  </si>
  <si>
    <t xml:space="preserve">asset_contribution_margin:mRNA-4106</t>
  </si>
  <si>
    <t xml:space="preserve">mRNA-4106 post-tax cash contribution margin</t>
  </si>
  <si>
    <t xml:space="preserve">asset_development_cost_pv:mRNA-4106</t>
  </si>
  <si>
    <t xml:space="preserve">mRNA-4106 remaining development-cost PV</t>
  </si>
  <si>
    <t xml:space="preserve">asset_include:mRNA-2808</t>
  </si>
  <si>
    <t xml:space="preserve">mRNA-2808 include in rNPV</t>
  </si>
  <si>
    <t xml:space="preserve">MRNA pipeline rNPV uses its live 10-K program list, but commercial forecasts, success probabilities, launch timing, partner economics, and remaining development costs are not reported as valuation inputs. Enter a source or valuation rationale for each input. SEC filing lists mRNA-2808 at Phase 1 / 2.</t>
  </si>
  <si>
    <t xml:space="preserve">asset_launch_year:mRNA-2808</t>
  </si>
  <si>
    <t xml:space="preserve">mRNA-2808 expected launch year</t>
  </si>
  <si>
    <t xml:space="preserve">asset_peak_sales:mRNA-2808</t>
  </si>
  <si>
    <t xml:space="preserve">mRNA-2808 peak annual sales</t>
  </si>
  <si>
    <t xml:space="preserve">asset_years_to_peak:mRNA-2808</t>
  </si>
  <si>
    <t xml:space="preserve">mRNA-2808 years from launch to peak sales</t>
  </si>
  <si>
    <t xml:space="preserve">asset_exclusivity_year:mRNA-2808</t>
  </si>
  <si>
    <t xml:space="preserve">mRNA-2808 expected loss-of-exclusivity year</t>
  </si>
  <si>
    <t xml:space="preserve">asset_post_loe_erosion:mRNA-2808</t>
  </si>
  <si>
    <t xml:space="preserve">mRNA-2808 post-LOE annual sales erosion</t>
  </si>
  <si>
    <t xml:space="preserve">asset_probability_of_success:mRNA-2808</t>
  </si>
  <si>
    <t xml:space="preserve">mRNA-2808 probability of success</t>
  </si>
  <si>
    <t xml:space="preserve">asset_retained_share:mRNA-2808</t>
  </si>
  <si>
    <t xml:space="preserve">mRNA-2808 retained economics after partner share</t>
  </si>
  <si>
    <t xml:space="preserve">asset_contribution_margin:mRNA-2808</t>
  </si>
  <si>
    <t xml:space="preserve">mRNA-2808 post-tax cash contribution margin</t>
  </si>
  <si>
    <t xml:space="preserve">asset_development_cost_pv:mRNA-2808</t>
  </si>
  <si>
    <t xml:space="preserve">mRNA-2808 remaining development-cost PV</t>
  </si>
  <si>
    <t xml:space="preserve">asset_include:mRNA-4349</t>
  </si>
  <si>
    <t xml:space="preserve">mRNA-4349 include in rNPV</t>
  </si>
  <si>
    <t xml:space="preserve">MRNA pipeline rNPV uses its live 10-K program list, but commercial forecasts, success probabilities, launch timing, partner economics, and remaining development costs are not reported as valuation inputs. Enter a source or valuation rationale for each input. SEC filing lists mRNA-4349 at Phase 1/2.</t>
  </si>
  <si>
    <t xml:space="preserve">asset_launch_year:mRNA-4349</t>
  </si>
  <si>
    <t xml:space="preserve">mRNA-4349 expected launch year</t>
  </si>
  <si>
    <t xml:space="preserve">asset_peak_sales:mRNA-4349</t>
  </si>
  <si>
    <t xml:space="preserve">mRNA-4349 peak annual sales</t>
  </si>
  <si>
    <t xml:space="preserve">asset_years_to_peak:mRNA-4349</t>
  </si>
  <si>
    <t xml:space="preserve">mRNA-4349 years from launch to peak sales</t>
  </si>
  <si>
    <t xml:space="preserve">asset_exclusivity_year:mRNA-4349</t>
  </si>
  <si>
    <t xml:space="preserve">mRNA-4349 expected loss-of-exclusivity year</t>
  </si>
  <si>
    <t xml:space="preserve">asset_post_loe_erosion:mRNA-4349</t>
  </si>
  <si>
    <t xml:space="preserve">mRNA-4349 post-LOE annual sales erosion</t>
  </si>
  <si>
    <t xml:space="preserve">asset_probability_of_success:mRNA-4349</t>
  </si>
  <si>
    <t xml:space="preserve">mRNA-4349 probability of success</t>
  </si>
  <si>
    <t xml:space="preserve">asset_retained_share:mRNA-4349</t>
  </si>
  <si>
    <t xml:space="preserve">mRNA-4349 retained economics after partner share</t>
  </si>
  <si>
    <t xml:space="preserve">asset_contribution_margin:mRNA-4349</t>
  </si>
  <si>
    <t xml:space="preserve">mRNA-4349 post-tax cash contribution margin</t>
  </si>
  <si>
    <t xml:space="preserve">asset_development_cost_pv:mRNA-4349</t>
  </si>
  <si>
    <t xml:space="preserve">mRNA-4349 remaining development-cost PV</t>
  </si>
  <si>
    <t xml:space="preserve">asset_scope_include:mRNA-1011</t>
  </si>
  <si>
    <t xml:space="preserve">mRNA-1011 include in other-pipeline value</t>
  </si>
  <si>
    <t xml:space="preserve">MRNA pipeline rNPV uses its live 10-K program list, but commercial forecasts, success probabilities, launch timing, partner economics, and remaining development costs are not reported as valuation inputs. Enter a source or valuation rationale for each input. This source-listed program is not in the individually forecast late-stage schedule and the filing says development is paused. Decide inclusion and document the analyst-entered present value.</t>
  </si>
  <si>
    <t xml:space="preserve">asset_scope_rnpv:mRNA-1011</t>
  </si>
  <si>
    <t xml:space="preserve">mRNA-1011 analyst-entered other-pipeline rNPV</t>
  </si>
  <si>
    <t xml:space="preserve">asset_scope_include:mRNA-1012</t>
  </si>
  <si>
    <t xml:space="preserve">mRNA-1012 include in other-pipeline value</t>
  </si>
  <si>
    <t xml:space="preserve">asset_scope_rnpv:mRNA-1012</t>
  </si>
  <si>
    <t xml:space="preserve">mRNA-1012 analyst-entered other-pipeline rNPV</t>
  </si>
  <si>
    <t xml:space="preserve">asset_scope_include:mRNA-1020</t>
  </si>
  <si>
    <t xml:space="preserve">mRNA-1020 include in other-pipeline value</t>
  </si>
  <si>
    <t xml:space="preserve">asset_scope_rnpv:mRNA-1020</t>
  </si>
  <si>
    <t xml:space="preserve">mRNA-1020 analyst-entered other-pipeline rNPV</t>
  </si>
  <si>
    <t xml:space="preserve">asset_scope_include:mRNA-1030</t>
  </si>
  <si>
    <t xml:space="preserve">mRNA-1030 include in other-pipeline value</t>
  </si>
  <si>
    <t xml:space="preserve">asset_scope_rnpv:mRNA-1030</t>
  </si>
  <si>
    <t xml:space="preserve">mRNA-1030 analyst-entered other-pipeline rNPV</t>
  </si>
  <si>
    <t xml:space="preserve">asset_scope_include:mRNA-1365</t>
  </si>
  <si>
    <t xml:space="preserve">mRNA-1365 include in other-pipeline value</t>
  </si>
  <si>
    <t xml:space="preserve">MRNA pipeline rNPV uses its live 10-K program list, but commercial forecasts, success probabilities, launch timing, partner economics, and remaining development costs are not reported as valuation inputs. Enter a source or valuation rationale for each input. This source-listed program is not in the individually forecast late-stage schedule (reported stage: Phase 1). Decide inclusion and document the analyst-entered present value.</t>
  </si>
  <si>
    <t xml:space="preserve">asset_scope_rnpv:mRNA-1365</t>
  </si>
  <si>
    <t xml:space="preserve">mRNA-1365 analyst-entered other-pipeline rNPV</t>
  </si>
  <si>
    <t xml:space="preserve">asset_scope_include:mRNA-1647</t>
  </si>
  <si>
    <t xml:space="preserve">mRNA-1647 include in other-pipeline value</t>
  </si>
  <si>
    <t xml:space="preserve">MRNA pipeline rNPV uses its live 10-K program list, but commercial forecasts, success probabilities, launch timing, partner economics, and remaining development costs are not reported as valuation inputs. Enter a source or valuation rationale for each input. This source-listed program is not in the individually forecast late-stage schedule (reported stage: Phase 3) and the filing says development is paused. Decide inclusion and document the analyst-entered present value.</t>
  </si>
  <si>
    <t xml:space="preserve">asset_scope_rnpv:mRNA-1647</t>
  </si>
  <si>
    <t xml:space="preserve">mRNA-1647 analyst-entered other-pipeline rNPV</t>
  </si>
  <si>
    <t xml:space="preserve">asset_scope_include:mRNA-1189</t>
  </si>
  <si>
    <t xml:space="preserve">mRNA-1189 include in other-pipeline value</t>
  </si>
  <si>
    <t xml:space="preserve">asset_scope_rnpv:mRNA-1189</t>
  </si>
  <si>
    <t xml:space="preserve">mRNA-1189 analyst-entered other-pipeline rNPV</t>
  </si>
  <si>
    <t xml:space="preserve">asset_scope_include:mRNA-1645</t>
  </si>
  <si>
    <t xml:space="preserve">mRNA-1645 include in other-pipeline value</t>
  </si>
  <si>
    <t xml:space="preserve">asset_scope_rnpv:mRNA-1645</t>
  </si>
  <si>
    <t xml:space="preserve">mRNA-1645 analyst-entered other-pipeline rNPV</t>
  </si>
  <si>
    <t xml:space="preserve">asset_scope_include:mRNA-1405</t>
  </si>
  <si>
    <t xml:space="preserve">mRNA-1405 include in other-pipeline value</t>
  </si>
  <si>
    <t xml:space="preserve">MRNA pipeline rNPV uses its live 10-K program list, but commercial forecasts, success probabilities, launch timing, partner economics, and remaining development costs are not reported as valuation inputs. Enter a source or valuation rationale for each input. This source-listed program is not in the individually forecast late-stage schedule. Decide inclusion and document the analyst-entered present value.</t>
  </si>
  <si>
    <t xml:space="preserve">asset_scope_rnpv:mRNA-1405</t>
  </si>
  <si>
    <t xml:space="preserve">mRNA-1405 analyst-entered other-pipeline rNPV</t>
  </si>
  <si>
    <t xml:space="preserve">asset_scope_include:mRNA-1975</t>
  </si>
  <si>
    <t xml:space="preserve">mRNA-1975 include in other-pipeline value</t>
  </si>
  <si>
    <t xml:space="preserve">asset_scope_rnpv:mRNA-1975</t>
  </si>
  <si>
    <t xml:space="preserve">mRNA-1975 analyst-entered other-pipeline rNPV</t>
  </si>
  <si>
    <t xml:space="preserve">asset_scope_include:mRNA-1215</t>
  </si>
  <si>
    <t xml:space="preserve">mRNA-1215 include in other-pipeline value</t>
  </si>
  <si>
    <t xml:space="preserve">asset_scope_rnpv:mRNA-1215</t>
  </si>
  <si>
    <t xml:space="preserve">mRNA-1215 analyst-entered other-pipeline rNPV</t>
  </si>
  <si>
    <t xml:space="preserve">asset_scope_include:mRNA-4203</t>
  </si>
  <si>
    <t xml:space="preserve">mRNA-4203 include in other-pipeline value</t>
  </si>
  <si>
    <t xml:space="preserve">asset_scope_rnpv:mRNA-4203</t>
  </si>
  <si>
    <t xml:space="preserve">mRNA-4203 analyst-entered other-pipeline rNPV</t>
  </si>
  <si>
    <t xml:space="preserve">asset_scope_include:mRNA-3692</t>
  </si>
  <si>
    <t xml:space="preserve">mRNA-3692 include in other-pipeline value</t>
  </si>
  <si>
    <t xml:space="preserve">asset_scope_rnpv:mRNA-3692</t>
  </si>
  <si>
    <t xml:space="preserve">mRNA-3692 analyst-entered other-pipeline rNPV</t>
  </si>
  <si>
    <t xml:space="preserve">asset_scope_include:mRNA-1608</t>
  </si>
  <si>
    <t xml:space="preserve">mRNA-1608 include in other-pipeline value</t>
  </si>
  <si>
    <t xml:space="preserve">MRNA pipeline rNPV uses its live 10-K program list, but commercial forecasts, success probabilities, launch timing, partner economics, and remaining development costs are not reported as valuation inputs. Enter a source or valuation rationale for each input. This source-listed program is not in the individually forecast late-stage schedule (reported stage: Phase 2) and the filing says development is paused. Decide inclusion and document the analyst-entered present value.</t>
  </si>
  <si>
    <t xml:space="preserve">asset_scope_rnpv:mRNA-1608</t>
  </si>
  <si>
    <t xml:space="preserve">mRNA-1608 analyst-entered other-pipeline rNPV</t>
  </si>
  <si>
    <t xml:space="preserve">asset_scope_include:mRNA-1468</t>
  </si>
  <si>
    <t xml:space="preserve">mRNA-1468 include in other-pipeline value</t>
  </si>
  <si>
    <t xml:space="preserve">asset_scope_rnpv:mRNA-1468</t>
  </si>
  <si>
    <t xml:space="preserve">mRNA-1468 analyst-entered other-pipeline rNPV</t>
  </si>
  <si>
    <t xml:space="preserve">asset_scope_include:mRNA-3745</t>
  </si>
  <si>
    <t xml:space="preserve">mRNA-3745 include in other-pipeline value</t>
  </si>
  <si>
    <t xml:space="preserve">asset_scope_rnpv:mRNA-3745</t>
  </si>
  <si>
    <t xml:space="preserve">mRNA-3745 analyst-entered other-pipeline rNPV</t>
  </si>
  <si>
    <t xml:space="preserve">asset_scope_include:mRNA-3210</t>
  </si>
  <si>
    <t xml:space="preserve">mRNA-3210 include in other-pipeline value</t>
  </si>
  <si>
    <t xml:space="preserve">asset_scope_rnpv:mRNA-3210</t>
  </si>
  <si>
    <t xml:space="preserve">mRNA-3210 analyst-entered other-pipeline rNPV</t>
  </si>
  <si>
    <t xml:space="preserve">asset_scope_include:mRNA-3351</t>
  </si>
  <si>
    <t xml:space="preserve">mRNA-3351 include in other-pipeline value</t>
  </si>
  <si>
    <t xml:space="preserve">asset_scope_rnpv:mRNA-3351</t>
  </si>
  <si>
    <t xml:space="preserve">mRNA-3351 analyst-entered other-pipeline rNPV</t>
  </si>
  <si>
    <t xml:space="preserve">unmapped_pipeline_rnpv</t>
  </si>
  <si>
    <t xml:space="preserve">MRNA pipeline rNPV uses its live 10-K program list, but commercial forecasts, success probabilities, launch timing, partner economics, and remaining development costs are not reported as valuation inputs. Enter a source or valuation rationale for each input. Use only for programs not identified in the workbook's SEC-sourced pipeline inventory.</t>
  </si>
  <si>
    <t xml:space="preserve">biotech_cost_of_debt</t>
  </si>
  <si>
    <t xml:space="preserve">Normalized cost of debt for WACC</t>
  </si>
  <si>
    <t xml:space="preserve">MRNA pipeline rNPV uses its live 10-K program list, but commercial forecasts, success probabilities, launch timing, partner economics, and remaining development costs are not reported as valuation inputs. Enter a source or valuation rationale for each input. Use the filed debt rate or clearly document an analyst estimate.</t>
  </si>
  <si>
    <t xml:space="preserve">biotech_normalized_tax_rate</t>
  </si>
  <si>
    <t xml:space="preserve">Normalized marginal tax rate for WACC</t>
  </si>
  <si>
    <t xml:space="preserve">MRNA pipeline rNPV uses its live 10-K program list, but commercial forecasts, success probabilities, launch timing, partner economics, and remaining development costs are not reported as valuation inputs. Enter a source or valuation rationale for each input. Label the normalized rate; do not use a loss-year effective tax rate without review.</t>
  </si>
  <si>
    <t xml:space="preserve">terminal_growth_rate</t>
  </si>
  <si>
    <t xml:space="preserve">Commercial franchise terminal growth</t>
  </si>
  <si>
    <t xml:space="preserve">MRNA pipeline rNPV uses its live 10-K program list, but commercial forecasts, success probabilities, launch timing, partner economics, and remaining development costs are not reported as valuation inputs. Enter a source or valuation rationale for each input. Keep terminal growth below cost of equity (14.55%).</t>
  </si>
  <si>
    <t xml:space="preserve">Required input review</t>
  </si>
  <si>
    <t xml:space="preserve">Fill blue input cells on Input Required. Reported facts require a source reference; missing values are not zero.</t>
  </si>
  <si>
    <t xml:space="preserve">Status</t>
  </si>
  <si>
    <t xml:space="preserve">Source status</t>
  </si>
  <si>
    <t xml:space="preserve">Reason</t>
  </si>
  <si>
    <t xml:space="preserve">Workbook cell</t>
  </si>
  <si>
    <t xml:space="preserve">missing</t>
  </si>
  <si>
    <t xml:space="preserve">Input Required!F6</t>
  </si>
  <si>
    <t xml:space="preserve">Input Required!F7</t>
  </si>
  <si>
    <t xml:space="preserve">Input Required!F8</t>
  </si>
  <si>
    <t xml:space="preserve">Input Required!F9</t>
  </si>
  <si>
    <t xml:space="preserve">Input Required!F10</t>
  </si>
  <si>
    <t xml:space="preserve">Input Required!F11</t>
  </si>
  <si>
    <t xml:space="preserve">Input Required!F12</t>
  </si>
  <si>
    <t xml:space="preserve">Input Required!F13</t>
  </si>
  <si>
    <t xml:space="preserve">Input Required!F14</t>
  </si>
  <si>
    <t xml:space="preserve">Input Required!F15</t>
  </si>
  <si>
    <t xml:space="preserve">Input Required!F16</t>
  </si>
  <si>
    <t xml:space="preserve">Input Required!F17</t>
  </si>
  <si>
    <t xml:space="preserve">Input Required!F18</t>
  </si>
  <si>
    <t xml:space="preserve">Input Required!F19</t>
  </si>
  <si>
    <t xml:space="preserve">Input Required!F20</t>
  </si>
  <si>
    <t xml:space="preserve">Input Required!F21</t>
  </si>
  <si>
    <t xml:space="preserve">Input Required!F22</t>
  </si>
  <si>
    <t xml:space="preserve">Input Required!F23</t>
  </si>
  <si>
    <t xml:space="preserve">Input Required!F24</t>
  </si>
  <si>
    <t xml:space="preserve">Input Required!F25</t>
  </si>
  <si>
    <t xml:space="preserve">Input Required!F26</t>
  </si>
  <si>
    <t xml:space="preserve">Input Required!F27</t>
  </si>
  <si>
    <t xml:space="preserve">Input Required!F28</t>
  </si>
  <si>
    <t xml:space="preserve">Input Required!F29</t>
  </si>
  <si>
    <t xml:space="preserve">Input Required!F30</t>
  </si>
  <si>
    <t xml:space="preserve">Input Required!F31</t>
  </si>
  <si>
    <t xml:space="preserve">Input Required!F32</t>
  </si>
  <si>
    <t xml:space="preserve">Input Required!F33</t>
  </si>
  <si>
    <t xml:space="preserve">Input Required!F34</t>
  </si>
  <si>
    <t xml:space="preserve">Input Required!F35</t>
  </si>
  <si>
    <t xml:space="preserve">Input Required!F36</t>
  </si>
  <si>
    <t xml:space="preserve">Input Required!F37</t>
  </si>
  <si>
    <t xml:space="preserve">Input Required!F38</t>
  </si>
  <si>
    <t xml:space="preserve">Input Required!F39</t>
  </si>
  <si>
    <t xml:space="preserve">Input Required!F40</t>
  </si>
  <si>
    <t xml:space="preserve">Input Required!F41</t>
  </si>
  <si>
    <t xml:space="preserve">Input Required!F42</t>
  </si>
  <si>
    <t xml:space="preserve">Input Required!F43</t>
  </si>
  <si>
    <t xml:space="preserve">Input Required!F44</t>
  </si>
  <si>
    <t xml:space="preserve">Input Required!F45</t>
  </si>
  <si>
    <t xml:space="preserve">Input Required!F46</t>
  </si>
  <si>
    <t xml:space="preserve">Input Required!F47</t>
  </si>
  <si>
    <t xml:space="preserve">Input Required!F48</t>
  </si>
  <si>
    <t xml:space="preserve">Input Required!F49</t>
  </si>
  <si>
    <t xml:space="preserve">Input Required!F50</t>
  </si>
  <si>
    <t xml:space="preserve">Input Required!F51</t>
  </si>
  <si>
    <t xml:space="preserve">Input Required!F52</t>
  </si>
  <si>
    <t xml:space="preserve">Input Required!F53</t>
  </si>
  <si>
    <t xml:space="preserve">Input Required!F54</t>
  </si>
  <si>
    <t xml:space="preserve">Input Required!F55</t>
  </si>
  <si>
    <t xml:space="preserve">Input Required!F56</t>
  </si>
  <si>
    <t xml:space="preserve">Input Required!F57</t>
  </si>
  <si>
    <t xml:space="preserve">Input Required!F58</t>
  </si>
  <si>
    <t xml:space="preserve">Input Required!F59</t>
  </si>
  <si>
    <t xml:space="preserve">Input Required!F60</t>
  </si>
  <si>
    <t xml:space="preserve">Input Required!F61</t>
  </si>
  <si>
    <t xml:space="preserve">Input Required!F62</t>
  </si>
  <si>
    <t xml:space="preserve">Input Required!F63</t>
  </si>
  <si>
    <t xml:space="preserve">Input Required!F64</t>
  </si>
  <si>
    <t xml:space="preserve">Input Required!F65</t>
  </si>
  <si>
    <t xml:space="preserve">Input Required!F66</t>
  </si>
  <si>
    <t xml:space="preserve">Input Required!F67</t>
  </si>
  <si>
    <t xml:space="preserve">Input Required!F68</t>
  </si>
  <si>
    <t xml:space="preserve">Input Required!F69</t>
  </si>
  <si>
    <t xml:space="preserve">Input Required!F70</t>
  </si>
  <si>
    <t xml:space="preserve">Input Required!F71</t>
  </si>
  <si>
    <t xml:space="preserve">Input Required!F72</t>
  </si>
  <si>
    <t xml:space="preserve">Input Required!F73</t>
  </si>
  <si>
    <t xml:space="preserve">Input Required!F74</t>
  </si>
  <si>
    <t xml:space="preserve">Input Required!F75</t>
  </si>
  <si>
    <t xml:space="preserve">Input Required!F76</t>
  </si>
  <si>
    <t xml:space="preserve">Input Required!F77</t>
  </si>
  <si>
    <t xml:space="preserve">Input Required!F78</t>
  </si>
  <si>
    <t xml:space="preserve">Input Required!F79</t>
  </si>
  <si>
    <t xml:space="preserve">Input Required!F80</t>
  </si>
  <si>
    <t xml:space="preserve">Input Required!F81</t>
  </si>
  <si>
    <t xml:space="preserve">Input Required!F82</t>
  </si>
  <si>
    <t xml:space="preserve">Input Required!F83</t>
  </si>
  <si>
    <t xml:space="preserve">Input Required!F84</t>
  </si>
  <si>
    <t xml:space="preserve">Input Required!F85</t>
  </si>
  <si>
    <t xml:space="preserve">Input Required!F86</t>
  </si>
  <si>
    <t xml:space="preserve">Input Required!F87</t>
  </si>
  <si>
    <t xml:space="preserve">Input Required!F88</t>
  </si>
  <si>
    <t xml:space="preserve">Input Required!F89</t>
  </si>
  <si>
    <t xml:space="preserve">Input Required!F90</t>
  </si>
  <si>
    <t xml:space="preserve">Input Required!F91</t>
  </si>
  <si>
    <t xml:space="preserve">Input Required!F92</t>
  </si>
  <si>
    <t xml:space="preserve">Input Required!F93</t>
  </si>
  <si>
    <t xml:space="preserve">Input Required!F94</t>
  </si>
  <si>
    <t xml:space="preserve">Input Required!F95</t>
  </si>
  <si>
    <t xml:space="preserve">Input Required!F96</t>
  </si>
  <si>
    <t xml:space="preserve">Input Required!F97</t>
  </si>
  <si>
    <t xml:space="preserve">Input Required!F98</t>
  </si>
  <si>
    <t xml:space="preserve">Input Required!F99</t>
  </si>
  <si>
    <t xml:space="preserve">Input Required!F100</t>
  </si>
  <si>
    <t xml:space="preserve">Input Required!F101</t>
  </si>
  <si>
    <t xml:space="preserve">Input Required!F102</t>
  </si>
  <si>
    <t xml:space="preserve">Input Required!F103</t>
  </si>
  <si>
    <t xml:space="preserve">Input Required!F104</t>
  </si>
  <si>
    <t xml:space="preserve">Input Required!F105</t>
  </si>
  <si>
    <t xml:space="preserve">Input Required!F106</t>
  </si>
  <si>
    <t xml:space="preserve">Input Required!F107</t>
  </si>
  <si>
    <t xml:space="preserve">Input Required!F108</t>
  </si>
  <si>
    <t xml:space="preserve">Input Required!F109</t>
  </si>
  <si>
    <t xml:space="preserve">Input Required!F110</t>
  </si>
  <si>
    <t xml:space="preserve">Input Required!F111</t>
  </si>
  <si>
    <t xml:space="preserve">Input Required!F112</t>
  </si>
  <si>
    <t xml:space="preserve">Input Required!F113</t>
  </si>
  <si>
    <t xml:space="preserve">Input Required!F114</t>
  </si>
  <si>
    <t xml:space="preserve">Input Required!F115</t>
  </si>
  <si>
    <t xml:space="preserve">Input Required!F116</t>
  </si>
  <si>
    <t xml:space="preserve">Input Required!F117</t>
  </si>
  <si>
    <t xml:space="preserve">Input Required!F118</t>
  </si>
  <si>
    <t xml:space="preserve">Input Required!F119</t>
  </si>
  <si>
    <t xml:space="preserve">Input Required!F120</t>
  </si>
  <si>
    <t xml:space="preserve">Input Required!F121</t>
  </si>
  <si>
    <t xml:space="preserve">Input Required!F122</t>
  </si>
  <si>
    <t xml:space="preserve">Input Required!F123</t>
  </si>
  <si>
    <t xml:space="preserve">Input Required!F124</t>
  </si>
  <si>
    <t xml:space="preserve">Input Required!F125</t>
  </si>
  <si>
    <t xml:space="preserve">Input Required!F126</t>
  </si>
  <si>
    <t xml:space="preserve">Input Required!F127</t>
  </si>
  <si>
    <t xml:space="preserve">Input Required!F128</t>
  </si>
  <si>
    <t xml:space="preserve">Input Required!F129</t>
  </si>
  <si>
    <t xml:space="preserve">Input Required!F130</t>
  </si>
  <si>
    <t xml:space="preserve">Input Required!F131</t>
  </si>
  <si>
    <t xml:space="preserve">Input Required!F132</t>
  </si>
  <si>
    <t xml:space="preserve">Input Required!F133</t>
  </si>
  <si>
    <t xml:space="preserve">Input Required!F134</t>
  </si>
  <si>
    <t xml:space="preserve">Input Required!F135</t>
  </si>
  <si>
    <t xml:space="preserve">Input Required!F136</t>
  </si>
  <si>
    <t xml:space="preserve">Input Required!F137</t>
  </si>
  <si>
    <t xml:space="preserve">Input Required!F138</t>
  </si>
  <si>
    <t xml:space="preserve">Input Required!F139</t>
  </si>
  <si>
    <t xml:space="preserve">Input Required!F140</t>
  </si>
  <si>
    <t xml:space="preserve">Input Required!F141</t>
  </si>
  <si>
    <t xml:space="preserve">Input Required!F142</t>
  </si>
  <si>
    <t xml:space="preserve">Input Required!F143</t>
  </si>
  <si>
    <t xml:space="preserve">Input Required!F144</t>
  </si>
  <si>
    <t xml:space="preserve">Input Required!F145</t>
  </si>
  <si>
    <t xml:space="preserve">Input Required!F146</t>
  </si>
  <si>
    <t xml:space="preserve">Input Required!F147</t>
  </si>
  <si>
    <t xml:space="preserve">Input Required!F148</t>
  </si>
  <si>
    <t xml:space="preserve">Input Required!F149</t>
  </si>
  <si>
    <t xml:space="preserve">Input Required!F150</t>
  </si>
  <si>
    <t xml:space="preserve">Input Required!F151</t>
  </si>
  <si>
    <t xml:space="preserve">Input Required!F152</t>
  </si>
  <si>
    <t xml:space="preserve">Input Required!F153</t>
  </si>
  <si>
    <t xml:space="preserve">Input Required!F154</t>
  </si>
  <si>
    <t xml:space="preserve">Input Required!F155</t>
  </si>
  <si>
    <t xml:space="preserve">Input Required!F156</t>
  </si>
  <si>
    <t xml:space="preserve">Input Required!F157</t>
  </si>
  <si>
    <t xml:space="preserve">Input Required!F158</t>
  </si>
  <si>
    <t xml:space="preserve">Input Required!F159</t>
  </si>
  <si>
    <t xml:space="preserve">Input Required!F160</t>
  </si>
  <si>
    <t xml:space="preserve">Input Required!F161</t>
  </si>
  <si>
    <t xml:space="preserve">Input Required!F162</t>
  </si>
  <si>
    <t xml:space="preserve">Input Required!F163</t>
  </si>
  <si>
    <t xml:space="preserve">Input Required!F164</t>
  </si>
  <si>
    <t xml:space="preserve">Input Required!F165</t>
  </si>
  <si>
    <t xml:space="preserve">Input Required!F166</t>
  </si>
  <si>
    <t xml:space="preserve">Input Required!F167</t>
  </si>
  <si>
    <t xml:space="preserve">Input Required!F168</t>
  </si>
  <si>
    <t xml:space="preserve">Input Required!F169</t>
  </si>
  <si>
    <t xml:space="preserve">Input Required!F170</t>
  </si>
  <si>
    <t xml:space="preserve">Input Required!F171</t>
  </si>
  <si>
    <t xml:space="preserve">Input Required!F172</t>
  </si>
  <si>
    <t xml:space="preserve">Input Required!F173</t>
  </si>
  <si>
    <t xml:space="preserve">Input Required!F174</t>
  </si>
  <si>
    <t xml:space="preserve">Input Required!F175</t>
  </si>
  <si>
    <t xml:space="preserve">Input Required!F176</t>
  </si>
  <si>
    <t xml:space="preserve">Input Required!F177</t>
  </si>
  <si>
    <t xml:space="preserve">Input Required!F178</t>
  </si>
  <si>
    <t xml:space="preserve">Input Required!F179</t>
  </si>
  <si>
    <t xml:space="preserve">Input Required!F180</t>
  </si>
  <si>
    <t xml:space="preserve">Input Required!F181</t>
  </si>
  <si>
    <t xml:space="preserve">Input Required!F182</t>
  </si>
  <si>
    <t xml:space="preserve">Input Required!F183</t>
  </si>
  <si>
    <t xml:space="preserve">Input Required!F184</t>
  </si>
  <si>
    <t xml:space="preserve">Input Required!F185</t>
  </si>
  <si>
    <t xml:space="preserve">Input Required!F186</t>
  </si>
  <si>
    <t xml:space="preserve">Input Required!F187</t>
  </si>
  <si>
    <t xml:space="preserve">Input Required!F188</t>
  </si>
  <si>
    <t xml:space="preserve">Input Required!F189</t>
  </si>
  <si>
    <t xml:space="preserve">Input Required!F190</t>
  </si>
  <si>
    <t xml:space="preserve">Input Required!F191</t>
  </si>
  <si>
    <t xml:space="preserve">Input Required!F192</t>
  </si>
  <si>
    <t xml:space="preserve">Input Required!F193</t>
  </si>
  <si>
    <t xml:space="preserve">Input Required!F194</t>
  </si>
  <si>
    <t xml:space="preserve">Input Required!F195</t>
  </si>
  <si>
    <t xml:space="preserve">Input Required!F196</t>
  </si>
</sst>
</file>

<file path=xl/styles.xml><?xml version="1.0" encoding="utf-8"?>
<styleSheet xmlns="http://schemas.openxmlformats.org/spreadsheetml/2006/main">
  <numFmts count="7">
    <numFmt numFmtId="164" formatCode="General"/>
    <numFmt numFmtId="165" formatCode="0.0%;\(0.0%\);\-"/>
    <numFmt numFmtId="166" formatCode="#,##0.0;\(#,##0.0\);\-"/>
    <numFmt numFmtId="167" formatCode="0.000\x"/>
    <numFmt numFmtId="168" formatCode="&quot;FY&quot;0"/>
    <numFmt numFmtId="169" formatCode="\$0.00;&quot;($&quot;0.00\);\-"/>
    <numFmt numFmtId="170" formatCode="0"/>
  </numFmts>
  <fonts count="20">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1"/>
      <color rgb="FF17365D"/>
      <name val="Arial"/>
      <family val="0"/>
      <charset val="1"/>
    </font>
    <font>
      <b val="true"/>
      <sz val="10"/>
      <color rgb="FF008000"/>
      <name val="Arial"/>
      <family val="0"/>
      <charset val="1"/>
    </font>
    <font>
      <b val="true"/>
      <sz val="10"/>
      <color rgb="FFFFFFFF"/>
      <name val="Arial"/>
      <family val="0"/>
      <charset val="1"/>
    </font>
    <font>
      <b val="true"/>
      <sz val="9"/>
      <color rgb="FFFFFFFF"/>
      <name val="Arial"/>
      <family val="0"/>
      <charset val="1"/>
    </font>
    <font>
      <i val="true"/>
      <sz val="9"/>
      <color rgb="FF000000"/>
      <name val="Arial"/>
      <family val="0"/>
      <charset val="1"/>
    </font>
    <font>
      <sz val="9"/>
      <color rgb="FF008000"/>
      <name val="Arial"/>
      <family val="0"/>
      <charset val="1"/>
    </font>
    <font>
      <sz val="9"/>
      <color rgb="FF000000"/>
      <name val="Arial"/>
      <family val="0"/>
      <charset val="1"/>
    </font>
    <font>
      <b val="true"/>
      <sz val="9"/>
      <color rgb="FF17365D"/>
      <name val="Arial"/>
      <family val="0"/>
      <charset val="1"/>
    </font>
    <font>
      <b val="true"/>
      <sz val="9"/>
      <color rgb="FF008000"/>
      <name val="Arial"/>
      <family val="0"/>
      <charset val="1"/>
    </font>
    <font>
      <b val="true"/>
      <sz val="11"/>
      <color rgb="FFFFFFFF"/>
      <name val="Arial"/>
      <family val="0"/>
      <charset val="1"/>
    </font>
    <font>
      <i val="true"/>
      <sz val="10"/>
      <color rgb="FF404040"/>
      <name val="Arial"/>
      <family val="0"/>
      <charset val="1"/>
    </font>
    <font>
      <b val="true"/>
      <sz val="10"/>
      <name val="Arial"/>
      <family val="0"/>
      <charset val="1"/>
    </font>
    <font>
      <sz val="10"/>
      <color rgb="FF000000"/>
      <name val="Arial"/>
      <family val="0"/>
      <charset val="1"/>
    </font>
    <font>
      <sz val="10"/>
      <color rgb="FF0000FF"/>
      <name val="Arial"/>
      <family val="0"/>
      <charset val="1"/>
    </font>
    <font>
      <sz val="10"/>
      <color rgb="FF008000"/>
      <name val="Arial"/>
      <family val="0"/>
      <charset val="1"/>
    </font>
  </fonts>
  <fills count="5">
    <fill>
      <patternFill patternType="none"/>
    </fill>
    <fill>
      <patternFill patternType="gray125"/>
    </fill>
    <fill>
      <patternFill patternType="solid">
        <fgColor rgb="FF17365D"/>
        <bgColor rgb="FF333399"/>
      </patternFill>
    </fill>
    <fill>
      <patternFill patternType="solid">
        <fgColor rgb="FF365F91"/>
        <bgColor rgb="FF333399"/>
      </patternFill>
    </fill>
    <fill>
      <patternFill patternType="solid">
        <fgColor rgb="FFDDEBF7"/>
        <bgColor rgb="FFCCFFFF"/>
      </patternFill>
    </fill>
  </fills>
  <borders count="3">
    <border diagonalUp="false" diagonalDown="false">
      <left/>
      <right/>
      <top/>
      <bottom/>
      <diagonal/>
    </border>
    <border diagonalUp="false" diagonalDown="false">
      <left/>
      <right/>
      <top/>
      <bottom style="thin">
        <color rgb="FFD0D7DE"/>
      </bottom>
      <diagonal/>
    </border>
    <border diagonalUp="false" diagonalDown="false">
      <left/>
      <right/>
      <top/>
      <bottom style="thin">
        <color rgb="FFB7C9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center" textRotation="0" wrapText="tru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8" fontId="8" fillId="3"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top" textRotation="0" wrapText="true" indent="0"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9" fontId="11" fillId="0" borderId="1" xfId="0" applyFont="true" applyBorder="tru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center" textRotation="0" wrapText="true" indent="0" shrinkToFit="false"/>
      <protection locked="true" hidden="false"/>
    </xf>
    <xf numFmtId="168" fontId="8" fillId="3" borderId="0" xfId="0" applyFont="true" applyBorder="false" applyAlignment="fals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general" vertical="center" textRotation="0" wrapText="false" indent="0" shrinkToFit="false"/>
      <protection locked="true" hidden="false"/>
    </xf>
    <xf numFmtId="164" fontId="0" fillId="0" borderId="2" xfId="0" applyFont="true" applyBorder="true" applyAlignment="true" applyProtection="false">
      <alignment horizontal="general" vertical="center" textRotation="0" wrapText="true" indent="0" shrinkToFit="false"/>
      <protection locked="true" hidden="false"/>
    </xf>
    <xf numFmtId="170" fontId="10" fillId="0" borderId="0" xfId="0" applyFont="true" applyBorder="false" applyAlignment="true" applyProtection="false">
      <alignment horizontal="general" vertical="center" textRotation="0" wrapText="false" indent="0" shrinkToFit="false"/>
      <protection locked="true" hidden="false"/>
    </xf>
    <xf numFmtId="166" fontId="10" fillId="0" borderId="0" xfId="0" applyFont="true" applyBorder="false" applyAlignment="true" applyProtection="false">
      <alignment horizontal="general" vertical="center" textRotation="0" wrapText="false" indent="0" shrinkToFit="false"/>
      <protection locked="true" hidden="false"/>
    </xf>
    <xf numFmtId="165" fontId="10" fillId="0" borderId="0" xfId="0" applyFont="true" applyBorder="false" applyAlignment="true" applyProtection="false">
      <alignment horizontal="general" vertical="center" textRotation="0" wrapText="false" indent="0" shrinkToFit="false"/>
      <protection locked="true" hidden="false"/>
    </xf>
    <xf numFmtId="166" fontId="13" fillId="0" borderId="0" xfId="0" applyFont="true" applyBorder="false" applyAlignment="true" applyProtection="false">
      <alignment horizontal="general" vertical="center" textRotation="0" wrapText="false" indent="0" shrinkToFit="false"/>
      <protection locked="true" hidden="false"/>
    </xf>
    <xf numFmtId="166" fontId="0" fillId="0" borderId="0" xfId="0" applyFont="false" applyBorder="false" applyAlignment="true" applyProtection="false">
      <alignment horizontal="general" vertical="center" textRotation="0" wrapText="false" indent="0" shrinkToFit="false"/>
      <protection locked="true" hidden="false"/>
    </xf>
    <xf numFmtId="164" fontId="14" fillId="2" borderId="0" xfId="0" applyFont="true" applyBorder="true" applyAlignment="false" applyProtection="false">
      <alignment horizontal="general" vertical="bottom" textRotation="0" wrapText="false" indent="0" shrinkToFit="false"/>
      <protection locked="true" hidden="false"/>
    </xf>
    <xf numFmtId="170" fontId="10" fillId="0" borderId="2" xfId="0" applyFont="true" applyBorder="true" applyAlignment="true" applyProtection="false">
      <alignment horizontal="general" vertical="center" textRotation="0" wrapText="false" indent="0" shrinkToFit="false"/>
      <protection locked="true" hidden="false"/>
    </xf>
    <xf numFmtId="166" fontId="10" fillId="0" borderId="2" xfId="0" applyFont="true" applyBorder="true" applyAlignment="true" applyProtection="false">
      <alignment horizontal="general" vertical="center" textRotation="0" wrapText="false" indent="0" shrinkToFit="false"/>
      <protection locked="true" hidden="false"/>
    </xf>
    <xf numFmtId="166" fontId="0" fillId="0" borderId="2" xfId="0" applyFont="false" applyBorder="true" applyAlignment="true" applyProtection="false">
      <alignment horizontal="general" vertical="center" textRotation="0" wrapText="false" indent="0" shrinkToFit="false"/>
      <protection locked="true" hidden="false"/>
    </xf>
    <xf numFmtId="164" fontId="15" fillId="0" borderId="0"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3" borderId="0" xfId="0" applyFont="true" applyBorder="false" applyAlignment="true" applyProtection="false">
      <alignment horizontal="general" vertical="center" textRotation="0" wrapText="tru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18" fillId="4" borderId="0" xfId="0" applyFont="true" applyBorder="false" applyAlignment="true" applyProtection="true">
      <alignment horizontal="general" vertical="top" textRotation="0" wrapText="true" indent="0" shrinkToFit="false"/>
      <protection locked="false" hidden="false"/>
    </xf>
    <xf numFmtId="164" fontId="19"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365F91"/>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8000"/>
          <bgColor rgb="FF000000"/>
        </patternFill>
      </fill>
    </dxf>
    <dxf>
      <fill>
        <patternFill patternType="solid">
          <fgColor rgb="FFDDEBF7"/>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C9D6"/>
      <rgbColor rgb="FF808080"/>
      <rgbColor rgb="FF9999FF"/>
      <rgbColor rgb="FF993366"/>
      <rgbColor rgb="FFFFFFCC"/>
      <rgbColor rgb="FFDDEBF7"/>
      <rgbColor rgb="FF660066"/>
      <rgbColor rgb="FFFF8080"/>
      <rgbColor rgb="FF0066CC"/>
      <rgbColor rgb="FFD0D7D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365F91"/>
      <rgbColor rgb="FF969696"/>
      <rgbColor rgb="FF17365D"/>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8" topLeftCell="B9" activePane="bottomRight" state="frozen"/>
      <selection pane="topLeft" activeCell="A1" activeCellId="0" sqref="A1"/>
      <selection pane="topRight" activeCell="B1" activeCellId="0" sqref="B1"/>
      <selection pane="bottomLeft" activeCell="A9" activeCellId="0" sqref="A9"/>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6"/>
    <col collapsed="false" customWidth="true" hidden="false" outlineLevel="0" max="2" min="2" style="0" width="16"/>
    <col collapsed="false" customWidth="true" hidden="false" outlineLevel="0" max="3" min="3" style="0" width="13"/>
    <col collapsed="false" customWidth="true" hidden="false" outlineLevel="0" max="8" min="4" style="0" width="15"/>
    <col collapsed="false" customWidth="true" hidden="false" outlineLevel="0" max="12" min="9" style="0" width="22"/>
    <col collapsed="false" customWidth="true" hidden="false" outlineLevel="0" max="13" min="13" style="0" width="16"/>
  </cols>
  <sheetData>
    <row r="1" customFormat="false" ht="24" hidden="false" customHeight="true" outlineLevel="0" collapsed="false">
      <c r="A1" s="1" t="s">
        <v>0</v>
      </c>
      <c r="B1" s="1"/>
      <c r="C1" s="1"/>
      <c r="D1" s="1"/>
      <c r="E1" s="1"/>
      <c r="F1" s="1"/>
      <c r="G1" s="1"/>
      <c r="H1" s="1"/>
      <c r="I1" s="1"/>
      <c r="J1" s="1"/>
      <c r="K1" s="1"/>
      <c r="L1" s="1"/>
      <c r="M1" s="1"/>
      <c r="N1" s="1"/>
      <c r="O1" s="1"/>
    </row>
    <row r="2" customFormat="false" ht="15" hidden="false" customHeight="false" outlineLevel="0" collapsed="false">
      <c r="A2" s="2" t="s">
        <v>1</v>
      </c>
    </row>
    <row r="3" customFormat="false" ht="24" hidden="false" customHeight="true" outlineLevel="0" collapsed="false">
      <c r="A3" s="3" t="s">
        <v>2</v>
      </c>
      <c r="B3" s="3"/>
      <c r="C3" s="3"/>
      <c r="D3" s="3"/>
      <c r="E3" s="3"/>
      <c r="F3" s="3"/>
      <c r="G3" s="3"/>
      <c r="H3" s="3"/>
      <c r="I3" s="3"/>
      <c r="J3" s="3"/>
      <c r="K3" s="3"/>
      <c r="L3" s="3"/>
      <c r="M3" s="3"/>
      <c r="N3" s="3"/>
      <c r="O3" s="3"/>
    </row>
    <row r="4" customFormat="false" ht="15" hidden="false" customHeight="false" outlineLevel="0" collapsed="false">
      <c r="A4" s="0" t="s">
        <v>3</v>
      </c>
      <c r="B4" s="4" t="str">
        <f aca="false">IF('Input Required'!$B$3&lt;&gt;"READY",'Input Required'!$B$3,IF(OR($M$15&lt;2%,$M$15&gt;50%),"INPUT ERROR — WACC outside supported range",IF(OR($M$16&gt;10%,$M$16&gt;$M$15-0.5%),"INPUT ERROR — terminal growth must be at least 0.5% below WACC","READY")))</f>
        <v>INCOMPLETE — fill required inputs</v>
      </c>
      <c r="L4" s="5" t="s">
        <v>4</v>
      </c>
      <c r="M4" s="6" t="s">
        <v>5</v>
      </c>
      <c r="N4" s="6" t="s">
        <v>6</v>
      </c>
    </row>
    <row r="5" customFormat="false" ht="35.05" hidden="false" customHeight="false" outlineLevel="0" collapsed="false">
      <c r="A5" s="7" t="s">
        <v>7</v>
      </c>
      <c r="B5" s="7"/>
      <c r="C5" s="7"/>
      <c r="D5" s="7"/>
      <c r="E5" s="7"/>
      <c r="F5" s="7"/>
      <c r="L5" s="8" t="s">
        <v>8</v>
      </c>
      <c r="M5" s="9" t="n">
        <v>0.0527699995040894</v>
      </c>
      <c r="N5" s="10" t="s">
        <v>9</v>
      </c>
    </row>
    <row r="6" customFormat="false" ht="35.05" hidden="false" customHeight="false" outlineLevel="0" collapsed="false">
      <c r="A6" s="11" t="s">
        <v>10</v>
      </c>
      <c r="B6" s="12" t="n">
        <v>1944</v>
      </c>
      <c r="L6" s="8" t="s">
        <v>11</v>
      </c>
      <c r="M6" s="9" t="n">
        <v>0.0838371068129586</v>
      </c>
      <c r="N6" s="10" t="s">
        <v>9</v>
      </c>
    </row>
    <row r="7" customFormat="false" ht="57.45" hidden="false" customHeight="false" outlineLevel="0" collapsed="false">
      <c r="L7" s="8" t="s">
        <v>12</v>
      </c>
      <c r="M7" s="13" t="n">
        <v>1.106</v>
      </c>
      <c r="N7" s="10" t="s">
        <v>13</v>
      </c>
    </row>
    <row r="8" customFormat="false" ht="15" hidden="false" customHeight="false" outlineLevel="0" collapsed="false">
      <c r="A8" s="14" t="s">
        <v>14</v>
      </c>
      <c r="L8" s="8" t="s">
        <v>15</v>
      </c>
      <c r="M8" s="15" t="n">
        <f aca="false">M5+M7*M6</f>
        <v>0.145493839639222</v>
      </c>
    </row>
    <row r="9" customFormat="false" ht="15" hidden="false" customHeight="false" outlineLevel="0" collapsed="false">
      <c r="B9" s="16" t="n">
        <v>2026</v>
      </c>
      <c r="C9" s="16" t="n">
        <v>2027</v>
      </c>
      <c r="D9" s="16" t="n">
        <v>2028</v>
      </c>
      <c r="E9" s="16" t="n">
        <v>2029</v>
      </c>
      <c r="F9" s="16" t="n">
        <v>2030</v>
      </c>
      <c r="G9" s="16" t="n">
        <v>2031</v>
      </c>
      <c r="H9" s="16" t="n">
        <v>2032</v>
      </c>
      <c r="I9" s="16" t="n">
        <v>2033</v>
      </c>
      <c r="J9" s="16" t="n">
        <v>2034</v>
      </c>
      <c r="K9" s="16" t="n">
        <v>2035</v>
      </c>
      <c r="L9" s="8" t="s">
        <v>16</v>
      </c>
      <c r="M9" s="9" t="str">
        <f aca="false">IF('Input Required'!$B$3&lt;&gt;"READY","",'Input Required'!F194/1)</f>
        <v/>
      </c>
    </row>
    <row r="10" customFormat="false" ht="15" hidden="false" customHeight="false" outlineLevel="0" collapsed="false">
      <c r="A10" s="11" t="s">
        <v>17</v>
      </c>
      <c r="B10" s="9" t="str">
        <f aca="false">IF('Input Required'!$B$3&lt;&gt;"READY","",'Input Required'!F6/1)</f>
        <v/>
      </c>
      <c r="C10" s="9" t="str">
        <f aca="false">IF('Input Required'!$B$3&lt;&gt;"READY","",'Input Required'!F7/1)</f>
        <v/>
      </c>
      <c r="D10" s="9" t="str">
        <f aca="false">IF('Input Required'!$B$3&lt;&gt;"READY","",'Input Required'!F8/1)</f>
        <v/>
      </c>
      <c r="E10" s="9" t="str">
        <f aca="false">IF('Input Required'!$B$3&lt;&gt;"READY","",'Input Required'!F9/1)</f>
        <v/>
      </c>
      <c r="F10" s="9" t="str">
        <f aca="false">IF('Input Required'!$B$3&lt;&gt;"READY","",'Input Required'!F10/1)</f>
        <v/>
      </c>
      <c r="G10" s="9" t="str">
        <f aca="false">IF('Input Required'!$B$3&lt;&gt;"READY","",'Input Required'!F11/1)</f>
        <v/>
      </c>
      <c r="H10" s="9" t="str">
        <f aca="false">IF('Input Required'!$B$3&lt;&gt;"READY","",'Input Required'!F12/1)</f>
        <v/>
      </c>
      <c r="I10" s="9" t="str">
        <f aca="false">IF('Input Required'!$B$3&lt;&gt;"READY","",'Input Required'!F13/1)</f>
        <v/>
      </c>
      <c r="J10" s="9" t="str">
        <f aca="false">IF('Input Required'!$B$3&lt;&gt;"READY","",'Input Required'!F14/1)</f>
        <v/>
      </c>
      <c r="K10" s="9" t="str">
        <f aca="false">IF('Input Required'!$B$3&lt;&gt;"READY","",'Input Required'!F15/1)</f>
        <v/>
      </c>
      <c r="L10" s="8" t="s">
        <v>18</v>
      </c>
      <c r="M10" s="9" t="str">
        <f aca="false">IF('Input Required'!$B$3&lt;&gt;"READY","",'Input Required'!F195/1)</f>
        <v/>
      </c>
    </row>
    <row r="11" customFormat="false" ht="15" hidden="false" customHeight="false" outlineLevel="0" collapsed="false">
      <c r="A11" s="11" t="s">
        <v>19</v>
      </c>
      <c r="B11" s="17" t="str">
        <f aca="false">IF('Biotech Model'!$B$4&lt;&gt;"READY","",$B$6*(1+B10))</f>
        <v/>
      </c>
      <c r="C11" s="17" t="str">
        <f aca="false">IF('Biotech Model'!$B$4&lt;&gt;"READY","",B11*(1+C10))</f>
        <v/>
      </c>
      <c r="D11" s="17" t="str">
        <f aca="false">IF('Biotech Model'!$B$4&lt;&gt;"READY","",C11*(1+D10))</f>
        <v/>
      </c>
      <c r="E11" s="17" t="str">
        <f aca="false">IF('Biotech Model'!$B$4&lt;&gt;"READY","",D11*(1+E10))</f>
        <v/>
      </c>
      <c r="F11" s="17" t="str">
        <f aca="false">IF('Biotech Model'!$B$4&lt;&gt;"READY","",E11*(1+F10))</f>
        <v/>
      </c>
      <c r="G11" s="17" t="str">
        <f aca="false">IF('Biotech Model'!$B$4&lt;&gt;"READY","",F11*(1+G10))</f>
        <v/>
      </c>
      <c r="H11" s="17" t="str">
        <f aca="false">IF('Biotech Model'!$B$4&lt;&gt;"READY","",G11*(1+H10))</f>
        <v/>
      </c>
      <c r="I11" s="17" t="str">
        <f aca="false">IF('Biotech Model'!$B$4&lt;&gt;"READY","",H11*(1+I10))</f>
        <v/>
      </c>
      <c r="J11" s="17" t="str">
        <f aca="false">IF('Biotech Model'!$B$4&lt;&gt;"READY","",I11*(1+J10))</f>
        <v/>
      </c>
      <c r="K11" s="17" t="str">
        <f aca="false">IF('Biotech Model'!$B$4&lt;&gt;"READY","",J11*(1+K10))</f>
        <v/>
      </c>
      <c r="L11" s="8" t="s">
        <v>20</v>
      </c>
      <c r="M11" s="12" t="n">
        <v>75858.812928</v>
      </c>
    </row>
    <row r="12" customFormat="false" ht="15" hidden="false" customHeight="false" outlineLevel="0" collapsed="false">
      <c r="A12" s="11" t="s">
        <v>21</v>
      </c>
      <c r="B12" s="9" t="str">
        <f aca="false">IF('Input Required'!$B$3&lt;&gt;"READY","",'Input Required'!F16/1)</f>
        <v/>
      </c>
      <c r="C12" s="9" t="str">
        <f aca="false">IF('Input Required'!$B$3&lt;&gt;"READY","",'Input Required'!F16/1)</f>
        <v/>
      </c>
      <c r="D12" s="9" t="str">
        <f aca="false">IF('Input Required'!$B$3&lt;&gt;"READY","",'Input Required'!F16/1)</f>
        <v/>
      </c>
      <c r="E12" s="9" t="str">
        <f aca="false">IF('Input Required'!$B$3&lt;&gt;"READY","",'Input Required'!F16/1)</f>
        <v/>
      </c>
      <c r="F12" s="9" t="str">
        <f aca="false">IF('Input Required'!$B$3&lt;&gt;"READY","",'Input Required'!F16/1)</f>
        <v/>
      </c>
      <c r="G12" s="9" t="str">
        <f aca="false">IF('Input Required'!$B$3&lt;&gt;"READY","",'Input Required'!F16/1)</f>
        <v/>
      </c>
      <c r="H12" s="9" t="str">
        <f aca="false">IF('Input Required'!$B$3&lt;&gt;"READY","",'Input Required'!F16/1)</f>
        <v/>
      </c>
      <c r="I12" s="9" t="str">
        <f aca="false">IF('Input Required'!$B$3&lt;&gt;"READY","",'Input Required'!F16/1)</f>
        <v/>
      </c>
      <c r="J12" s="9" t="str">
        <f aca="false">IF('Input Required'!$B$3&lt;&gt;"READY","",'Input Required'!F16/1)</f>
        <v/>
      </c>
      <c r="K12" s="9" t="str">
        <f aca="false">IF('Input Required'!$B$3&lt;&gt;"READY","",'Input Required'!F16/1)</f>
        <v/>
      </c>
      <c r="L12" s="8" t="s">
        <v>22</v>
      </c>
      <c r="M12" s="12" t="n">
        <v>590</v>
      </c>
    </row>
    <row r="13" customFormat="false" ht="15" hidden="false" customHeight="false" outlineLevel="0" collapsed="false">
      <c r="A13" s="11" t="s">
        <v>23</v>
      </c>
      <c r="B13" s="17" t="str">
        <f aca="false">IF('Biotech Model'!$B$4&lt;&gt;"READY","",B11*B12)</f>
        <v/>
      </c>
      <c r="C13" s="17" t="str">
        <f aca="false">IF('Biotech Model'!$B$4&lt;&gt;"READY","",C11*C12)</f>
        <v/>
      </c>
      <c r="D13" s="17" t="str">
        <f aca="false">IF('Biotech Model'!$B$4&lt;&gt;"READY","",D11*D12)</f>
        <v/>
      </c>
      <c r="E13" s="17" t="str">
        <f aca="false">IF('Biotech Model'!$B$4&lt;&gt;"READY","",E11*E12)</f>
        <v/>
      </c>
      <c r="F13" s="17" t="str">
        <f aca="false">IF('Biotech Model'!$B$4&lt;&gt;"READY","",F11*F12)</f>
        <v/>
      </c>
      <c r="G13" s="17" t="str">
        <f aca="false">IF('Biotech Model'!$B$4&lt;&gt;"READY","",G11*G12)</f>
        <v/>
      </c>
      <c r="H13" s="17" t="str">
        <f aca="false">IF('Biotech Model'!$B$4&lt;&gt;"READY","",H11*H12)</f>
        <v/>
      </c>
      <c r="I13" s="17" t="str">
        <f aca="false">IF('Biotech Model'!$B$4&lt;&gt;"READY","",I11*I12)</f>
        <v/>
      </c>
      <c r="J13" s="17" t="str">
        <f aca="false">IF('Biotech Model'!$B$4&lt;&gt;"READY","",J11*J12)</f>
        <v/>
      </c>
      <c r="K13" s="17" t="str">
        <f aca="false">IF('Biotech Model'!$B$4&lt;&gt;"READY","",K11*K12)</f>
        <v/>
      </c>
      <c r="L13" s="8" t="s">
        <v>24</v>
      </c>
      <c r="M13" s="15" t="n">
        <f aca="false">IFERROR(M11/(M11+M12),1)</f>
        <v>0.992282417772063</v>
      </c>
    </row>
    <row r="14" customFormat="false" ht="15" hidden="false" customHeight="false" outlineLevel="0" collapsed="false">
      <c r="A14" s="11" t="s">
        <v>25</v>
      </c>
      <c r="B14" s="18" t="str">
        <f aca="false">IF('Biotech Model'!$B$4&lt;&gt;"READY","",1/(1+$M$15)^1)</f>
        <v/>
      </c>
      <c r="C14" s="18" t="str">
        <f aca="false">IF('Biotech Model'!$B$4&lt;&gt;"READY","",1/(1+$M$15)^2)</f>
        <v/>
      </c>
      <c r="D14" s="18" t="str">
        <f aca="false">IF('Biotech Model'!$B$4&lt;&gt;"READY","",1/(1+$M$15)^3)</f>
        <v/>
      </c>
      <c r="E14" s="18" t="str">
        <f aca="false">IF('Biotech Model'!$B$4&lt;&gt;"READY","",1/(1+$M$15)^4)</f>
        <v/>
      </c>
      <c r="F14" s="18" t="str">
        <f aca="false">IF('Biotech Model'!$B$4&lt;&gt;"READY","",1/(1+$M$15)^5)</f>
        <v/>
      </c>
      <c r="G14" s="18" t="str">
        <f aca="false">IF('Biotech Model'!$B$4&lt;&gt;"READY","",1/(1+$M$15)^6)</f>
        <v/>
      </c>
      <c r="H14" s="18" t="str">
        <f aca="false">IF('Biotech Model'!$B$4&lt;&gt;"READY","",1/(1+$M$15)^7)</f>
        <v/>
      </c>
      <c r="I14" s="18" t="str">
        <f aca="false">IF('Biotech Model'!$B$4&lt;&gt;"READY","",1/(1+$M$15)^8)</f>
        <v/>
      </c>
      <c r="J14" s="18" t="str">
        <f aca="false">IF('Biotech Model'!$B$4&lt;&gt;"READY","",1/(1+$M$15)^9)</f>
        <v/>
      </c>
      <c r="K14" s="18" t="str">
        <f aca="false">IF('Biotech Model'!$B$4&lt;&gt;"READY","",1/(1+$M$15)^10)</f>
        <v/>
      </c>
      <c r="L14" s="8" t="s">
        <v>26</v>
      </c>
      <c r="M14" s="15" t="n">
        <f aca="false">IFERROR(M12/(M11+M12),0)</f>
        <v>0.00771758222793683</v>
      </c>
    </row>
    <row r="15" customFormat="false" ht="15" hidden="false" customHeight="false" outlineLevel="0" collapsed="false">
      <c r="A15" s="11" t="s">
        <v>27</v>
      </c>
      <c r="B15" s="17" t="str">
        <f aca="false">IF('Biotech Model'!$B$4&lt;&gt;"READY","",B13*B14)</f>
        <v/>
      </c>
      <c r="C15" s="17" t="str">
        <f aca="false">IF('Biotech Model'!$B$4&lt;&gt;"READY","",C13*C14)</f>
        <v/>
      </c>
      <c r="D15" s="17" t="str">
        <f aca="false">IF('Biotech Model'!$B$4&lt;&gt;"READY","",D13*D14)</f>
        <v/>
      </c>
      <c r="E15" s="17" t="str">
        <f aca="false">IF('Biotech Model'!$B$4&lt;&gt;"READY","",E13*E14)</f>
        <v/>
      </c>
      <c r="F15" s="17" t="str">
        <f aca="false">IF('Biotech Model'!$B$4&lt;&gt;"READY","",F13*F14)</f>
        <v/>
      </c>
      <c r="G15" s="17" t="str">
        <f aca="false">IF('Biotech Model'!$B$4&lt;&gt;"READY","",G13*G14)</f>
        <v/>
      </c>
      <c r="H15" s="17" t="str">
        <f aca="false">IF('Biotech Model'!$B$4&lt;&gt;"READY","",H13*H14)</f>
        <v/>
      </c>
      <c r="I15" s="17" t="str">
        <f aca="false">IF('Biotech Model'!$B$4&lt;&gt;"READY","",I13*I14)</f>
        <v/>
      </c>
      <c r="J15" s="17" t="str">
        <f aca="false">IF('Biotech Model'!$B$4&lt;&gt;"READY","",J13*J14)</f>
        <v/>
      </c>
      <c r="K15" s="17" t="str">
        <f aca="false">IF('Biotech Model'!$B$4&lt;&gt;"READY","",K13*K14)</f>
        <v/>
      </c>
      <c r="L15" s="8" t="s">
        <v>28</v>
      </c>
      <c r="M15" s="15" t="str">
        <f aca="false">IF('Input Required'!$B$3&lt;&gt;"READY","",M8*M13+M9*(1-M10)*M14)</f>
        <v/>
      </c>
    </row>
    <row r="16" customFormat="false" ht="15" hidden="false" customHeight="false" outlineLevel="0" collapsed="false">
      <c r="L16" s="8" t="s">
        <v>29</v>
      </c>
      <c r="M16" s="9" t="str">
        <f aca="false">IF('Input Required'!$B$3&lt;&gt;"READY","",'Input Required'!F196/1)</f>
        <v/>
      </c>
    </row>
    <row r="18" customFormat="false" ht="23.85" hidden="false" customHeight="false" outlineLevel="0" collapsed="false">
      <c r="L18" s="8" t="s">
        <v>30</v>
      </c>
      <c r="M18" s="11" t="str">
        <f aca="false">IF('Biotech Model'!$B$4&lt;&gt;"READY","",IF($M$15&lt;=$M$16,"",$K$13*(1+$M$16)/($M$15-$M$16)))</f>
        <v/>
      </c>
    </row>
    <row r="19" customFormat="false" ht="23.85" hidden="false" customHeight="false" outlineLevel="0" collapsed="false">
      <c r="L19" s="8" t="s">
        <v>31</v>
      </c>
      <c r="M19" s="11" t="str">
        <f aca="false">IF('Biotech Model'!$B$4&lt;&gt;"READY","",IF($M$15&lt;=$M$16,"",$M$18/(1+$M$15)^10))</f>
        <v/>
      </c>
    </row>
    <row r="20" customFormat="false" ht="23.85" hidden="false" customHeight="false" outlineLevel="0" collapsed="false">
      <c r="L20" s="8" t="s">
        <v>32</v>
      </c>
      <c r="M20" s="11" t="str">
        <f aca="false">IF('Biotech Model'!$B$4&lt;&gt;"READY","",SUM($B$15:$K$15))</f>
        <v/>
      </c>
    </row>
    <row r="21" customFormat="false" ht="23.85" hidden="false" customHeight="false" outlineLevel="0" collapsed="false">
      <c r="L21" s="8" t="s">
        <v>33</v>
      </c>
      <c r="M21" s="11" t="str">
        <f aca="false">IF('Biotech Model'!$B$4&lt;&gt;"READY","",IF($M$15&lt;=$M$16,"",$M$19+$M$20))</f>
        <v/>
      </c>
    </row>
    <row r="22" customFormat="false" ht="23.85" hidden="false" customHeight="false" outlineLevel="0" collapsed="false">
      <c r="L22" s="8" t="s">
        <v>34</v>
      </c>
      <c r="M22" s="12" t="str">
        <f aca="false">'Pipeline Valuation'!$B$3</f>
        <v/>
      </c>
    </row>
    <row r="23" customFormat="false" ht="23.85" hidden="false" customHeight="false" outlineLevel="0" collapsed="false">
      <c r="L23" s="8" t="s">
        <v>35</v>
      </c>
      <c r="M23" s="12" t="str">
        <f aca="false">'Pipeline Valuation'!$B$4</f>
        <v/>
      </c>
    </row>
    <row r="24" customFormat="false" ht="35.05" hidden="false" customHeight="false" outlineLevel="0" collapsed="false">
      <c r="L24" s="8" t="s">
        <v>36</v>
      </c>
      <c r="M24" s="19" t="str">
        <f aca="false">IF('Input Required'!$B$3&lt;&gt;"READY","",'Input Required'!F193/1000000)</f>
        <v/>
      </c>
    </row>
    <row r="25" customFormat="false" ht="15" hidden="false" customHeight="false" outlineLevel="0" collapsed="false">
      <c r="L25" s="8" t="s">
        <v>37</v>
      </c>
      <c r="M25" s="11" t="str">
        <f aca="false">IF('Biotech Model'!$B$4&lt;&gt;"READY","",IF($M$15&lt;=$M$16,"",SUM(M21:M24)))</f>
        <v/>
      </c>
    </row>
    <row r="26" customFormat="false" ht="23.85" hidden="false" customHeight="false" outlineLevel="0" collapsed="false">
      <c r="L26" s="8" t="s">
        <v>38</v>
      </c>
      <c r="M26" s="12" t="n">
        <v>2595</v>
      </c>
    </row>
    <row r="27" customFormat="false" ht="35.05" hidden="false" customHeight="false" outlineLevel="0" collapsed="false">
      <c r="L27" s="8" t="s">
        <v>39</v>
      </c>
      <c r="M27" s="12" t="n">
        <v>0</v>
      </c>
    </row>
    <row r="28" customFormat="false" ht="23.85" hidden="false" customHeight="false" outlineLevel="0" collapsed="false">
      <c r="L28" s="8" t="s">
        <v>40</v>
      </c>
      <c r="M28" s="12" t="n">
        <v>590</v>
      </c>
    </row>
    <row r="29" customFormat="false" ht="23.85" hidden="false" customHeight="false" outlineLevel="0" collapsed="false">
      <c r="L29" s="8" t="s">
        <v>41</v>
      </c>
      <c r="M29" s="12" t="n">
        <v>0</v>
      </c>
    </row>
    <row r="30" customFormat="false" ht="15" hidden="false" customHeight="false" outlineLevel="0" collapsed="false">
      <c r="L30" s="8" t="s">
        <v>42</v>
      </c>
      <c r="M30" s="12" t="n">
        <v>0</v>
      </c>
    </row>
    <row r="31" customFormat="false" ht="15" hidden="false" customHeight="false" outlineLevel="0" collapsed="false">
      <c r="L31" s="8" t="s">
        <v>43</v>
      </c>
      <c r="M31" s="12" t="str">
        <f aca="false">IF('Biotech Model'!$B$4&lt;&gt;"READY","",IF($M$15&lt;=$M$16,"",M25+M26+M27-M28-M29-M30))</f>
        <v/>
      </c>
    </row>
    <row r="32" customFormat="false" ht="15" hidden="false" customHeight="false" outlineLevel="0" collapsed="false">
      <c r="L32" s="8" t="s">
        <v>44</v>
      </c>
      <c r="M32" s="12" t="n">
        <v>389</v>
      </c>
    </row>
    <row r="33" customFormat="false" ht="15" hidden="false" customHeight="false" outlineLevel="0" collapsed="false">
      <c r="L33" s="8" t="s">
        <v>45</v>
      </c>
      <c r="M33" s="20" t="str">
        <f aca="false">IF('Biotech Model'!$B$4&lt;&gt;"READY","",IF($M$15&lt;=$M$16,"",IFERROR(M31/M32,0)))</f>
        <v/>
      </c>
    </row>
    <row r="34" customFormat="false" ht="15" hidden="false" customHeight="false" outlineLevel="0" collapsed="false">
      <c r="L34" s="8" t="s">
        <v>46</v>
      </c>
      <c r="M34" s="20" t="n">
        <v>190.01</v>
      </c>
    </row>
    <row r="35" customFormat="false" ht="23.85" hidden="false" customHeight="false" outlineLevel="0" collapsed="false">
      <c r="L35" s="8" t="s">
        <v>47</v>
      </c>
      <c r="M35" s="15" t="str">
        <f aca="false">IF('Biotech Model'!$B$4&lt;&gt;"READY","",IF($M$15&lt;=$M$16,"",IFERROR(M33/M34-1,0)))</f>
        <v/>
      </c>
    </row>
    <row r="37" customFormat="false" ht="37.5" hidden="false" customHeight="true" outlineLevel="0" collapsed="false">
      <c r="A37" s="21" t="s">
        <v>48</v>
      </c>
      <c r="B37" s="21"/>
      <c r="C37" s="21"/>
      <c r="D37" s="21"/>
      <c r="E37" s="21"/>
      <c r="F37" s="21"/>
      <c r="G37" s="21"/>
      <c r="H37" s="21"/>
      <c r="I37" s="21"/>
      <c r="J37" s="21"/>
      <c r="K37" s="21"/>
      <c r="L37" s="21"/>
      <c r="M37" s="21"/>
      <c r="N37" s="21"/>
      <c r="O37" s="21"/>
    </row>
    <row r="39" customFormat="false" ht="15" hidden="false" customHeight="false" outlineLevel="0" collapsed="false">
      <c r="A39" s="2" t="s">
        <v>49</v>
      </c>
    </row>
    <row r="40" customFormat="false" ht="15" hidden="false" customHeight="false" outlineLevel="0" collapsed="false">
      <c r="A40" s="6" t="s">
        <v>50</v>
      </c>
      <c r="B40" s="22" t="str">
        <f aca="false">IF('Biotech Model'!$B$4&lt;&gt;"READY","",MAX(0,$M$16+(-0.01)))</f>
        <v/>
      </c>
      <c r="C40" s="22" t="str">
        <f aca="false">IF('Biotech Model'!$B$4&lt;&gt;"READY","",MAX(0,$M$16+(-0.005)))</f>
        <v/>
      </c>
      <c r="D40" s="22" t="str">
        <f aca="false">IF('Biotech Model'!$B$4&lt;&gt;"READY","",MAX(0,$M$16+(0)))</f>
        <v/>
      </c>
      <c r="E40" s="22" t="str">
        <f aca="false">IF('Biotech Model'!$B$4&lt;&gt;"READY","",MAX(0,$M$16+(0.005)))</f>
        <v/>
      </c>
      <c r="F40" s="22" t="str">
        <f aca="false">IF('Biotech Model'!$B$4&lt;&gt;"READY","",MAX(0,$M$16+(0.01)))</f>
        <v/>
      </c>
    </row>
    <row r="41" customFormat="false" ht="15" hidden="false" customHeight="false" outlineLevel="0" collapsed="false">
      <c r="A41" s="22" t="str">
        <f aca="false">IF('Biotech Model'!$B$4&lt;&gt;"READY","",$M$15+(-0.02))</f>
        <v/>
      </c>
      <c r="B41" s="23" t="str">
        <f aca="false">IF('Biotech Model'!$B$4&lt;&gt;"READY","",IF(OR($A41&lt;2%,$A41&gt;50%,B$40&gt;10%,$A41&lt;=B$40+0.5%),"",($B$13/(1+$A$41)^1+$C$13/(1+$A$41)^2+$D$13/(1+$A$41)^3+$E$13/(1+$A$41)^4+$F$13/(1+$A$41)^5+$G$13/(1+$A$41)^6+$H$13/(1+$A$41)^7+$I$13/(1+$A$41)^8+$J$13/(1+$A$41)^9+$K$13/(1+$A$41)^10+$K$13*(1+B$40)/($A41-B$40)/(1+$A41)^10+'Pipeline Valuation'!$P$4/(1+$A$41)^1+'Pipeline Valuation'!$Q$4/(1+$A$41)^2+'Pipeline Valuation'!$R$4/(1+$A$41)^3+'Pipeline Valuation'!$S$4/(1+$A$41)^4+'Pipeline Valuation'!$T$4/(1+$A$41)^5+'Pipeline Valuation'!$U$4/(1+$A$41)^6+'Pipeline Valuation'!$V$4/(1+$A$41)^7+'Pipeline Valuation'!$W$4/(1+$A$41)^8+'Pipeline Valuation'!$X$4/(1+$A$41)^9+'Pipeline Valuation'!$Y$4/(1+$A$41)^10+'Pipeline Valuation'!$Z$4/(1+$A$41)^11+'Pipeline Valuation'!$AA$4/(1+$A$41)^12+'Pipeline Valuation'!$AB$4/(1+$A$41)^13+'Pipeline Valuation'!$AC$4/(1+$A$41)^14+'Pipeline Valuation'!$AD$4/(1+$A$41)^15+'Pipeline Valuation'!$AE$4/(1+$A$41)^16+'Pipeline Valuation'!$AF$4/(1+$A$41)^17+'Pipeline Valuation'!$AG$4/(1+$A$41)^18+'Pipeline Valuation'!$AH$4/(1+$A$41)^19+'Pipeline Valuation'!$AI$4/(1+$A$41)^20+'Pipeline Valuation'!$AJ$4/(1+$A$41)^21+'Pipeline Valuation'!$AK$4/(1+$A$41)^22+'Pipeline Valuation'!$AL$4/(1+$A$41)^23+'Pipeline Valuation'!$AM$4/(1+$A$41)^24+'Pipeline Valuation'!$AN$4/(1+$A$41)^25+'Pipeline Valuation'!$AO$4/(1+$A$41)^26+'Pipeline Valuation'!$AP$4/(1+$A$41)^27+'Pipeline Valuation'!$AQ$4/(1+$A$41)^28+'Pipeline Valuation'!$AR$4/(1+$A$41)^29+'Pipeline Valuation'!$AS$4/(1+$A$41)^30+'Pipeline Valuation'!$AT$4/(1+$A$41)^31+'Pipeline Valuation'!$AU$4/(1+$A$41)^32+'Pipeline Valuation'!$AV$4/(1+$A$41)^33+'Pipeline Valuation'!$AW$4/(1+$A$41)^34+'Pipeline Valuation'!$AX$4/(1+$A$41)^35-SUMPRODUCT('Pipeline Valuation'!$E$6:$E$19,'Pipeline Valuation'!$N$6:$N$19)+'Pipeline Valuation'!$B$4+$M$24+$M$26+$M$27-$M$28-$M$29-$M$30)/$M$32))</f>
        <v/>
      </c>
      <c r="C41" s="23" t="str">
        <f aca="false">IF('Biotech Model'!$B$4&lt;&gt;"READY","",IF(OR($A41&lt;2%,$A41&gt;50%,C$40&gt;10%,$A41&lt;=C$40+0.5%),"",($B$13/(1+$A$41)^1+$C$13/(1+$A$41)^2+$D$13/(1+$A$41)^3+$E$13/(1+$A$41)^4+$F$13/(1+$A$41)^5+$G$13/(1+$A$41)^6+$H$13/(1+$A$41)^7+$I$13/(1+$A$41)^8+$J$13/(1+$A$41)^9+$K$13/(1+$A$41)^10+$K$13*(1+C$40)/($A41-C$40)/(1+$A41)^10+'Pipeline Valuation'!$P$4/(1+$A$41)^1+'Pipeline Valuation'!$Q$4/(1+$A$41)^2+'Pipeline Valuation'!$R$4/(1+$A$41)^3+'Pipeline Valuation'!$S$4/(1+$A$41)^4+'Pipeline Valuation'!$T$4/(1+$A$41)^5+'Pipeline Valuation'!$U$4/(1+$A$41)^6+'Pipeline Valuation'!$V$4/(1+$A$41)^7+'Pipeline Valuation'!$W$4/(1+$A$41)^8+'Pipeline Valuation'!$X$4/(1+$A$41)^9+'Pipeline Valuation'!$Y$4/(1+$A$41)^10+'Pipeline Valuation'!$Z$4/(1+$A$41)^11+'Pipeline Valuation'!$AA$4/(1+$A$41)^12+'Pipeline Valuation'!$AB$4/(1+$A$41)^13+'Pipeline Valuation'!$AC$4/(1+$A$41)^14+'Pipeline Valuation'!$AD$4/(1+$A$41)^15+'Pipeline Valuation'!$AE$4/(1+$A$41)^16+'Pipeline Valuation'!$AF$4/(1+$A$41)^17+'Pipeline Valuation'!$AG$4/(1+$A$41)^18+'Pipeline Valuation'!$AH$4/(1+$A$41)^19+'Pipeline Valuation'!$AI$4/(1+$A$41)^20+'Pipeline Valuation'!$AJ$4/(1+$A$41)^21+'Pipeline Valuation'!$AK$4/(1+$A$41)^22+'Pipeline Valuation'!$AL$4/(1+$A$41)^23+'Pipeline Valuation'!$AM$4/(1+$A$41)^24+'Pipeline Valuation'!$AN$4/(1+$A$41)^25+'Pipeline Valuation'!$AO$4/(1+$A$41)^26+'Pipeline Valuation'!$AP$4/(1+$A$41)^27+'Pipeline Valuation'!$AQ$4/(1+$A$41)^28+'Pipeline Valuation'!$AR$4/(1+$A$41)^29+'Pipeline Valuation'!$AS$4/(1+$A$41)^30+'Pipeline Valuation'!$AT$4/(1+$A$41)^31+'Pipeline Valuation'!$AU$4/(1+$A$41)^32+'Pipeline Valuation'!$AV$4/(1+$A$41)^33+'Pipeline Valuation'!$AW$4/(1+$A$41)^34+'Pipeline Valuation'!$AX$4/(1+$A$41)^35-SUMPRODUCT('Pipeline Valuation'!$E$6:$E$19,'Pipeline Valuation'!$N$6:$N$19)+'Pipeline Valuation'!$B$4+$M$24+$M$26+$M$27-$M$28-$M$29-$M$30)/$M$32))</f>
        <v/>
      </c>
      <c r="D41" s="23" t="str">
        <f aca="false">IF('Biotech Model'!$B$4&lt;&gt;"READY","",IF(OR($A41&lt;2%,$A41&gt;50%,D$40&gt;10%,$A41&lt;=D$40+0.5%),"",($B$13/(1+$A$41)^1+$C$13/(1+$A$41)^2+$D$13/(1+$A$41)^3+$E$13/(1+$A$41)^4+$F$13/(1+$A$41)^5+$G$13/(1+$A$41)^6+$H$13/(1+$A$41)^7+$I$13/(1+$A$41)^8+$J$13/(1+$A$41)^9+$K$13/(1+$A$41)^10+$K$13*(1+D$40)/($A41-D$40)/(1+$A41)^10+'Pipeline Valuation'!$P$4/(1+$A$41)^1+'Pipeline Valuation'!$Q$4/(1+$A$41)^2+'Pipeline Valuation'!$R$4/(1+$A$41)^3+'Pipeline Valuation'!$S$4/(1+$A$41)^4+'Pipeline Valuation'!$T$4/(1+$A$41)^5+'Pipeline Valuation'!$U$4/(1+$A$41)^6+'Pipeline Valuation'!$V$4/(1+$A$41)^7+'Pipeline Valuation'!$W$4/(1+$A$41)^8+'Pipeline Valuation'!$X$4/(1+$A$41)^9+'Pipeline Valuation'!$Y$4/(1+$A$41)^10+'Pipeline Valuation'!$Z$4/(1+$A$41)^11+'Pipeline Valuation'!$AA$4/(1+$A$41)^12+'Pipeline Valuation'!$AB$4/(1+$A$41)^13+'Pipeline Valuation'!$AC$4/(1+$A$41)^14+'Pipeline Valuation'!$AD$4/(1+$A$41)^15+'Pipeline Valuation'!$AE$4/(1+$A$41)^16+'Pipeline Valuation'!$AF$4/(1+$A$41)^17+'Pipeline Valuation'!$AG$4/(1+$A$41)^18+'Pipeline Valuation'!$AH$4/(1+$A$41)^19+'Pipeline Valuation'!$AI$4/(1+$A$41)^20+'Pipeline Valuation'!$AJ$4/(1+$A$41)^21+'Pipeline Valuation'!$AK$4/(1+$A$41)^22+'Pipeline Valuation'!$AL$4/(1+$A$41)^23+'Pipeline Valuation'!$AM$4/(1+$A$41)^24+'Pipeline Valuation'!$AN$4/(1+$A$41)^25+'Pipeline Valuation'!$AO$4/(1+$A$41)^26+'Pipeline Valuation'!$AP$4/(1+$A$41)^27+'Pipeline Valuation'!$AQ$4/(1+$A$41)^28+'Pipeline Valuation'!$AR$4/(1+$A$41)^29+'Pipeline Valuation'!$AS$4/(1+$A$41)^30+'Pipeline Valuation'!$AT$4/(1+$A$41)^31+'Pipeline Valuation'!$AU$4/(1+$A$41)^32+'Pipeline Valuation'!$AV$4/(1+$A$41)^33+'Pipeline Valuation'!$AW$4/(1+$A$41)^34+'Pipeline Valuation'!$AX$4/(1+$A$41)^35-SUMPRODUCT('Pipeline Valuation'!$E$6:$E$19,'Pipeline Valuation'!$N$6:$N$19)+'Pipeline Valuation'!$B$4+$M$24+$M$26+$M$27-$M$28-$M$29-$M$30)/$M$32))</f>
        <v/>
      </c>
      <c r="E41" s="23" t="str">
        <f aca="false">IF('Biotech Model'!$B$4&lt;&gt;"READY","",IF(OR($A41&lt;2%,$A41&gt;50%,E$40&gt;10%,$A41&lt;=E$40+0.5%),"",($B$13/(1+$A$41)^1+$C$13/(1+$A$41)^2+$D$13/(1+$A$41)^3+$E$13/(1+$A$41)^4+$F$13/(1+$A$41)^5+$G$13/(1+$A$41)^6+$H$13/(1+$A$41)^7+$I$13/(1+$A$41)^8+$J$13/(1+$A$41)^9+$K$13/(1+$A$41)^10+$K$13*(1+E$40)/($A41-E$40)/(1+$A41)^10+'Pipeline Valuation'!$P$4/(1+$A$41)^1+'Pipeline Valuation'!$Q$4/(1+$A$41)^2+'Pipeline Valuation'!$R$4/(1+$A$41)^3+'Pipeline Valuation'!$S$4/(1+$A$41)^4+'Pipeline Valuation'!$T$4/(1+$A$41)^5+'Pipeline Valuation'!$U$4/(1+$A$41)^6+'Pipeline Valuation'!$V$4/(1+$A$41)^7+'Pipeline Valuation'!$W$4/(1+$A$41)^8+'Pipeline Valuation'!$X$4/(1+$A$41)^9+'Pipeline Valuation'!$Y$4/(1+$A$41)^10+'Pipeline Valuation'!$Z$4/(1+$A$41)^11+'Pipeline Valuation'!$AA$4/(1+$A$41)^12+'Pipeline Valuation'!$AB$4/(1+$A$41)^13+'Pipeline Valuation'!$AC$4/(1+$A$41)^14+'Pipeline Valuation'!$AD$4/(1+$A$41)^15+'Pipeline Valuation'!$AE$4/(1+$A$41)^16+'Pipeline Valuation'!$AF$4/(1+$A$41)^17+'Pipeline Valuation'!$AG$4/(1+$A$41)^18+'Pipeline Valuation'!$AH$4/(1+$A$41)^19+'Pipeline Valuation'!$AI$4/(1+$A$41)^20+'Pipeline Valuation'!$AJ$4/(1+$A$41)^21+'Pipeline Valuation'!$AK$4/(1+$A$41)^22+'Pipeline Valuation'!$AL$4/(1+$A$41)^23+'Pipeline Valuation'!$AM$4/(1+$A$41)^24+'Pipeline Valuation'!$AN$4/(1+$A$41)^25+'Pipeline Valuation'!$AO$4/(1+$A$41)^26+'Pipeline Valuation'!$AP$4/(1+$A$41)^27+'Pipeline Valuation'!$AQ$4/(1+$A$41)^28+'Pipeline Valuation'!$AR$4/(1+$A$41)^29+'Pipeline Valuation'!$AS$4/(1+$A$41)^30+'Pipeline Valuation'!$AT$4/(1+$A$41)^31+'Pipeline Valuation'!$AU$4/(1+$A$41)^32+'Pipeline Valuation'!$AV$4/(1+$A$41)^33+'Pipeline Valuation'!$AW$4/(1+$A$41)^34+'Pipeline Valuation'!$AX$4/(1+$A$41)^35-SUMPRODUCT('Pipeline Valuation'!$E$6:$E$19,'Pipeline Valuation'!$N$6:$N$19)+'Pipeline Valuation'!$B$4+$M$24+$M$26+$M$27-$M$28-$M$29-$M$30)/$M$32))</f>
        <v/>
      </c>
      <c r="F41" s="23" t="str">
        <f aca="false">IF('Biotech Model'!$B$4&lt;&gt;"READY","",IF(OR($A41&lt;2%,$A41&gt;50%,F$40&gt;10%,$A41&lt;=F$40+0.5%),"",($B$13/(1+$A$41)^1+$C$13/(1+$A$41)^2+$D$13/(1+$A$41)^3+$E$13/(1+$A$41)^4+$F$13/(1+$A$41)^5+$G$13/(1+$A$41)^6+$H$13/(1+$A$41)^7+$I$13/(1+$A$41)^8+$J$13/(1+$A$41)^9+$K$13/(1+$A$41)^10+$K$13*(1+F$40)/($A41-F$40)/(1+$A41)^10+'Pipeline Valuation'!$P$4/(1+$A$41)^1+'Pipeline Valuation'!$Q$4/(1+$A$41)^2+'Pipeline Valuation'!$R$4/(1+$A$41)^3+'Pipeline Valuation'!$S$4/(1+$A$41)^4+'Pipeline Valuation'!$T$4/(1+$A$41)^5+'Pipeline Valuation'!$U$4/(1+$A$41)^6+'Pipeline Valuation'!$V$4/(1+$A$41)^7+'Pipeline Valuation'!$W$4/(1+$A$41)^8+'Pipeline Valuation'!$X$4/(1+$A$41)^9+'Pipeline Valuation'!$Y$4/(1+$A$41)^10+'Pipeline Valuation'!$Z$4/(1+$A$41)^11+'Pipeline Valuation'!$AA$4/(1+$A$41)^12+'Pipeline Valuation'!$AB$4/(1+$A$41)^13+'Pipeline Valuation'!$AC$4/(1+$A$41)^14+'Pipeline Valuation'!$AD$4/(1+$A$41)^15+'Pipeline Valuation'!$AE$4/(1+$A$41)^16+'Pipeline Valuation'!$AF$4/(1+$A$41)^17+'Pipeline Valuation'!$AG$4/(1+$A$41)^18+'Pipeline Valuation'!$AH$4/(1+$A$41)^19+'Pipeline Valuation'!$AI$4/(1+$A$41)^20+'Pipeline Valuation'!$AJ$4/(1+$A$41)^21+'Pipeline Valuation'!$AK$4/(1+$A$41)^22+'Pipeline Valuation'!$AL$4/(1+$A$41)^23+'Pipeline Valuation'!$AM$4/(1+$A$41)^24+'Pipeline Valuation'!$AN$4/(1+$A$41)^25+'Pipeline Valuation'!$AO$4/(1+$A$41)^26+'Pipeline Valuation'!$AP$4/(1+$A$41)^27+'Pipeline Valuation'!$AQ$4/(1+$A$41)^28+'Pipeline Valuation'!$AR$4/(1+$A$41)^29+'Pipeline Valuation'!$AS$4/(1+$A$41)^30+'Pipeline Valuation'!$AT$4/(1+$A$41)^31+'Pipeline Valuation'!$AU$4/(1+$A$41)^32+'Pipeline Valuation'!$AV$4/(1+$A$41)^33+'Pipeline Valuation'!$AW$4/(1+$A$41)^34+'Pipeline Valuation'!$AX$4/(1+$A$41)^35-SUMPRODUCT('Pipeline Valuation'!$E$6:$E$19,'Pipeline Valuation'!$N$6:$N$19)+'Pipeline Valuation'!$B$4+$M$24+$M$26+$M$27-$M$28-$M$29-$M$30)/$M$32))</f>
        <v/>
      </c>
    </row>
    <row r="42" customFormat="false" ht="15" hidden="false" customHeight="false" outlineLevel="0" collapsed="false">
      <c r="A42" s="22" t="str">
        <f aca="false">IF('Biotech Model'!$B$4&lt;&gt;"READY","",$M$15+(-0.01))</f>
        <v/>
      </c>
      <c r="B42" s="23" t="str">
        <f aca="false">IF('Biotech Model'!$B$4&lt;&gt;"READY","",IF(OR($A42&lt;2%,$A42&gt;50%,B$40&gt;10%,$A42&lt;=B$40+0.5%),"",($B$13/(1+$A$42)^1+$C$13/(1+$A$42)^2+$D$13/(1+$A$42)^3+$E$13/(1+$A$42)^4+$F$13/(1+$A$42)^5+$G$13/(1+$A$42)^6+$H$13/(1+$A$42)^7+$I$13/(1+$A$42)^8+$J$13/(1+$A$42)^9+$K$13/(1+$A$42)^10+$K$13*(1+B$40)/($A42-B$40)/(1+$A42)^10+'Pipeline Valuation'!$P$4/(1+$A$42)^1+'Pipeline Valuation'!$Q$4/(1+$A$42)^2+'Pipeline Valuation'!$R$4/(1+$A$42)^3+'Pipeline Valuation'!$S$4/(1+$A$42)^4+'Pipeline Valuation'!$T$4/(1+$A$42)^5+'Pipeline Valuation'!$U$4/(1+$A$42)^6+'Pipeline Valuation'!$V$4/(1+$A$42)^7+'Pipeline Valuation'!$W$4/(1+$A$42)^8+'Pipeline Valuation'!$X$4/(1+$A$42)^9+'Pipeline Valuation'!$Y$4/(1+$A$42)^10+'Pipeline Valuation'!$Z$4/(1+$A$42)^11+'Pipeline Valuation'!$AA$4/(1+$A$42)^12+'Pipeline Valuation'!$AB$4/(1+$A$42)^13+'Pipeline Valuation'!$AC$4/(1+$A$42)^14+'Pipeline Valuation'!$AD$4/(1+$A$42)^15+'Pipeline Valuation'!$AE$4/(1+$A$42)^16+'Pipeline Valuation'!$AF$4/(1+$A$42)^17+'Pipeline Valuation'!$AG$4/(1+$A$42)^18+'Pipeline Valuation'!$AH$4/(1+$A$42)^19+'Pipeline Valuation'!$AI$4/(1+$A$42)^20+'Pipeline Valuation'!$AJ$4/(1+$A$42)^21+'Pipeline Valuation'!$AK$4/(1+$A$42)^22+'Pipeline Valuation'!$AL$4/(1+$A$42)^23+'Pipeline Valuation'!$AM$4/(1+$A$42)^24+'Pipeline Valuation'!$AN$4/(1+$A$42)^25+'Pipeline Valuation'!$AO$4/(1+$A$42)^26+'Pipeline Valuation'!$AP$4/(1+$A$42)^27+'Pipeline Valuation'!$AQ$4/(1+$A$42)^28+'Pipeline Valuation'!$AR$4/(1+$A$42)^29+'Pipeline Valuation'!$AS$4/(1+$A$42)^30+'Pipeline Valuation'!$AT$4/(1+$A$42)^31+'Pipeline Valuation'!$AU$4/(1+$A$42)^32+'Pipeline Valuation'!$AV$4/(1+$A$42)^33+'Pipeline Valuation'!$AW$4/(1+$A$42)^34+'Pipeline Valuation'!$AX$4/(1+$A$42)^35-SUMPRODUCT('Pipeline Valuation'!$E$6:$E$19,'Pipeline Valuation'!$N$6:$N$19)+'Pipeline Valuation'!$B$4+$M$24+$M$26+$M$27-$M$28-$M$29-$M$30)/$M$32))</f>
        <v/>
      </c>
      <c r="C42" s="23" t="str">
        <f aca="false">IF('Biotech Model'!$B$4&lt;&gt;"READY","",IF(OR($A42&lt;2%,$A42&gt;50%,C$40&gt;10%,$A42&lt;=C$40+0.5%),"",($B$13/(1+$A$42)^1+$C$13/(1+$A$42)^2+$D$13/(1+$A$42)^3+$E$13/(1+$A$42)^4+$F$13/(1+$A$42)^5+$G$13/(1+$A$42)^6+$H$13/(1+$A$42)^7+$I$13/(1+$A$42)^8+$J$13/(1+$A$42)^9+$K$13/(1+$A$42)^10+$K$13*(1+C$40)/($A42-C$40)/(1+$A42)^10+'Pipeline Valuation'!$P$4/(1+$A$42)^1+'Pipeline Valuation'!$Q$4/(1+$A$42)^2+'Pipeline Valuation'!$R$4/(1+$A$42)^3+'Pipeline Valuation'!$S$4/(1+$A$42)^4+'Pipeline Valuation'!$T$4/(1+$A$42)^5+'Pipeline Valuation'!$U$4/(1+$A$42)^6+'Pipeline Valuation'!$V$4/(1+$A$42)^7+'Pipeline Valuation'!$W$4/(1+$A$42)^8+'Pipeline Valuation'!$X$4/(1+$A$42)^9+'Pipeline Valuation'!$Y$4/(1+$A$42)^10+'Pipeline Valuation'!$Z$4/(1+$A$42)^11+'Pipeline Valuation'!$AA$4/(1+$A$42)^12+'Pipeline Valuation'!$AB$4/(1+$A$42)^13+'Pipeline Valuation'!$AC$4/(1+$A$42)^14+'Pipeline Valuation'!$AD$4/(1+$A$42)^15+'Pipeline Valuation'!$AE$4/(1+$A$42)^16+'Pipeline Valuation'!$AF$4/(1+$A$42)^17+'Pipeline Valuation'!$AG$4/(1+$A$42)^18+'Pipeline Valuation'!$AH$4/(1+$A$42)^19+'Pipeline Valuation'!$AI$4/(1+$A$42)^20+'Pipeline Valuation'!$AJ$4/(1+$A$42)^21+'Pipeline Valuation'!$AK$4/(1+$A$42)^22+'Pipeline Valuation'!$AL$4/(1+$A$42)^23+'Pipeline Valuation'!$AM$4/(1+$A$42)^24+'Pipeline Valuation'!$AN$4/(1+$A$42)^25+'Pipeline Valuation'!$AO$4/(1+$A$42)^26+'Pipeline Valuation'!$AP$4/(1+$A$42)^27+'Pipeline Valuation'!$AQ$4/(1+$A$42)^28+'Pipeline Valuation'!$AR$4/(1+$A$42)^29+'Pipeline Valuation'!$AS$4/(1+$A$42)^30+'Pipeline Valuation'!$AT$4/(1+$A$42)^31+'Pipeline Valuation'!$AU$4/(1+$A$42)^32+'Pipeline Valuation'!$AV$4/(1+$A$42)^33+'Pipeline Valuation'!$AW$4/(1+$A$42)^34+'Pipeline Valuation'!$AX$4/(1+$A$42)^35-SUMPRODUCT('Pipeline Valuation'!$E$6:$E$19,'Pipeline Valuation'!$N$6:$N$19)+'Pipeline Valuation'!$B$4+$M$24+$M$26+$M$27-$M$28-$M$29-$M$30)/$M$32))</f>
        <v/>
      </c>
      <c r="D42" s="23" t="str">
        <f aca="false">IF('Biotech Model'!$B$4&lt;&gt;"READY","",IF(OR($A42&lt;2%,$A42&gt;50%,D$40&gt;10%,$A42&lt;=D$40+0.5%),"",($B$13/(1+$A$42)^1+$C$13/(1+$A$42)^2+$D$13/(1+$A$42)^3+$E$13/(1+$A$42)^4+$F$13/(1+$A$42)^5+$G$13/(1+$A$42)^6+$H$13/(1+$A$42)^7+$I$13/(1+$A$42)^8+$J$13/(1+$A$42)^9+$K$13/(1+$A$42)^10+$K$13*(1+D$40)/($A42-D$40)/(1+$A42)^10+'Pipeline Valuation'!$P$4/(1+$A$42)^1+'Pipeline Valuation'!$Q$4/(1+$A$42)^2+'Pipeline Valuation'!$R$4/(1+$A$42)^3+'Pipeline Valuation'!$S$4/(1+$A$42)^4+'Pipeline Valuation'!$T$4/(1+$A$42)^5+'Pipeline Valuation'!$U$4/(1+$A$42)^6+'Pipeline Valuation'!$V$4/(1+$A$42)^7+'Pipeline Valuation'!$W$4/(1+$A$42)^8+'Pipeline Valuation'!$X$4/(1+$A$42)^9+'Pipeline Valuation'!$Y$4/(1+$A$42)^10+'Pipeline Valuation'!$Z$4/(1+$A$42)^11+'Pipeline Valuation'!$AA$4/(1+$A$42)^12+'Pipeline Valuation'!$AB$4/(1+$A$42)^13+'Pipeline Valuation'!$AC$4/(1+$A$42)^14+'Pipeline Valuation'!$AD$4/(1+$A$42)^15+'Pipeline Valuation'!$AE$4/(1+$A$42)^16+'Pipeline Valuation'!$AF$4/(1+$A$42)^17+'Pipeline Valuation'!$AG$4/(1+$A$42)^18+'Pipeline Valuation'!$AH$4/(1+$A$42)^19+'Pipeline Valuation'!$AI$4/(1+$A$42)^20+'Pipeline Valuation'!$AJ$4/(1+$A$42)^21+'Pipeline Valuation'!$AK$4/(1+$A$42)^22+'Pipeline Valuation'!$AL$4/(1+$A$42)^23+'Pipeline Valuation'!$AM$4/(1+$A$42)^24+'Pipeline Valuation'!$AN$4/(1+$A$42)^25+'Pipeline Valuation'!$AO$4/(1+$A$42)^26+'Pipeline Valuation'!$AP$4/(1+$A$42)^27+'Pipeline Valuation'!$AQ$4/(1+$A$42)^28+'Pipeline Valuation'!$AR$4/(1+$A$42)^29+'Pipeline Valuation'!$AS$4/(1+$A$42)^30+'Pipeline Valuation'!$AT$4/(1+$A$42)^31+'Pipeline Valuation'!$AU$4/(1+$A$42)^32+'Pipeline Valuation'!$AV$4/(1+$A$42)^33+'Pipeline Valuation'!$AW$4/(1+$A$42)^34+'Pipeline Valuation'!$AX$4/(1+$A$42)^35-SUMPRODUCT('Pipeline Valuation'!$E$6:$E$19,'Pipeline Valuation'!$N$6:$N$19)+'Pipeline Valuation'!$B$4+$M$24+$M$26+$M$27-$M$28-$M$29-$M$30)/$M$32))</f>
        <v/>
      </c>
      <c r="E42" s="23" t="str">
        <f aca="false">IF('Biotech Model'!$B$4&lt;&gt;"READY","",IF(OR($A42&lt;2%,$A42&gt;50%,E$40&gt;10%,$A42&lt;=E$40+0.5%),"",($B$13/(1+$A$42)^1+$C$13/(1+$A$42)^2+$D$13/(1+$A$42)^3+$E$13/(1+$A$42)^4+$F$13/(1+$A$42)^5+$G$13/(1+$A$42)^6+$H$13/(1+$A$42)^7+$I$13/(1+$A$42)^8+$J$13/(1+$A$42)^9+$K$13/(1+$A$42)^10+$K$13*(1+E$40)/($A42-E$40)/(1+$A42)^10+'Pipeline Valuation'!$P$4/(1+$A$42)^1+'Pipeline Valuation'!$Q$4/(1+$A$42)^2+'Pipeline Valuation'!$R$4/(1+$A$42)^3+'Pipeline Valuation'!$S$4/(1+$A$42)^4+'Pipeline Valuation'!$T$4/(1+$A$42)^5+'Pipeline Valuation'!$U$4/(1+$A$42)^6+'Pipeline Valuation'!$V$4/(1+$A$42)^7+'Pipeline Valuation'!$W$4/(1+$A$42)^8+'Pipeline Valuation'!$X$4/(1+$A$42)^9+'Pipeline Valuation'!$Y$4/(1+$A$42)^10+'Pipeline Valuation'!$Z$4/(1+$A$42)^11+'Pipeline Valuation'!$AA$4/(1+$A$42)^12+'Pipeline Valuation'!$AB$4/(1+$A$42)^13+'Pipeline Valuation'!$AC$4/(1+$A$42)^14+'Pipeline Valuation'!$AD$4/(1+$A$42)^15+'Pipeline Valuation'!$AE$4/(1+$A$42)^16+'Pipeline Valuation'!$AF$4/(1+$A$42)^17+'Pipeline Valuation'!$AG$4/(1+$A$42)^18+'Pipeline Valuation'!$AH$4/(1+$A$42)^19+'Pipeline Valuation'!$AI$4/(1+$A$42)^20+'Pipeline Valuation'!$AJ$4/(1+$A$42)^21+'Pipeline Valuation'!$AK$4/(1+$A$42)^22+'Pipeline Valuation'!$AL$4/(1+$A$42)^23+'Pipeline Valuation'!$AM$4/(1+$A$42)^24+'Pipeline Valuation'!$AN$4/(1+$A$42)^25+'Pipeline Valuation'!$AO$4/(1+$A$42)^26+'Pipeline Valuation'!$AP$4/(1+$A$42)^27+'Pipeline Valuation'!$AQ$4/(1+$A$42)^28+'Pipeline Valuation'!$AR$4/(1+$A$42)^29+'Pipeline Valuation'!$AS$4/(1+$A$42)^30+'Pipeline Valuation'!$AT$4/(1+$A$42)^31+'Pipeline Valuation'!$AU$4/(1+$A$42)^32+'Pipeline Valuation'!$AV$4/(1+$A$42)^33+'Pipeline Valuation'!$AW$4/(1+$A$42)^34+'Pipeline Valuation'!$AX$4/(1+$A$42)^35-SUMPRODUCT('Pipeline Valuation'!$E$6:$E$19,'Pipeline Valuation'!$N$6:$N$19)+'Pipeline Valuation'!$B$4+$M$24+$M$26+$M$27-$M$28-$M$29-$M$30)/$M$32))</f>
        <v/>
      </c>
      <c r="F42" s="23" t="str">
        <f aca="false">IF('Biotech Model'!$B$4&lt;&gt;"READY","",IF(OR($A42&lt;2%,$A42&gt;50%,F$40&gt;10%,$A42&lt;=F$40+0.5%),"",($B$13/(1+$A$42)^1+$C$13/(1+$A$42)^2+$D$13/(1+$A$42)^3+$E$13/(1+$A$42)^4+$F$13/(1+$A$42)^5+$G$13/(1+$A$42)^6+$H$13/(1+$A$42)^7+$I$13/(1+$A$42)^8+$J$13/(1+$A$42)^9+$K$13/(1+$A$42)^10+$K$13*(1+F$40)/($A42-F$40)/(1+$A42)^10+'Pipeline Valuation'!$P$4/(1+$A$42)^1+'Pipeline Valuation'!$Q$4/(1+$A$42)^2+'Pipeline Valuation'!$R$4/(1+$A$42)^3+'Pipeline Valuation'!$S$4/(1+$A$42)^4+'Pipeline Valuation'!$T$4/(1+$A$42)^5+'Pipeline Valuation'!$U$4/(1+$A$42)^6+'Pipeline Valuation'!$V$4/(1+$A$42)^7+'Pipeline Valuation'!$W$4/(1+$A$42)^8+'Pipeline Valuation'!$X$4/(1+$A$42)^9+'Pipeline Valuation'!$Y$4/(1+$A$42)^10+'Pipeline Valuation'!$Z$4/(1+$A$42)^11+'Pipeline Valuation'!$AA$4/(1+$A$42)^12+'Pipeline Valuation'!$AB$4/(1+$A$42)^13+'Pipeline Valuation'!$AC$4/(1+$A$42)^14+'Pipeline Valuation'!$AD$4/(1+$A$42)^15+'Pipeline Valuation'!$AE$4/(1+$A$42)^16+'Pipeline Valuation'!$AF$4/(1+$A$42)^17+'Pipeline Valuation'!$AG$4/(1+$A$42)^18+'Pipeline Valuation'!$AH$4/(1+$A$42)^19+'Pipeline Valuation'!$AI$4/(1+$A$42)^20+'Pipeline Valuation'!$AJ$4/(1+$A$42)^21+'Pipeline Valuation'!$AK$4/(1+$A$42)^22+'Pipeline Valuation'!$AL$4/(1+$A$42)^23+'Pipeline Valuation'!$AM$4/(1+$A$42)^24+'Pipeline Valuation'!$AN$4/(1+$A$42)^25+'Pipeline Valuation'!$AO$4/(1+$A$42)^26+'Pipeline Valuation'!$AP$4/(1+$A$42)^27+'Pipeline Valuation'!$AQ$4/(1+$A$42)^28+'Pipeline Valuation'!$AR$4/(1+$A$42)^29+'Pipeline Valuation'!$AS$4/(1+$A$42)^30+'Pipeline Valuation'!$AT$4/(1+$A$42)^31+'Pipeline Valuation'!$AU$4/(1+$A$42)^32+'Pipeline Valuation'!$AV$4/(1+$A$42)^33+'Pipeline Valuation'!$AW$4/(1+$A$42)^34+'Pipeline Valuation'!$AX$4/(1+$A$42)^35-SUMPRODUCT('Pipeline Valuation'!$E$6:$E$19,'Pipeline Valuation'!$N$6:$N$19)+'Pipeline Valuation'!$B$4+$M$24+$M$26+$M$27-$M$28-$M$29-$M$30)/$M$32))</f>
        <v/>
      </c>
    </row>
    <row r="43" customFormat="false" ht="15" hidden="false" customHeight="false" outlineLevel="0" collapsed="false">
      <c r="A43" s="22" t="str">
        <f aca="false">IF('Biotech Model'!$B$4&lt;&gt;"READY","",$M$15+(0))</f>
        <v/>
      </c>
      <c r="B43" s="23" t="str">
        <f aca="false">IF('Biotech Model'!$B$4&lt;&gt;"READY","",IF(OR($A43&lt;2%,$A43&gt;50%,B$40&gt;10%,$A43&lt;=B$40+0.5%),"",($B$13/(1+$A$43)^1+$C$13/(1+$A$43)^2+$D$13/(1+$A$43)^3+$E$13/(1+$A$43)^4+$F$13/(1+$A$43)^5+$G$13/(1+$A$43)^6+$H$13/(1+$A$43)^7+$I$13/(1+$A$43)^8+$J$13/(1+$A$43)^9+$K$13/(1+$A$43)^10+$K$13*(1+B$40)/($A43-B$40)/(1+$A43)^10+'Pipeline Valuation'!$P$4/(1+$A$43)^1+'Pipeline Valuation'!$Q$4/(1+$A$43)^2+'Pipeline Valuation'!$R$4/(1+$A$43)^3+'Pipeline Valuation'!$S$4/(1+$A$43)^4+'Pipeline Valuation'!$T$4/(1+$A$43)^5+'Pipeline Valuation'!$U$4/(1+$A$43)^6+'Pipeline Valuation'!$V$4/(1+$A$43)^7+'Pipeline Valuation'!$W$4/(1+$A$43)^8+'Pipeline Valuation'!$X$4/(1+$A$43)^9+'Pipeline Valuation'!$Y$4/(1+$A$43)^10+'Pipeline Valuation'!$Z$4/(1+$A$43)^11+'Pipeline Valuation'!$AA$4/(1+$A$43)^12+'Pipeline Valuation'!$AB$4/(1+$A$43)^13+'Pipeline Valuation'!$AC$4/(1+$A$43)^14+'Pipeline Valuation'!$AD$4/(1+$A$43)^15+'Pipeline Valuation'!$AE$4/(1+$A$43)^16+'Pipeline Valuation'!$AF$4/(1+$A$43)^17+'Pipeline Valuation'!$AG$4/(1+$A$43)^18+'Pipeline Valuation'!$AH$4/(1+$A$43)^19+'Pipeline Valuation'!$AI$4/(1+$A$43)^20+'Pipeline Valuation'!$AJ$4/(1+$A$43)^21+'Pipeline Valuation'!$AK$4/(1+$A$43)^22+'Pipeline Valuation'!$AL$4/(1+$A$43)^23+'Pipeline Valuation'!$AM$4/(1+$A$43)^24+'Pipeline Valuation'!$AN$4/(1+$A$43)^25+'Pipeline Valuation'!$AO$4/(1+$A$43)^26+'Pipeline Valuation'!$AP$4/(1+$A$43)^27+'Pipeline Valuation'!$AQ$4/(1+$A$43)^28+'Pipeline Valuation'!$AR$4/(1+$A$43)^29+'Pipeline Valuation'!$AS$4/(1+$A$43)^30+'Pipeline Valuation'!$AT$4/(1+$A$43)^31+'Pipeline Valuation'!$AU$4/(1+$A$43)^32+'Pipeline Valuation'!$AV$4/(1+$A$43)^33+'Pipeline Valuation'!$AW$4/(1+$A$43)^34+'Pipeline Valuation'!$AX$4/(1+$A$43)^35-SUMPRODUCT('Pipeline Valuation'!$E$6:$E$19,'Pipeline Valuation'!$N$6:$N$19)+'Pipeline Valuation'!$B$4+$M$24+$M$26+$M$27-$M$28-$M$29-$M$30)/$M$32))</f>
        <v/>
      </c>
      <c r="C43" s="23" t="str">
        <f aca="false">IF('Biotech Model'!$B$4&lt;&gt;"READY","",IF(OR($A43&lt;2%,$A43&gt;50%,C$40&gt;10%,$A43&lt;=C$40+0.5%),"",($B$13/(1+$A$43)^1+$C$13/(1+$A$43)^2+$D$13/(1+$A$43)^3+$E$13/(1+$A$43)^4+$F$13/(1+$A$43)^5+$G$13/(1+$A$43)^6+$H$13/(1+$A$43)^7+$I$13/(1+$A$43)^8+$J$13/(1+$A$43)^9+$K$13/(1+$A$43)^10+$K$13*(1+C$40)/($A43-C$40)/(1+$A43)^10+'Pipeline Valuation'!$P$4/(1+$A$43)^1+'Pipeline Valuation'!$Q$4/(1+$A$43)^2+'Pipeline Valuation'!$R$4/(1+$A$43)^3+'Pipeline Valuation'!$S$4/(1+$A$43)^4+'Pipeline Valuation'!$T$4/(1+$A$43)^5+'Pipeline Valuation'!$U$4/(1+$A$43)^6+'Pipeline Valuation'!$V$4/(1+$A$43)^7+'Pipeline Valuation'!$W$4/(1+$A$43)^8+'Pipeline Valuation'!$X$4/(1+$A$43)^9+'Pipeline Valuation'!$Y$4/(1+$A$43)^10+'Pipeline Valuation'!$Z$4/(1+$A$43)^11+'Pipeline Valuation'!$AA$4/(1+$A$43)^12+'Pipeline Valuation'!$AB$4/(1+$A$43)^13+'Pipeline Valuation'!$AC$4/(1+$A$43)^14+'Pipeline Valuation'!$AD$4/(1+$A$43)^15+'Pipeline Valuation'!$AE$4/(1+$A$43)^16+'Pipeline Valuation'!$AF$4/(1+$A$43)^17+'Pipeline Valuation'!$AG$4/(1+$A$43)^18+'Pipeline Valuation'!$AH$4/(1+$A$43)^19+'Pipeline Valuation'!$AI$4/(1+$A$43)^20+'Pipeline Valuation'!$AJ$4/(1+$A$43)^21+'Pipeline Valuation'!$AK$4/(1+$A$43)^22+'Pipeline Valuation'!$AL$4/(1+$A$43)^23+'Pipeline Valuation'!$AM$4/(1+$A$43)^24+'Pipeline Valuation'!$AN$4/(1+$A$43)^25+'Pipeline Valuation'!$AO$4/(1+$A$43)^26+'Pipeline Valuation'!$AP$4/(1+$A$43)^27+'Pipeline Valuation'!$AQ$4/(1+$A$43)^28+'Pipeline Valuation'!$AR$4/(1+$A$43)^29+'Pipeline Valuation'!$AS$4/(1+$A$43)^30+'Pipeline Valuation'!$AT$4/(1+$A$43)^31+'Pipeline Valuation'!$AU$4/(1+$A$43)^32+'Pipeline Valuation'!$AV$4/(1+$A$43)^33+'Pipeline Valuation'!$AW$4/(1+$A$43)^34+'Pipeline Valuation'!$AX$4/(1+$A$43)^35-SUMPRODUCT('Pipeline Valuation'!$E$6:$E$19,'Pipeline Valuation'!$N$6:$N$19)+'Pipeline Valuation'!$B$4+$M$24+$M$26+$M$27-$M$28-$M$29-$M$30)/$M$32))</f>
        <v/>
      </c>
      <c r="D43" s="23" t="str">
        <f aca="false">IF('Biotech Model'!$B$4&lt;&gt;"READY","",IF(OR($A43&lt;2%,$A43&gt;50%,D$40&gt;10%,$A43&lt;=D$40+0.5%),"",($B$13/(1+$A$43)^1+$C$13/(1+$A$43)^2+$D$13/(1+$A$43)^3+$E$13/(1+$A$43)^4+$F$13/(1+$A$43)^5+$G$13/(1+$A$43)^6+$H$13/(1+$A$43)^7+$I$13/(1+$A$43)^8+$J$13/(1+$A$43)^9+$K$13/(1+$A$43)^10+$K$13*(1+D$40)/($A43-D$40)/(1+$A43)^10+'Pipeline Valuation'!$P$4/(1+$A$43)^1+'Pipeline Valuation'!$Q$4/(1+$A$43)^2+'Pipeline Valuation'!$R$4/(1+$A$43)^3+'Pipeline Valuation'!$S$4/(1+$A$43)^4+'Pipeline Valuation'!$T$4/(1+$A$43)^5+'Pipeline Valuation'!$U$4/(1+$A$43)^6+'Pipeline Valuation'!$V$4/(1+$A$43)^7+'Pipeline Valuation'!$W$4/(1+$A$43)^8+'Pipeline Valuation'!$X$4/(1+$A$43)^9+'Pipeline Valuation'!$Y$4/(1+$A$43)^10+'Pipeline Valuation'!$Z$4/(1+$A$43)^11+'Pipeline Valuation'!$AA$4/(1+$A$43)^12+'Pipeline Valuation'!$AB$4/(1+$A$43)^13+'Pipeline Valuation'!$AC$4/(1+$A$43)^14+'Pipeline Valuation'!$AD$4/(1+$A$43)^15+'Pipeline Valuation'!$AE$4/(1+$A$43)^16+'Pipeline Valuation'!$AF$4/(1+$A$43)^17+'Pipeline Valuation'!$AG$4/(1+$A$43)^18+'Pipeline Valuation'!$AH$4/(1+$A$43)^19+'Pipeline Valuation'!$AI$4/(1+$A$43)^20+'Pipeline Valuation'!$AJ$4/(1+$A$43)^21+'Pipeline Valuation'!$AK$4/(1+$A$43)^22+'Pipeline Valuation'!$AL$4/(1+$A$43)^23+'Pipeline Valuation'!$AM$4/(1+$A$43)^24+'Pipeline Valuation'!$AN$4/(1+$A$43)^25+'Pipeline Valuation'!$AO$4/(1+$A$43)^26+'Pipeline Valuation'!$AP$4/(1+$A$43)^27+'Pipeline Valuation'!$AQ$4/(1+$A$43)^28+'Pipeline Valuation'!$AR$4/(1+$A$43)^29+'Pipeline Valuation'!$AS$4/(1+$A$43)^30+'Pipeline Valuation'!$AT$4/(1+$A$43)^31+'Pipeline Valuation'!$AU$4/(1+$A$43)^32+'Pipeline Valuation'!$AV$4/(1+$A$43)^33+'Pipeline Valuation'!$AW$4/(1+$A$43)^34+'Pipeline Valuation'!$AX$4/(1+$A$43)^35-SUMPRODUCT('Pipeline Valuation'!$E$6:$E$19,'Pipeline Valuation'!$N$6:$N$19)+'Pipeline Valuation'!$B$4+$M$24+$M$26+$M$27-$M$28-$M$29-$M$30)/$M$32))</f>
        <v/>
      </c>
      <c r="E43" s="23" t="str">
        <f aca="false">IF('Biotech Model'!$B$4&lt;&gt;"READY","",IF(OR($A43&lt;2%,$A43&gt;50%,E$40&gt;10%,$A43&lt;=E$40+0.5%),"",($B$13/(1+$A$43)^1+$C$13/(1+$A$43)^2+$D$13/(1+$A$43)^3+$E$13/(1+$A$43)^4+$F$13/(1+$A$43)^5+$G$13/(1+$A$43)^6+$H$13/(1+$A$43)^7+$I$13/(1+$A$43)^8+$J$13/(1+$A$43)^9+$K$13/(1+$A$43)^10+$K$13*(1+E$40)/($A43-E$40)/(1+$A43)^10+'Pipeline Valuation'!$P$4/(1+$A$43)^1+'Pipeline Valuation'!$Q$4/(1+$A$43)^2+'Pipeline Valuation'!$R$4/(1+$A$43)^3+'Pipeline Valuation'!$S$4/(1+$A$43)^4+'Pipeline Valuation'!$T$4/(1+$A$43)^5+'Pipeline Valuation'!$U$4/(1+$A$43)^6+'Pipeline Valuation'!$V$4/(1+$A$43)^7+'Pipeline Valuation'!$W$4/(1+$A$43)^8+'Pipeline Valuation'!$X$4/(1+$A$43)^9+'Pipeline Valuation'!$Y$4/(1+$A$43)^10+'Pipeline Valuation'!$Z$4/(1+$A$43)^11+'Pipeline Valuation'!$AA$4/(1+$A$43)^12+'Pipeline Valuation'!$AB$4/(1+$A$43)^13+'Pipeline Valuation'!$AC$4/(1+$A$43)^14+'Pipeline Valuation'!$AD$4/(1+$A$43)^15+'Pipeline Valuation'!$AE$4/(1+$A$43)^16+'Pipeline Valuation'!$AF$4/(1+$A$43)^17+'Pipeline Valuation'!$AG$4/(1+$A$43)^18+'Pipeline Valuation'!$AH$4/(1+$A$43)^19+'Pipeline Valuation'!$AI$4/(1+$A$43)^20+'Pipeline Valuation'!$AJ$4/(1+$A$43)^21+'Pipeline Valuation'!$AK$4/(1+$A$43)^22+'Pipeline Valuation'!$AL$4/(1+$A$43)^23+'Pipeline Valuation'!$AM$4/(1+$A$43)^24+'Pipeline Valuation'!$AN$4/(1+$A$43)^25+'Pipeline Valuation'!$AO$4/(1+$A$43)^26+'Pipeline Valuation'!$AP$4/(1+$A$43)^27+'Pipeline Valuation'!$AQ$4/(1+$A$43)^28+'Pipeline Valuation'!$AR$4/(1+$A$43)^29+'Pipeline Valuation'!$AS$4/(1+$A$43)^30+'Pipeline Valuation'!$AT$4/(1+$A$43)^31+'Pipeline Valuation'!$AU$4/(1+$A$43)^32+'Pipeline Valuation'!$AV$4/(1+$A$43)^33+'Pipeline Valuation'!$AW$4/(1+$A$43)^34+'Pipeline Valuation'!$AX$4/(1+$A$43)^35-SUMPRODUCT('Pipeline Valuation'!$E$6:$E$19,'Pipeline Valuation'!$N$6:$N$19)+'Pipeline Valuation'!$B$4+$M$24+$M$26+$M$27-$M$28-$M$29-$M$30)/$M$32))</f>
        <v/>
      </c>
      <c r="F43" s="23" t="str">
        <f aca="false">IF('Biotech Model'!$B$4&lt;&gt;"READY","",IF(OR($A43&lt;2%,$A43&gt;50%,F$40&gt;10%,$A43&lt;=F$40+0.5%),"",($B$13/(1+$A$43)^1+$C$13/(1+$A$43)^2+$D$13/(1+$A$43)^3+$E$13/(1+$A$43)^4+$F$13/(1+$A$43)^5+$G$13/(1+$A$43)^6+$H$13/(1+$A$43)^7+$I$13/(1+$A$43)^8+$J$13/(1+$A$43)^9+$K$13/(1+$A$43)^10+$K$13*(1+F$40)/($A43-F$40)/(1+$A43)^10+'Pipeline Valuation'!$P$4/(1+$A$43)^1+'Pipeline Valuation'!$Q$4/(1+$A$43)^2+'Pipeline Valuation'!$R$4/(1+$A$43)^3+'Pipeline Valuation'!$S$4/(1+$A$43)^4+'Pipeline Valuation'!$T$4/(1+$A$43)^5+'Pipeline Valuation'!$U$4/(1+$A$43)^6+'Pipeline Valuation'!$V$4/(1+$A$43)^7+'Pipeline Valuation'!$W$4/(1+$A$43)^8+'Pipeline Valuation'!$X$4/(1+$A$43)^9+'Pipeline Valuation'!$Y$4/(1+$A$43)^10+'Pipeline Valuation'!$Z$4/(1+$A$43)^11+'Pipeline Valuation'!$AA$4/(1+$A$43)^12+'Pipeline Valuation'!$AB$4/(1+$A$43)^13+'Pipeline Valuation'!$AC$4/(1+$A$43)^14+'Pipeline Valuation'!$AD$4/(1+$A$43)^15+'Pipeline Valuation'!$AE$4/(1+$A$43)^16+'Pipeline Valuation'!$AF$4/(1+$A$43)^17+'Pipeline Valuation'!$AG$4/(1+$A$43)^18+'Pipeline Valuation'!$AH$4/(1+$A$43)^19+'Pipeline Valuation'!$AI$4/(1+$A$43)^20+'Pipeline Valuation'!$AJ$4/(1+$A$43)^21+'Pipeline Valuation'!$AK$4/(1+$A$43)^22+'Pipeline Valuation'!$AL$4/(1+$A$43)^23+'Pipeline Valuation'!$AM$4/(1+$A$43)^24+'Pipeline Valuation'!$AN$4/(1+$A$43)^25+'Pipeline Valuation'!$AO$4/(1+$A$43)^26+'Pipeline Valuation'!$AP$4/(1+$A$43)^27+'Pipeline Valuation'!$AQ$4/(1+$A$43)^28+'Pipeline Valuation'!$AR$4/(1+$A$43)^29+'Pipeline Valuation'!$AS$4/(1+$A$43)^30+'Pipeline Valuation'!$AT$4/(1+$A$43)^31+'Pipeline Valuation'!$AU$4/(1+$A$43)^32+'Pipeline Valuation'!$AV$4/(1+$A$43)^33+'Pipeline Valuation'!$AW$4/(1+$A$43)^34+'Pipeline Valuation'!$AX$4/(1+$A$43)^35-SUMPRODUCT('Pipeline Valuation'!$E$6:$E$19,'Pipeline Valuation'!$N$6:$N$19)+'Pipeline Valuation'!$B$4+$M$24+$M$26+$M$27-$M$28-$M$29-$M$30)/$M$32))</f>
        <v/>
      </c>
    </row>
    <row r="44" customFormat="false" ht="15" hidden="false" customHeight="false" outlineLevel="0" collapsed="false">
      <c r="A44" s="22" t="str">
        <f aca="false">IF('Biotech Model'!$B$4&lt;&gt;"READY","",$M$15+(0.01))</f>
        <v/>
      </c>
      <c r="B44" s="23" t="str">
        <f aca="false">IF('Biotech Model'!$B$4&lt;&gt;"READY","",IF(OR($A44&lt;2%,$A44&gt;50%,B$40&gt;10%,$A44&lt;=B$40+0.5%),"",($B$13/(1+$A$44)^1+$C$13/(1+$A$44)^2+$D$13/(1+$A$44)^3+$E$13/(1+$A$44)^4+$F$13/(1+$A$44)^5+$G$13/(1+$A$44)^6+$H$13/(1+$A$44)^7+$I$13/(1+$A$44)^8+$J$13/(1+$A$44)^9+$K$13/(1+$A$44)^10+$K$13*(1+B$40)/($A44-B$40)/(1+$A44)^10+'Pipeline Valuation'!$P$4/(1+$A$44)^1+'Pipeline Valuation'!$Q$4/(1+$A$44)^2+'Pipeline Valuation'!$R$4/(1+$A$44)^3+'Pipeline Valuation'!$S$4/(1+$A$44)^4+'Pipeline Valuation'!$T$4/(1+$A$44)^5+'Pipeline Valuation'!$U$4/(1+$A$44)^6+'Pipeline Valuation'!$V$4/(1+$A$44)^7+'Pipeline Valuation'!$W$4/(1+$A$44)^8+'Pipeline Valuation'!$X$4/(1+$A$44)^9+'Pipeline Valuation'!$Y$4/(1+$A$44)^10+'Pipeline Valuation'!$Z$4/(1+$A$44)^11+'Pipeline Valuation'!$AA$4/(1+$A$44)^12+'Pipeline Valuation'!$AB$4/(1+$A$44)^13+'Pipeline Valuation'!$AC$4/(1+$A$44)^14+'Pipeline Valuation'!$AD$4/(1+$A$44)^15+'Pipeline Valuation'!$AE$4/(1+$A$44)^16+'Pipeline Valuation'!$AF$4/(1+$A$44)^17+'Pipeline Valuation'!$AG$4/(1+$A$44)^18+'Pipeline Valuation'!$AH$4/(1+$A$44)^19+'Pipeline Valuation'!$AI$4/(1+$A$44)^20+'Pipeline Valuation'!$AJ$4/(1+$A$44)^21+'Pipeline Valuation'!$AK$4/(1+$A$44)^22+'Pipeline Valuation'!$AL$4/(1+$A$44)^23+'Pipeline Valuation'!$AM$4/(1+$A$44)^24+'Pipeline Valuation'!$AN$4/(1+$A$44)^25+'Pipeline Valuation'!$AO$4/(1+$A$44)^26+'Pipeline Valuation'!$AP$4/(1+$A$44)^27+'Pipeline Valuation'!$AQ$4/(1+$A$44)^28+'Pipeline Valuation'!$AR$4/(1+$A$44)^29+'Pipeline Valuation'!$AS$4/(1+$A$44)^30+'Pipeline Valuation'!$AT$4/(1+$A$44)^31+'Pipeline Valuation'!$AU$4/(1+$A$44)^32+'Pipeline Valuation'!$AV$4/(1+$A$44)^33+'Pipeline Valuation'!$AW$4/(1+$A$44)^34+'Pipeline Valuation'!$AX$4/(1+$A$44)^35-SUMPRODUCT('Pipeline Valuation'!$E$6:$E$19,'Pipeline Valuation'!$N$6:$N$19)+'Pipeline Valuation'!$B$4+$M$24+$M$26+$M$27-$M$28-$M$29-$M$30)/$M$32))</f>
        <v/>
      </c>
      <c r="C44" s="23" t="str">
        <f aca="false">IF('Biotech Model'!$B$4&lt;&gt;"READY","",IF(OR($A44&lt;2%,$A44&gt;50%,C$40&gt;10%,$A44&lt;=C$40+0.5%),"",($B$13/(1+$A$44)^1+$C$13/(1+$A$44)^2+$D$13/(1+$A$44)^3+$E$13/(1+$A$44)^4+$F$13/(1+$A$44)^5+$G$13/(1+$A$44)^6+$H$13/(1+$A$44)^7+$I$13/(1+$A$44)^8+$J$13/(1+$A$44)^9+$K$13/(1+$A$44)^10+$K$13*(1+C$40)/($A44-C$40)/(1+$A44)^10+'Pipeline Valuation'!$P$4/(1+$A$44)^1+'Pipeline Valuation'!$Q$4/(1+$A$44)^2+'Pipeline Valuation'!$R$4/(1+$A$44)^3+'Pipeline Valuation'!$S$4/(1+$A$44)^4+'Pipeline Valuation'!$T$4/(1+$A$44)^5+'Pipeline Valuation'!$U$4/(1+$A$44)^6+'Pipeline Valuation'!$V$4/(1+$A$44)^7+'Pipeline Valuation'!$W$4/(1+$A$44)^8+'Pipeline Valuation'!$X$4/(1+$A$44)^9+'Pipeline Valuation'!$Y$4/(1+$A$44)^10+'Pipeline Valuation'!$Z$4/(1+$A$44)^11+'Pipeline Valuation'!$AA$4/(1+$A$44)^12+'Pipeline Valuation'!$AB$4/(1+$A$44)^13+'Pipeline Valuation'!$AC$4/(1+$A$44)^14+'Pipeline Valuation'!$AD$4/(1+$A$44)^15+'Pipeline Valuation'!$AE$4/(1+$A$44)^16+'Pipeline Valuation'!$AF$4/(1+$A$44)^17+'Pipeline Valuation'!$AG$4/(1+$A$44)^18+'Pipeline Valuation'!$AH$4/(1+$A$44)^19+'Pipeline Valuation'!$AI$4/(1+$A$44)^20+'Pipeline Valuation'!$AJ$4/(1+$A$44)^21+'Pipeline Valuation'!$AK$4/(1+$A$44)^22+'Pipeline Valuation'!$AL$4/(1+$A$44)^23+'Pipeline Valuation'!$AM$4/(1+$A$44)^24+'Pipeline Valuation'!$AN$4/(1+$A$44)^25+'Pipeline Valuation'!$AO$4/(1+$A$44)^26+'Pipeline Valuation'!$AP$4/(1+$A$44)^27+'Pipeline Valuation'!$AQ$4/(1+$A$44)^28+'Pipeline Valuation'!$AR$4/(1+$A$44)^29+'Pipeline Valuation'!$AS$4/(1+$A$44)^30+'Pipeline Valuation'!$AT$4/(1+$A$44)^31+'Pipeline Valuation'!$AU$4/(1+$A$44)^32+'Pipeline Valuation'!$AV$4/(1+$A$44)^33+'Pipeline Valuation'!$AW$4/(1+$A$44)^34+'Pipeline Valuation'!$AX$4/(1+$A$44)^35-SUMPRODUCT('Pipeline Valuation'!$E$6:$E$19,'Pipeline Valuation'!$N$6:$N$19)+'Pipeline Valuation'!$B$4+$M$24+$M$26+$M$27-$M$28-$M$29-$M$30)/$M$32))</f>
        <v/>
      </c>
      <c r="D44" s="23" t="str">
        <f aca="false">IF('Biotech Model'!$B$4&lt;&gt;"READY","",IF(OR($A44&lt;2%,$A44&gt;50%,D$40&gt;10%,$A44&lt;=D$40+0.5%),"",($B$13/(1+$A$44)^1+$C$13/(1+$A$44)^2+$D$13/(1+$A$44)^3+$E$13/(1+$A$44)^4+$F$13/(1+$A$44)^5+$G$13/(1+$A$44)^6+$H$13/(1+$A$44)^7+$I$13/(1+$A$44)^8+$J$13/(1+$A$44)^9+$K$13/(1+$A$44)^10+$K$13*(1+D$40)/($A44-D$40)/(1+$A44)^10+'Pipeline Valuation'!$P$4/(1+$A$44)^1+'Pipeline Valuation'!$Q$4/(1+$A$44)^2+'Pipeline Valuation'!$R$4/(1+$A$44)^3+'Pipeline Valuation'!$S$4/(1+$A$44)^4+'Pipeline Valuation'!$T$4/(1+$A$44)^5+'Pipeline Valuation'!$U$4/(1+$A$44)^6+'Pipeline Valuation'!$V$4/(1+$A$44)^7+'Pipeline Valuation'!$W$4/(1+$A$44)^8+'Pipeline Valuation'!$X$4/(1+$A$44)^9+'Pipeline Valuation'!$Y$4/(1+$A$44)^10+'Pipeline Valuation'!$Z$4/(1+$A$44)^11+'Pipeline Valuation'!$AA$4/(1+$A$44)^12+'Pipeline Valuation'!$AB$4/(1+$A$44)^13+'Pipeline Valuation'!$AC$4/(1+$A$44)^14+'Pipeline Valuation'!$AD$4/(1+$A$44)^15+'Pipeline Valuation'!$AE$4/(1+$A$44)^16+'Pipeline Valuation'!$AF$4/(1+$A$44)^17+'Pipeline Valuation'!$AG$4/(1+$A$44)^18+'Pipeline Valuation'!$AH$4/(1+$A$44)^19+'Pipeline Valuation'!$AI$4/(1+$A$44)^20+'Pipeline Valuation'!$AJ$4/(1+$A$44)^21+'Pipeline Valuation'!$AK$4/(1+$A$44)^22+'Pipeline Valuation'!$AL$4/(1+$A$44)^23+'Pipeline Valuation'!$AM$4/(1+$A$44)^24+'Pipeline Valuation'!$AN$4/(1+$A$44)^25+'Pipeline Valuation'!$AO$4/(1+$A$44)^26+'Pipeline Valuation'!$AP$4/(1+$A$44)^27+'Pipeline Valuation'!$AQ$4/(1+$A$44)^28+'Pipeline Valuation'!$AR$4/(1+$A$44)^29+'Pipeline Valuation'!$AS$4/(1+$A$44)^30+'Pipeline Valuation'!$AT$4/(1+$A$44)^31+'Pipeline Valuation'!$AU$4/(1+$A$44)^32+'Pipeline Valuation'!$AV$4/(1+$A$44)^33+'Pipeline Valuation'!$AW$4/(1+$A$44)^34+'Pipeline Valuation'!$AX$4/(1+$A$44)^35-SUMPRODUCT('Pipeline Valuation'!$E$6:$E$19,'Pipeline Valuation'!$N$6:$N$19)+'Pipeline Valuation'!$B$4+$M$24+$M$26+$M$27-$M$28-$M$29-$M$30)/$M$32))</f>
        <v/>
      </c>
      <c r="E44" s="23" t="str">
        <f aca="false">IF('Biotech Model'!$B$4&lt;&gt;"READY","",IF(OR($A44&lt;2%,$A44&gt;50%,E$40&gt;10%,$A44&lt;=E$40+0.5%),"",($B$13/(1+$A$44)^1+$C$13/(1+$A$44)^2+$D$13/(1+$A$44)^3+$E$13/(1+$A$44)^4+$F$13/(1+$A$44)^5+$G$13/(1+$A$44)^6+$H$13/(1+$A$44)^7+$I$13/(1+$A$44)^8+$J$13/(1+$A$44)^9+$K$13/(1+$A$44)^10+$K$13*(1+E$40)/($A44-E$40)/(1+$A44)^10+'Pipeline Valuation'!$P$4/(1+$A$44)^1+'Pipeline Valuation'!$Q$4/(1+$A$44)^2+'Pipeline Valuation'!$R$4/(1+$A$44)^3+'Pipeline Valuation'!$S$4/(1+$A$44)^4+'Pipeline Valuation'!$T$4/(1+$A$44)^5+'Pipeline Valuation'!$U$4/(1+$A$44)^6+'Pipeline Valuation'!$V$4/(1+$A$44)^7+'Pipeline Valuation'!$W$4/(1+$A$44)^8+'Pipeline Valuation'!$X$4/(1+$A$44)^9+'Pipeline Valuation'!$Y$4/(1+$A$44)^10+'Pipeline Valuation'!$Z$4/(1+$A$44)^11+'Pipeline Valuation'!$AA$4/(1+$A$44)^12+'Pipeline Valuation'!$AB$4/(1+$A$44)^13+'Pipeline Valuation'!$AC$4/(1+$A$44)^14+'Pipeline Valuation'!$AD$4/(1+$A$44)^15+'Pipeline Valuation'!$AE$4/(1+$A$44)^16+'Pipeline Valuation'!$AF$4/(1+$A$44)^17+'Pipeline Valuation'!$AG$4/(1+$A$44)^18+'Pipeline Valuation'!$AH$4/(1+$A$44)^19+'Pipeline Valuation'!$AI$4/(1+$A$44)^20+'Pipeline Valuation'!$AJ$4/(1+$A$44)^21+'Pipeline Valuation'!$AK$4/(1+$A$44)^22+'Pipeline Valuation'!$AL$4/(1+$A$44)^23+'Pipeline Valuation'!$AM$4/(1+$A$44)^24+'Pipeline Valuation'!$AN$4/(1+$A$44)^25+'Pipeline Valuation'!$AO$4/(1+$A$44)^26+'Pipeline Valuation'!$AP$4/(1+$A$44)^27+'Pipeline Valuation'!$AQ$4/(1+$A$44)^28+'Pipeline Valuation'!$AR$4/(1+$A$44)^29+'Pipeline Valuation'!$AS$4/(1+$A$44)^30+'Pipeline Valuation'!$AT$4/(1+$A$44)^31+'Pipeline Valuation'!$AU$4/(1+$A$44)^32+'Pipeline Valuation'!$AV$4/(1+$A$44)^33+'Pipeline Valuation'!$AW$4/(1+$A$44)^34+'Pipeline Valuation'!$AX$4/(1+$A$44)^35-SUMPRODUCT('Pipeline Valuation'!$E$6:$E$19,'Pipeline Valuation'!$N$6:$N$19)+'Pipeline Valuation'!$B$4+$M$24+$M$26+$M$27-$M$28-$M$29-$M$30)/$M$32))</f>
        <v/>
      </c>
      <c r="F44" s="23" t="str">
        <f aca="false">IF('Biotech Model'!$B$4&lt;&gt;"READY","",IF(OR($A44&lt;2%,$A44&gt;50%,F$40&gt;10%,$A44&lt;=F$40+0.5%),"",($B$13/(1+$A$44)^1+$C$13/(1+$A$44)^2+$D$13/(1+$A$44)^3+$E$13/(1+$A$44)^4+$F$13/(1+$A$44)^5+$G$13/(1+$A$44)^6+$H$13/(1+$A$44)^7+$I$13/(1+$A$44)^8+$J$13/(1+$A$44)^9+$K$13/(1+$A$44)^10+$K$13*(1+F$40)/($A44-F$40)/(1+$A44)^10+'Pipeline Valuation'!$P$4/(1+$A$44)^1+'Pipeline Valuation'!$Q$4/(1+$A$44)^2+'Pipeline Valuation'!$R$4/(1+$A$44)^3+'Pipeline Valuation'!$S$4/(1+$A$44)^4+'Pipeline Valuation'!$T$4/(1+$A$44)^5+'Pipeline Valuation'!$U$4/(1+$A$44)^6+'Pipeline Valuation'!$V$4/(1+$A$44)^7+'Pipeline Valuation'!$W$4/(1+$A$44)^8+'Pipeline Valuation'!$X$4/(1+$A$44)^9+'Pipeline Valuation'!$Y$4/(1+$A$44)^10+'Pipeline Valuation'!$Z$4/(1+$A$44)^11+'Pipeline Valuation'!$AA$4/(1+$A$44)^12+'Pipeline Valuation'!$AB$4/(1+$A$44)^13+'Pipeline Valuation'!$AC$4/(1+$A$44)^14+'Pipeline Valuation'!$AD$4/(1+$A$44)^15+'Pipeline Valuation'!$AE$4/(1+$A$44)^16+'Pipeline Valuation'!$AF$4/(1+$A$44)^17+'Pipeline Valuation'!$AG$4/(1+$A$44)^18+'Pipeline Valuation'!$AH$4/(1+$A$44)^19+'Pipeline Valuation'!$AI$4/(1+$A$44)^20+'Pipeline Valuation'!$AJ$4/(1+$A$44)^21+'Pipeline Valuation'!$AK$4/(1+$A$44)^22+'Pipeline Valuation'!$AL$4/(1+$A$44)^23+'Pipeline Valuation'!$AM$4/(1+$A$44)^24+'Pipeline Valuation'!$AN$4/(1+$A$44)^25+'Pipeline Valuation'!$AO$4/(1+$A$44)^26+'Pipeline Valuation'!$AP$4/(1+$A$44)^27+'Pipeline Valuation'!$AQ$4/(1+$A$44)^28+'Pipeline Valuation'!$AR$4/(1+$A$44)^29+'Pipeline Valuation'!$AS$4/(1+$A$44)^30+'Pipeline Valuation'!$AT$4/(1+$A$44)^31+'Pipeline Valuation'!$AU$4/(1+$A$44)^32+'Pipeline Valuation'!$AV$4/(1+$A$44)^33+'Pipeline Valuation'!$AW$4/(1+$A$44)^34+'Pipeline Valuation'!$AX$4/(1+$A$44)^35-SUMPRODUCT('Pipeline Valuation'!$E$6:$E$19,'Pipeline Valuation'!$N$6:$N$19)+'Pipeline Valuation'!$B$4+$M$24+$M$26+$M$27-$M$28-$M$29-$M$30)/$M$32))</f>
        <v/>
      </c>
    </row>
    <row r="45" customFormat="false" ht="15" hidden="false" customHeight="false" outlineLevel="0" collapsed="false">
      <c r="A45" s="22" t="str">
        <f aca="false">IF('Biotech Model'!$B$4&lt;&gt;"READY","",$M$15+(0.02))</f>
        <v/>
      </c>
      <c r="B45" s="23" t="str">
        <f aca="false">IF('Biotech Model'!$B$4&lt;&gt;"READY","",IF(OR($A45&lt;2%,$A45&gt;50%,B$40&gt;10%,$A45&lt;=B$40+0.5%),"",($B$13/(1+$A$45)^1+$C$13/(1+$A$45)^2+$D$13/(1+$A$45)^3+$E$13/(1+$A$45)^4+$F$13/(1+$A$45)^5+$G$13/(1+$A$45)^6+$H$13/(1+$A$45)^7+$I$13/(1+$A$45)^8+$J$13/(1+$A$45)^9+$K$13/(1+$A$45)^10+$K$13*(1+B$40)/($A45-B$40)/(1+$A45)^10+'Pipeline Valuation'!$P$4/(1+$A$45)^1+'Pipeline Valuation'!$Q$4/(1+$A$45)^2+'Pipeline Valuation'!$R$4/(1+$A$45)^3+'Pipeline Valuation'!$S$4/(1+$A$45)^4+'Pipeline Valuation'!$T$4/(1+$A$45)^5+'Pipeline Valuation'!$U$4/(1+$A$45)^6+'Pipeline Valuation'!$V$4/(1+$A$45)^7+'Pipeline Valuation'!$W$4/(1+$A$45)^8+'Pipeline Valuation'!$X$4/(1+$A$45)^9+'Pipeline Valuation'!$Y$4/(1+$A$45)^10+'Pipeline Valuation'!$Z$4/(1+$A$45)^11+'Pipeline Valuation'!$AA$4/(1+$A$45)^12+'Pipeline Valuation'!$AB$4/(1+$A$45)^13+'Pipeline Valuation'!$AC$4/(1+$A$45)^14+'Pipeline Valuation'!$AD$4/(1+$A$45)^15+'Pipeline Valuation'!$AE$4/(1+$A$45)^16+'Pipeline Valuation'!$AF$4/(1+$A$45)^17+'Pipeline Valuation'!$AG$4/(1+$A$45)^18+'Pipeline Valuation'!$AH$4/(1+$A$45)^19+'Pipeline Valuation'!$AI$4/(1+$A$45)^20+'Pipeline Valuation'!$AJ$4/(1+$A$45)^21+'Pipeline Valuation'!$AK$4/(1+$A$45)^22+'Pipeline Valuation'!$AL$4/(1+$A$45)^23+'Pipeline Valuation'!$AM$4/(1+$A$45)^24+'Pipeline Valuation'!$AN$4/(1+$A$45)^25+'Pipeline Valuation'!$AO$4/(1+$A$45)^26+'Pipeline Valuation'!$AP$4/(1+$A$45)^27+'Pipeline Valuation'!$AQ$4/(1+$A$45)^28+'Pipeline Valuation'!$AR$4/(1+$A$45)^29+'Pipeline Valuation'!$AS$4/(1+$A$45)^30+'Pipeline Valuation'!$AT$4/(1+$A$45)^31+'Pipeline Valuation'!$AU$4/(1+$A$45)^32+'Pipeline Valuation'!$AV$4/(1+$A$45)^33+'Pipeline Valuation'!$AW$4/(1+$A$45)^34+'Pipeline Valuation'!$AX$4/(1+$A$45)^35-SUMPRODUCT('Pipeline Valuation'!$E$6:$E$19,'Pipeline Valuation'!$N$6:$N$19)+'Pipeline Valuation'!$B$4+$M$24+$M$26+$M$27-$M$28-$M$29-$M$30)/$M$32))</f>
        <v/>
      </c>
      <c r="C45" s="23" t="str">
        <f aca="false">IF('Biotech Model'!$B$4&lt;&gt;"READY","",IF(OR($A45&lt;2%,$A45&gt;50%,C$40&gt;10%,$A45&lt;=C$40+0.5%),"",($B$13/(1+$A$45)^1+$C$13/(1+$A$45)^2+$D$13/(1+$A$45)^3+$E$13/(1+$A$45)^4+$F$13/(1+$A$45)^5+$G$13/(1+$A$45)^6+$H$13/(1+$A$45)^7+$I$13/(1+$A$45)^8+$J$13/(1+$A$45)^9+$K$13/(1+$A$45)^10+$K$13*(1+C$40)/($A45-C$40)/(1+$A45)^10+'Pipeline Valuation'!$P$4/(1+$A$45)^1+'Pipeline Valuation'!$Q$4/(1+$A$45)^2+'Pipeline Valuation'!$R$4/(1+$A$45)^3+'Pipeline Valuation'!$S$4/(1+$A$45)^4+'Pipeline Valuation'!$T$4/(1+$A$45)^5+'Pipeline Valuation'!$U$4/(1+$A$45)^6+'Pipeline Valuation'!$V$4/(1+$A$45)^7+'Pipeline Valuation'!$W$4/(1+$A$45)^8+'Pipeline Valuation'!$X$4/(1+$A$45)^9+'Pipeline Valuation'!$Y$4/(1+$A$45)^10+'Pipeline Valuation'!$Z$4/(1+$A$45)^11+'Pipeline Valuation'!$AA$4/(1+$A$45)^12+'Pipeline Valuation'!$AB$4/(1+$A$45)^13+'Pipeline Valuation'!$AC$4/(1+$A$45)^14+'Pipeline Valuation'!$AD$4/(1+$A$45)^15+'Pipeline Valuation'!$AE$4/(1+$A$45)^16+'Pipeline Valuation'!$AF$4/(1+$A$45)^17+'Pipeline Valuation'!$AG$4/(1+$A$45)^18+'Pipeline Valuation'!$AH$4/(1+$A$45)^19+'Pipeline Valuation'!$AI$4/(1+$A$45)^20+'Pipeline Valuation'!$AJ$4/(1+$A$45)^21+'Pipeline Valuation'!$AK$4/(1+$A$45)^22+'Pipeline Valuation'!$AL$4/(1+$A$45)^23+'Pipeline Valuation'!$AM$4/(1+$A$45)^24+'Pipeline Valuation'!$AN$4/(1+$A$45)^25+'Pipeline Valuation'!$AO$4/(1+$A$45)^26+'Pipeline Valuation'!$AP$4/(1+$A$45)^27+'Pipeline Valuation'!$AQ$4/(1+$A$45)^28+'Pipeline Valuation'!$AR$4/(1+$A$45)^29+'Pipeline Valuation'!$AS$4/(1+$A$45)^30+'Pipeline Valuation'!$AT$4/(1+$A$45)^31+'Pipeline Valuation'!$AU$4/(1+$A$45)^32+'Pipeline Valuation'!$AV$4/(1+$A$45)^33+'Pipeline Valuation'!$AW$4/(1+$A$45)^34+'Pipeline Valuation'!$AX$4/(1+$A$45)^35-SUMPRODUCT('Pipeline Valuation'!$E$6:$E$19,'Pipeline Valuation'!$N$6:$N$19)+'Pipeline Valuation'!$B$4+$M$24+$M$26+$M$27-$M$28-$M$29-$M$30)/$M$32))</f>
        <v/>
      </c>
      <c r="D45" s="23" t="str">
        <f aca="false">IF('Biotech Model'!$B$4&lt;&gt;"READY","",IF(OR($A45&lt;2%,$A45&gt;50%,D$40&gt;10%,$A45&lt;=D$40+0.5%),"",($B$13/(1+$A$45)^1+$C$13/(1+$A$45)^2+$D$13/(1+$A$45)^3+$E$13/(1+$A$45)^4+$F$13/(1+$A$45)^5+$G$13/(1+$A$45)^6+$H$13/(1+$A$45)^7+$I$13/(1+$A$45)^8+$J$13/(1+$A$45)^9+$K$13/(1+$A$45)^10+$K$13*(1+D$40)/($A45-D$40)/(1+$A45)^10+'Pipeline Valuation'!$P$4/(1+$A$45)^1+'Pipeline Valuation'!$Q$4/(1+$A$45)^2+'Pipeline Valuation'!$R$4/(1+$A$45)^3+'Pipeline Valuation'!$S$4/(1+$A$45)^4+'Pipeline Valuation'!$T$4/(1+$A$45)^5+'Pipeline Valuation'!$U$4/(1+$A$45)^6+'Pipeline Valuation'!$V$4/(1+$A$45)^7+'Pipeline Valuation'!$W$4/(1+$A$45)^8+'Pipeline Valuation'!$X$4/(1+$A$45)^9+'Pipeline Valuation'!$Y$4/(1+$A$45)^10+'Pipeline Valuation'!$Z$4/(1+$A$45)^11+'Pipeline Valuation'!$AA$4/(1+$A$45)^12+'Pipeline Valuation'!$AB$4/(1+$A$45)^13+'Pipeline Valuation'!$AC$4/(1+$A$45)^14+'Pipeline Valuation'!$AD$4/(1+$A$45)^15+'Pipeline Valuation'!$AE$4/(1+$A$45)^16+'Pipeline Valuation'!$AF$4/(1+$A$45)^17+'Pipeline Valuation'!$AG$4/(1+$A$45)^18+'Pipeline Valuation'!$AH$4/(1+$A$45)^19+'Pipeline Valuation'!$AI$4/(1+$A$45)^20+'Pipeline Valuation'!$AJ$4/(1+$A$45)^21+'Pipeline Valuation'!$AK$4/(1+$A$45)^22+'Pipeline Valuation'!$AL$4/(1+$A$45)^23+'Pipeline Valuation'!$AM$4/(1+$A$45)^24+'Pipeline Valuation'!$AN$4/(1+$A$45)^25+'Pipeline Valuation'!$AO$4/(1+$A$45)^26+'Pipeline Valuation'!$AP$4/(1+$A$45)^27+'Pipeline Valuation'!$AQ$4/(1+$A$45)^28+'Pipeline Valuation'!$AR$4/(1+$A$45)^29+'Pipeline Valuation'!$AS$4/(1+$A$45)^30+'Pipeline Valuation'!$AT$4/(1+$A$45)^31+'Pipeline Valuation'!$AU$4/(1+$A$45)^32+'Pipeline Valuation'!$AV$4/(1+$A$45)^33+'Pipeline Valuation'!$AW$4/(1+$A$45)^34+'Pipeline Valuation'!$AX$4/(1+$A$45)^35-SUMPRODUCT('Pipeline Valuation'!$E$6:$E$19,'Pipeline Valuation'!$N$6:$N$19)+'Pipeline Valuation'!$B$4+$M$24+$M$26+$M$27-$M$28-$M$29-$M$30)/$M$32))</f>
        <v/>
      </c>
      <c r="E45" s="23" t="str">
        <f aca="false">IF('Biotech Model'!$B$4&lt;&gt;"READY","",IF(OR($A45&lt;2%,$A45&gt;50%,E$40&gt;10%,$A45&lt;=E$40+0.5%),"",($B$13/(1+$A$45)^1+$C$13/(1+$A$45)^2+$D$13/(1+$A$45)^3+$E$13/(1+$A$45)^4+$F$13/(1+$A$45)^5+$G$13/(1+$A$45)^6+$H$13/(1+$A$45)^7+$I$13/(1+$A$45)^8+$J$13/(1+$A$45)^9+$K$13/(1+$A$45)^10+$K$13*(1+E$40)/($A45-E$40)/(1+$A45)^10+'Pipeline Valuation'!$P$4/(1+$A$45)^1+'Pipeline Valuation'!$Q$4/(1+$A$45)^2+'Pipeline Valuation'!$R$4/(1+$A$45)^3+'Pipeline Valuation'!$S$4/(1+$A$45)^4+'Pipeline Valuation'!$T$4/(1+$A$45)^5+'Pipeline Valuation'!$U$4/(1+$A$45)^6+'Pipeline Valuation'!$V$4/(1+$A$45)^7+'Pipeline Valuation'!$W$4/(1+$A$45)^8+'Pipeline Valuation'!$X$4/(1+$A$45)^9+'Pipeline Valuation'!$Y$4/(1+$A$45)^10+'Pipeline Valuation'!$Z$4/(1+$A$45)^11+'Pipeline Valuation'!$AA$4/(1+$A$45)^12+'Pipeline Valuation'!$AB$4/(1+$A$45)^13+'Pipeline Valuation'!$AC$4/(1+$A$45)^14+'Pipeline Valuation'!$AD$4/(1+$A$45)^15+'Pipeline Valuation'!$AE$4/(1+$A$45)^16+'Pipeline Valuation'!$AF$4/(1+$A$45)^17+'Pipeline Valuation'!$AG$4/(1+$A$45)^18+'Pipeline Valuation'!$AH$4/(1+$A$45)^19+'Pipeline Valuation'!$AI$4/(1+$A$45)^20+'Pipeline Valuation'!$AJ$4/(1+$A$45)^21+'Pipeline Valuation'!$AK$4/(1+$A$45)^22+'Pipeline Valuation'!$AL$4/(1+$A$45)^23+'Pipeline Valuation'!$AM$4/(1+$A$45)^24+'Pipeline Valuation'!$AN$4/(1+$A$45)^25+'Pipeline Valuation'!$AO$4/(1+$A$45)^26+'Pipeline Valuation'!$AP$4/(1+$A$45)^27+'Pipeline Valuation'!$AQ$4/(1+$A$45)^28+'Pipeline Valuation'!$AR$4/(1+$A$45)^29+'Pipeline Valuation'!$AS$4/(1+$A$45)^30+'Pipeline Valuation'!$AT$4/(1+$A$45)^31+'Pipeline Valuation'!$AU$4/(1+$A$45)^32+'Pipeline Valuation'!$AV$4/(1+$A$45)^33+'Pipeline Valuation'!$AW$4/(1+$A$45)^34+'Pipeline Valuation'!$AX$4/(1+$A$45)^35-SUMPRODUCT('Pipeline Valuation'!$E$6:$E$19,'Pipeline Valuation'!$N$6:$N$19)+'Pipeline Valuation'!$B$4+$M$24+$M$26+$M$27-$M$28-$M$29-$M$30)/$M$32))</f>
        <v/>
      </c>
      <c r="F45" s="23" t="str">
        <f aca="false">IF('Biotech Model'!$B$4&lt;&gt;"READY","",IF(OR($A45&lt;2%,$A45&gt;50%,F$40&gt;10%,$A45&lt;=F$40+0.5%),"",($B$13/(1+$A$45)^1+$C$13/(1+$A$45)^2+$D$13/(1+$A$45)^3+$E$13/(1+$A$45)^4+$F$13/(1+$A$45)^5+$G$13/(1+$A$45)^6+$H$13/(1+$A$45)^7+$I$13/(1+$A$45)^8+$J$13/(1+$A$45)^9+$K$13/(1+$A$45)^10+$K$13*(1+F$40)/($A45-F$40)/(1+$A45)^10+'Pipeline Valuation'!$P$4/(1+$A$45)^1+'Pipeline Valuation'!$Q$4/(1+$A$45)^2+'Pipeline Valuation'!$R$4/(1+$A$45)^3+'Pipeline Valuation'!$S$4/(1+$A$45)^4+'Pipeline Valuation'!$T$4/(1+$A$45)^5+'Pipeline Valuation'!$U$4/(1+$A$45)^6+'Pipeline Valuation'!$V$4/(1+$A$45)^7+'Pipeline Valuation'!$W$4/(1+$A$45)^8+'Pipeline Valuation'!$X$4/(1+$A$45)^9+'Pipeline Valuation'!$Y$4/(1+$A$45)^10+'Pipeline Valuation'!$Z$4/(1+$A$45)^11+'Pipeline Valuation'!$AA$4/(1+$A$45)^12+'Pipeline Valuation'!$AB$4/(1+$A$45)^13+'Pipeline Valuation'!$AC$4/(1+$A$45)^14+'Pipeline Valuation'!$AD$4/(1+$A$45)^15+'Pipeline Valuation'!$AE$4/(1+$A$45)^16+'Pipeline Valuation'!$AF$4/(1+$A$45)^17+'Pipeline Valuation'!$AG$4/(1+$A$45)^18+'Pipeline Valuation'!$AH$4/(1+$A$45)^19+'Pipeline Valuation'!$AI$4/(1+$A$45)^20+'Pipeline Valuation'!$AJ$4/(1+$A$45)^21+'Pipeline Valuation'!$AK$4/(1+$A$45)^22+'Pipeline Valuation'!$AL$4/(1+$A$45)^23+'Pipeline Valuation'!$AM$4/(1+$A$45)^24+'Pipeline Valuation'!$AN$4/(1+$A$45)^25+'Pipeline Valuation'!$AO$4/(1+$A$45)^26+'Pipeline Valuation'!$AP$4/(1+$A$45)^27+'Pipeline Valuation'!$AQ$4/(1+$A$45)^28+'Pipeline Valuation'!$AR$4/(1+$A$45)^29+'Pipeline Valuation'!$AS$4/(1+$A$45)^30+'Pipeline Valuation'!$AT$4/(1+$A$45)^31+'Pipeline Valuation'!$AU$4/(1+$A$45)^32+'Pipeline Valuation'!$AV$4/(1+$A$45)^33+'Pipeline Valuation'!$AW$4/(1+$A$45)^34+'Pipeline Valuation'!$AX$4/(1+$A$45)^35-SUMPRODUCT('Pipeline Valuation'!$E$6:$E$19,'Pipeline Valuation'!$N$6:$N$19)+'Pipeline Valuation'!$B$4+$M$24+$M$26+$M$27-$M$28-$M$29-$M$30)/$M$32))</f>
        <v/>
      </c>
    </row>
  </sheetData>
  <mergeCells count="4">
    <mergeCell ref="A1:O1"/>
    <mergeCell ref="A3:O3"/>
    <mergeCell ref="A5:F5"/>
    <mergeCell ref="A37:O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X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5" ySplit="5" topLeftCell="P6" activePane="bottomRight" state="frozen"/>
      <selection pane="topLeft" activeCell="A1" activeCellId="0" sqref="A1"/>
      <selection pane="topRight" activeCell="P1" activeCellId="0" sqref="P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2" min="1" style="0" width="28"/>
    <col collapsed="false" customWidth="true" hidden="false" outlineLevel="0" max="3" min="3" style="0" width="36"/>
    <col collapsed="false" customWidth="true" hidden="false" outlineLevel="0" max="4" min="4" style="0" width="75"/>
    <col collapsed="false" customWidth="true" hidden="false" outlineLevel="0" max="5" min="5" style="0" width="10"/>
    <col collapsed="false" customWidth="true" hidden="false" outlineLevel="0" max="6" min="6" style="0" width="17"/>
    <col collapsed="false" customWidth="true" hidden="false" outlineLevel="0" max="7" min="7" style="0" width="18"/>
    <col collapsed="false" customWidth="true" hidden="false" outlineLevel="0" max="8" min="8" style="0" width="12"/>
    <col collapsed="false" customWidth="true" hidden="false" outlineLevel="0" max="9" min="9" style="0" width="13"/>
    <col collapsed="false" customWidth="true" hidden="false" outlineLevel="0" max="10" min="10" style="0" width="16"/>
    <col collapsed="false" customWidth="true" hidden="false" outlineLevel="0" max="11" min="11" style="0" width="12"/>
    <col collapsed="false" customWidth="true" hidden="false" outlineLevel="0" max="12" min="12" style="0" width="14"/>
    <col collapsed="false" customWidth="true" hidden="false" outlineLevel="0" max="14" min="13" style="0" width="20"/>
    <col collapsed="false" customWidth="true" hidden="false" outlineLevel="0" max="15" min="15" style="0" width="18"/>
    <col collapsed="false" customWidth="true" hidden="false" outlineLevel="0" max="50" min="16" style="0" width="15"/>
  </cols>
  <sheetData>
    <row r="1" customFormat="false" ht="19.7" hidden="false" customHeight="false" outlineLevel="0" collapsed="false">
      <c r="A1" s="1" t="s">
        <v>51</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customFormat="false" ht="30" hidden="false" customHeight="true" outlineLevel="0" collapsed="false">
      <c r="A2" s="3" t="s">
        <v>52</v>
      </c>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row>
    <row r="3" customFormat="false" ht="15" hidden="false" customHeight="false" outlineLevel="0" collapsed="false">
      <c r="A3" s="0" t="s">
        <v>53</v>
      </c>
      <c r="B3" s="24" t="str">
        <f aca="false">IF('Biotech Model'!$B$4&lt;&gt;"READY","",SUM(O6:O19))</f>
        <v/>
      </c>
      <c r="O3" s="25" t="s">
        <v>25</v>
      </c>
      <c r="P3" s="26" t="str">
        <f aca="false">IF('Biotech Model'!$B$4&lt;&gt;"READY","",1/(1+'Biotech Model'!$M$15)^1)</f>
        <v/>
      </c>
      <c r="Q3" s="26" t="str">
        <f aca="false">IF('Biotech Model'!$B$4&lt;&gt;"READY","",1/(1+'Biotech Model'!$M$15)^2)</f>
        <v/>
      </c>
      <c r="R3" s="26" t="str">
        <f aca="false">IF('Biotech Model'!$B$4&lt;&gt;"READY","",1/(1+'Biotech Model'!$M$15)^3)</f>
        <v/>
      </c>
      <c r="S3" s="26" t="str">
        <f aca="false">IF('Biotech Model'!$B$4&lt;&gt;"READY","",1/(1+'Biotech Model'!$M$15)^4)</f>
        <v/>
      </c>
      <c r="T3" s="26" t="str">
        <f aca="false">IF('Biotech Model'!$B$4&lt;&gt;"READY","",1/(1+'Biotech Model'!$M$15)^5)</f>
        <v/>
      </c>
      <c r="U3" s="26" t="str">
        <f aca="false">IF('Biotech Model'!$B$4&lt;&gt;"READY","",1/(1+'Biotech Model'!$M$15)^6)</f>
        <v/>
      </c>
      <c r="V3" s="26" t="str">
        <f aca="false">IF('Biotech Model'!$B$4&lt;&gt;"READY","",1/(1+'Biotech Model'!$M$15)^7)</f>
        <v/>
      </c>
      <c r="W3" s="26" t="str">
        <f aca="false">IF('Biotech Model'!$B$4&lt;&gt;"READY","",1/(1+'Biotech Model'!$M$15)^8)</f>
        <v/>
      </c>
      <c r="X3" s="26" t="str">
        <f aca="false">IF('Biotech Model'!$B$4&lt;&gt;"READY","",1/(1+'Biotech Model'!$M$15)^9)</f>
        <v/>
      </c>
      <c r="Y3" s="26" t="str">
        <f aca="false">IF('Biotech Model'!$B$4&lt;&gt;"READY","",1/(1+'Biotech Model'!$M$15)^10)</f>
        <v/>
      </c>
      <c r="Z3" s="26" t="str">
        <f aca="false">IF('Biotech Model'!$B$4&lt;&gt;"READY","",1/(1+'Biotech Model'!$M$15)^11)</f>
        <v/>
      </c>
      <c r="AA3" s="26" t="str">
        <f aca="false">IF('Biotech Model'!$B$4&lt;&gt;"READY","",1/(1+'Biotech Model'!$M$15)^12)</f>
        <v/>
      </c>
      <c r="AB3" s="26" t="str">
        <f aca="false">IF('Biotech Model'!$B$4&lt;&gt;"READY","",1/(1+'Biotech Model'!$M$15)^13)</f>
        <v/>
      </c>
      <c r="AC3" s="26" t="str">
        <f aca="false">IF('Biotech Model'!$B$4&lt;&gt;"READY","",1/(1+'Biotech Model'!$M$15)^14)</f>
        <v/>
      </c>
      <c r="AD3" s="26" t="str">
        <f aca="false">IF('Biotech Model'!$B$4&lt;&gt;"READY","",1/(1+'Biotech Model'!$M$15)^15)</f>
        <v/>
      </c>
      <c r="AE3" s="26" t="str">
        <f aca="false">IF('Biotech Model'!$B$4&lt;&gt;"READY","",1/(1+'Biotech Model'!$M$15)^16)</f>
        <v/>
      </c>
      <c r="AF3" s="26" t="str">
        <f aca="false">IF('Biotech Model'!$B$4&lt;&gt;"READY","",1/(1+'Biotech Model'!$M$15)^17)</f>
        <v/>
      </c>
      <c r="AG3" s="26" t="str">
        <f aca="false">IF('Biotech Model'!$B$4&lt;&gt;"READY","",1/(1+'Biotech Model'!$M$15)^18)</f>
        <v/>
      </c>
      <c r="AH3" s="26" t="str">
        <f aca="false">IF('Biotech Model'!$B$4&lt;&gt;"READY","",1/(1+'Biotech Model'!$M$15)^19)</f>
        <v/>
      </c>
      <c r="AI3" s="26" t="str">
        <f aca="false">IF('Biotech Model'!$B$4&lt;&gt;"READY","",1/(1+'Biotech Model'!$M$15)^20)</f>
        <v/>
      </c>
      <c r="AJ3" s="26" t="str">
        <f aca="false">IF('Biotech Model'!$B$4&lt;&gt;"READY","",1/(1+'Biotech Model'!$M$15)^21)</f>
        <v/>
      </c>
      <c r="AK3" s="26" t="str">
        <f aca="false">IF('Biotech Model'!$B$4&lt;&gt;"READY","",1/(1+'Biotech Model'!$M$15)^22)</f>
        <v/>
      </c>
      <c r="AL3" s="26" t="str">
        <f aca="false">IF('Biotech Model'!$B$4&lt;&gt;"READY","",1/(1+'Biotech Model'!$M$15)^23)</f>
        <v/>
      </c>
      <c r="AM3" s="26" t="str">
        <f aca="false">IF('Biotech Model'!$B$4&lt;&gt;"READY","",1/(1+'Biotech Model'!$M$15)^24)</f>
        <v/>
      </c>
      <c r="AN3" s="26" t="str">
        <f aca="false">IF('Biotech Model'!$B$4&lt;&gt;"READY","",1/(1+'Biotech Model'!$M$15)^25)</f>
        <v/>
      </c>
      <c r="AO3" s="26" t="str">
        <f aca="false">IF('Biotech Model'!$B$4&lt;&gt;"READY","",1/(1+'Biotech Model'!$M$15)^26)</f>
        <v/>
      </c>
      <c r="AP3" s="26" t="str">
        <f aca="false">IF('Biotech Model'!$B$4&lt;&gt;"READY","",1/(1+'Biotech Model'!$M$15)^27)</f>
        <v/>
      </c>
      <c r="AQ3" s="26" t="str">
        <f aca="false">IF('Biotech Model'!$B$4&lt;&gt;"READY","",1/(1+'Biotech Model'!$M$15)^28)</f>
        <v/>
      </c>
      <c r="AR3" s="26" t="str">
        <f aca="false">IF('Biotech Model'!$B$4&lt;&gt;"READY","",1/(1+'Biotech Model'!$M$15)^29)</f>
        <v/>
      </c>
      <c r="AS3" s="26" t="str">
        <f aca="false">IF('Biotech Model'!$B$4&lt;&gt;"READY","",1/(1+'Biotech Model'!$M$15)^30)</f>
        <v/>
      </c>
      <c r="AT3" s="26" t="str">
        <f aca="false">IF('Biotech Model'!$B$4&lt;&gt;"READY","",1/(1+'Biotech Model'!$M$15)^31)</f>
        <v/>
      </c>
      <c r="AU3" s="26" t="str">
        <f aca="false">IF('Biotech Model'!$B$4&lt;&gt;"READY","",1/(1+'Biotech Model'!$M$15)^32)</f>
        <v/>
      </c>
      <c r="AV3" s="26" t="str">
        <f aca="false">IF('Biotech Model'!$B$4&lt;&gt;"READY","",1/(1+'Biotech Model'!$M$15)^33)</f>
        <v/>
      </c>
      <c r="AW3" s="26" t="str">
        <f aca="false">IF('Biotech Model'!$B$4&lt;&gt;"READY","",1/(1+'Biotech Model'!$M$15)^34)</f>
        <v/>
      </c>
      <c r="AX3" s="26" t="str">
        <f aca="false">IF('Biotech Model'!$B$4&lt;&gt;"READY","",1/(1+'Biotech Model'!$M$15)^35)</f>
        <v/>
      </c>
    </row>
    <row r="4" customFormat="false" ht="15" hidden="false" customHeight="false" outlineLevel="0" collapsed="false">
      <c r="A4" s="0" t="s">
        <v>35</v>
      </c>
      <c r="B4" s="24" t="str">
        <f aca="false">IF('Biotech Model'!$B$4&lt;&gt;"READY","",SUM(G24:G41))</f>
        <v/>
      </c>
      <c r="O4" s="25" t="s">
        <v>54</v>
      </c>
      <c r="P4" s="27" t="str">
        <f aca="false">IF('Biotech Model'!$B$4&lt;&gt;"READY","",SUM(P6:P19))</f>
        <v/>
      </c>
      <c r="Q4" s="27" t="str">
        <f aca="false">IF('Biotech Model'!$B$4&lt;&gt;"READY","",SUM(Q6:Q19))</f>
        <v/>
      </c>
      <c r="R4" s="27" t="str">
        <f aca="false">IF('Biotech Model'!$B$4&lt;&gt;"READY","",SUM(R6:R19))</f>
        <v/>
      </c>
      <c r="S4" s="27" t="str">
        <f aca="false">IF('Biotech Model'!$B$4&lt;&gt;"READY","",SUM(S6:S19))</f>
        <v/>
      </c>
      <c r="T4" s="27" t="str">
        <f aca="false">IF('Biotech Model'!$B$4&lt;&gt;"READY","",SUM(T6:T19))</f>
        <v/>
      </c>
      <c r="U4" s="27" t="str">
        <f aca="false">IF('Biotech Model'!$B$4&lt;&gt;"READY","",SUM(U6:U19))</f>
        <v/>
      </c>
      <c r="V4" s="27" t="str">
        <f aca="false">IF('Biotech Model'!$B$4&lt;&gt;"READY","",SUM(V6:V19))</f>
        <v/>
      </c>
      <c r="W4" s="27" t="str">
        <f aca="false">IF('Biotech Model'!$B$4&lt;&gt;"READY","",SUM(W6:W19))</f>
        <v/>
      </c>
      <c r="X4" s="27" t="str">
        <f aca="false">IF('Biotech Model'!$B$4&lt;&gt;"READY","",SUM(X6:X19))</f>
        <v/>
      </c>
      <c r="Y4" s="27" t="str">
        <f aca="false">IF('Biotech Model'!$B$4&lt;&gt;"READY","",SUM(Y6:Y19))</f>
        <v/>
      </c>
      <c r="Z4" s="27" t="str">
        <f aca="false">IF('Biotech Model'!$B$4&lt;&gt;"READY","",SUM(Z6:Z19))</f>
        <v/>
      </c>
      <c r="AA4" s="27" t="str">
        <f aca="false">IF('Biotech Model'!$B$4&lt;&gt;"READY","",SUM(AA6:AA19))</f>
        <v/>
      </c>
      <c r="AB4" s="27" t="str">
        <f aca="false">IF('Biotech Model'!$B$4&lt;&gt;"READY","",SUM(AB6:AB19))</f>
        <v/>
      </c>
      <c r="AC4" s="27" t="str">
        <f aca="false">IF('Biotech Model'!$B$4&lt;&gt;"READY","",SUM(AC6:AC19))</f>
        <v/>
      </c>
      <c r="AD4" s="27" t="str">
        <f aca="false">IF('Biotech Model'!$B$4&lt;&gt;"READY","",SUM(AD6:AD19))</f>
        <v/>
      </c>
      <c r="AE4" s="27" t="str">
        <f aca="false">IF('Biotech Model'!$B$4&lt;&gt;"READY","",SUM(AE6:AE19))</f>
        <v/>
      </c>
      <c r="AF4" s="27" t="str">
        <f aca="false">IF('Biotech Model'!$B$4&lt;&gt;"READY","",SUM(AF6:AF19))</f>
        <v/>
      </c>
      <c r="AG4" s="27" t="str">
        <f aca="false">IF('Biotech Model'!$B$4&lt;&gt;"READY","",SUM(AG6:AG19))</f>
        <v/>
      </c>
      <c r="AH4" s="27" t="str">
        <f aca="false">IF('Biotech Model'!$B$4&lt;&gt;"READY","",SUM(AH6:AH19))</f>
        <v/>
      </c>
      <c r="AI4" s="27" t="str">
        <f aca="false">IF('Biotech Model'!$B$4&lt;&gt;"READY","",SUM(AI6:AI19))</f>
        <v/>
      </c>
      <c r="AJ4" s="27" t="str">
        <f aca="false">IF('Biotech Model'!$B$4&lt;&gt;"READY","",SUM(AJ6:AJ19))</f>
        <v/>
      </c>
      <c r="AK4" s="27" t="str">
        <f aca="false">IF('Biotech Model'!$B$4&lt;&gt;"READY","",SUM(AK6:AK19))</f>
        <v/>
      </c>
      <c r="AL4" s="27" t="str">
        <f aca="false">IF('Biotech Model'!$B$4&lt;&gt;"READY","",SUM(AL6:AL19))</f>
        <v/>
      </c>
      <c r="AM4" s="27" t="str">
        <f aca="false">IF('Biotech Model'!$B$4&lt;&gt;"READY","",SUM(AM6:AM19))</f>
        <v/>
      </c>
      <c r="AN4" s="27" t="str">
        <f aca="false">IF('Biotech Model'!$B$4&lt;&gt;"READY","",SUM(AN6:AN19))</f>
        <v/>
      </c>
      <c r="AO4" s="27" t="str">
        <f aca="false">IF('Biotech Model'!$B$4&lt;&gt;"READY","",SUM(AO6:AO19))</f>
        <v/>
      </c>
      <c r="AP4" s="27" t="str">
        <f aca="false">IF('Biotech Model'!$B$4&lt;&gt;"READY","",SUM(AP6:AP19))</f>
        <v/>
      </c>
      <c r="AQ4" s="27" t="str">
        <f aca="false">IF('Biotech Model'!$B$4&lt;&gt;"READY","",SUM(AQ6:AQ19))</f>
        <v/>
      </c>
      <c r="AR4" s="27" t="str">
        <f aca="false">IF('Biotech Model'!$B$4&lt;&gt;"READY","",SUM(AR6:AR19))</f>
        <v/>
      </c>
      <c r="AS4" s="27" t="str">
        <f aca="false">IF('Biotech Model'!$B$4&lt;&gt;"READY","",SUM(AS6:AS19))</f>
        <v/>
      </c>
      <c r="AT4" s="27" t="str">
        <f aca="false">IF('Biotech Model'!$B$4&lt;&gt;"READY","",SUM(AT6:AT19))</f>
        <v/>
      </c>
      <c r="AU4" s="27" t="str">
        <f aca="false">IF('Biotech Model'!$B$4&lt;&gt;"READY","",SUM(AU6:AU19))</f>
        <v/>
      </c>
      <c r="AV4" s="27" t="str">
        <f aca="false">IF('Biotech Model'!$B$4&lt;&gt;"READY","",SUM(AV6:AV19))</f>
        <v/>
      </c>
      <c r="AW4" s="27" t="str">
        <f aca="false">IF('Biotech Model'!$B$4&lt;&gt;"READY","",SUM(AW6:AW19))</f>
        <v/>
      </c>
      <c r="AX4" s="27" t="str">
        <f aca="false">IF('Biotech Model'!$B$4&lt;&gt;"READY","",SUM(AX6:AX19))</f>
        <v/>
      </c>
    </row>
    <row r="5" customFormat="false" ht="43.5" hidden="false" customHeight="true" outlineLevel="0" collapsed="false">
      <c r="A5" s="28" t="s">
        <v>55</v>
      </c>
      <c r="B5" s="28" t="s">
        <v>56</v>
      </c>
      <c r="C5" s="28" t="s">
        <v>57</v>
      </c>
      <c r="D5" s="28" t="s">
        <v>58</v>
      </c>
      <c r="E5" s="28" t="s">
        <v>59</v>
      </c>
      <c r="F5" s="28" t="s">
        <v>60</v>
      </c>
      <c r="G5" s="28" t="s">
        <v>61</v>
      </c>
      <c r="H5" s="28" t="s">
        <v>62</v>
      </c>
      <c r="I5" s="28" t="s">
        <v>63</v>
      </c>
      <c r="J5" s="28" t="s">
        <v>64</v>
      </c>
      <c r="K5" s="28" t="s">
        <v>65</v>
      </c>
      <c r="L5" s="28" t="s">
        <v>66</v>
      </c>
      <c r="M5" s="28" t="s">
        <v>67</v>
      </c>
      <c r="N5" s="28" t="s">
        <v>68</v>
      </c>
      <c r="O5" s="28" t="s">
        <v>69</v>
      </c>
      <c r="P5" s="29" t="n">
        <v>2026</v>
      </c>
      <c r="Q5" s="29" t="n">
        <v>2027</v>
      </c>
      <c r="R5" s="29" t="n">
        <v>2028</v>
      </c>
      <c r="S5" s="29" t="n">
        <v>2029</v>
      </c>
      <c r="T5" s="29" t="n">
        <v>2030</v>
      </c>
      <c r="U5" s="29" t="n">
        <v>2031</v>
      </c>
      <c r="V5" s="29" t="n">
        <v>2032</v>
      </c>
      <c r="W5" s="29" t="n">
        <v>2033</v>
      </c>
      <c r="X5" s="29" t="n">
        <v>2034</v>
      </c>
      <c r="Y5" s="29" t="n">
        <v>2035</v>
      </c>
      <c r="Z5" s="29" t="n">
        <v>2036</v>
      </c>
      <c r="AA5" s="29" t="n">
        <v>2037</v>
      </c>
      <c r="AB5" s="29" t="n">
        <v>2038</v>
      </c>
      <c r="AC5" s="29" t="n">
        <v>2039</v>
      </c>
      <c r="AD5" s="29" t="n">
        <v>2040</v>
      </c>
      <c r="AE5" s="29" t="n">
        <v>2041</v>
      </c>
      <c r="AF5" s="29" t="n">
        <v>2042</v>
      </c>
      <c r="AG5" s="29" t="n">
        <v>2043</v>
      </c>
      <c r="AH5" s="29" t="n">
        <v>2044</v>
      </c>
      <c r="AI5" s="29" t="n">
        <v>2045</v>
      </c>
      <c r="AJ5" s="29" t="n">
        <v>2046</v>
      </c>
      <c r="AK5" s="29" t="n">
        <v>2047</v>
      </c>
      <c r="AL5" s="29" t="n">
        <v>2048</v>
      </c>
      <c r="AM5" s="29" t="n">
        <v>2049</v>
      </c>
      <c r="AN5" s="29" t="n">
        <v>2050</v>
      </c>
      <c r="AO5" s="29" t="n">
        <v>2051</v>
      </c>
      <c r="AP5" s="29" t="n">
        <v>2052</v>
      </c>
      <c r="AQ5" s="29" t="n">
        <v>2053</v>
      </c>
      <c r="AR5" s="29" t="n">
        <v>2054</v>
      </c>
      <c r="AS5" s="29" t="n">
        <v>2055</v>
      </c>
      <c r="AT5" s="29" t="n">
        <v>2056</v>
      </c>
      <c r="AU5" s="29" t="n">
        <v>2057</v>
      </c>
      <c r="AV5" s="29" t="n">
        <v>2058</v>
      </c>
      <c r="AW5" s="29" t="n">
        <v>2059</v>
      </c>
      <c r="AX5" s="29" t="n">
        <v>2060</v>
      </c>
    </row>
    <row r="6" customFormat="false" ht="69.75" hidden="false" customHeight="true" outlineLevel="0" collapsed="false">
      <c r="A6" s="30" t="s">
        <v>70</v>
      </c>
      <c r="B6" s="31" t="s">
        <v>70</v>
      </c>
      <c r="C6" s="31" t="s">
        <v>71</v>
      </c>
      <c r="D6" s="31" t="s">
        <v>72</v>
      </c>
      <c r="E6" s="32" t="str">
        <f aca="false">IF('Input Required'!$B$3&lt;&gt;"READY","",'Input Required'!F17/1)</f>
        <v/>
      </c>
      <c r="F6" s="32" t="str">
        <f aca="false">IF('Input Required'!$B$3&lt;&gt;"READY","",'Input Required'!F18/1)</f>
        <v/>
      </c>
      <c r="G6" s="33" t="str">
        <f aca="false">IF('Input Required'!$B$3&lt;&gt;"READY","",'Input Required'!F19/1000000)</f>
        <v/>
      </c>
      <c r="H6" s="32" t="str">
        <f aca="false">IF('Input Required'!$B$3&lt;&gt;"READY","",'Input Required'!F20/1)</f>
        <v/>
      </c>
      <c r="I6" s="32" t="str">
        <f aca="false">IF('Input Required'!$B$3&lt;&gt;"READY","",'Input Required'!F21/1)</f>
        <v/>
      </c>
      <c r="J6" s="34" t="str">
        <f aca="false">IF('Input Required'!$B$3&lt;&gt;"READY","",'Input Required'!F22/1)</f>
        <v/>
      </c>
      <c r="K6" s="34" t="str">
        <f aca="false">IF('Input Required'!$B$3&lt;&gt;"READY","",'Input Required'!F23/1)</f>
        <v/>
      </c>
      <c r="L6" s="34" t="str">
        <f aca="false">IF('Input Required'!$B$3&lt;&gt;"READY","",'Input Required'!F24/1)</f>
        <v/>
      </c>
      <c r="M6" s="34" t="str">
        <f aca="false">IF('Input Required'!$B$3&lt;&gt;"READY","",'Input Required'!F25/1)</f>
        <v/>
      </c>
      <c r="N6" s="33" t="str">
        <f aca="false">IF('Input Required'!$B$3&lt;&gt;"READY","",'Input Required'!F26/1000000)</f>
        <v/>
      </c>
      <c r="O6" s="35" t="str">
        <f aca="false">IF('Biotech Model'!$B$4&lt;&gt;"READY","",SUMPRODUCT(P6:AX6,$P$3:$AX$3)-E6*N6)</f>
        <v/>
      </c>
      <c r="P6" s="36" t="str">
        <f aca="false">IF('Biotech Model'!$B$4&lt;&gt;"READY","",IF(E6=0,0,IF(P$5&lt;F6,0,G6*MIN(1,(P$5-F6+1)/H6)*IF(P$5&lt;=I6,1,(1-J6)^(P$5-I6)))*K6*L6*M6))</f>
        <v/>
      </c>
      <c r="Q6" s="36" t="str">
        <f aca="false">IF('Biotech Model'!$B$4&lt;&gt;"READY","",IF(E6=0,0,IF(Q$5&lt;F6,0,G6*MIN(1,(Q$5-F6+1)/H6)*IF(Q$5&lt;=I6,1,(1-J6)^(Q$5-I6)))*K6*L6*M6))</f>
        <v/>
      </c>
      <c r="R6" s="36" t="str">
        <f aca="false">IF('Biotech Model'!$B$4&lt;&gt;"READY","",IF(E6=0,0,IF(R$5&lt;F6,0,G6*MIN(1,(R$5-F6+1)/H6)*IF(R$5&lt;=I6,1,(1-J6)^(R$5-I6)))*K6*L6*M6))</f>
        <v/>
      </c>
      <c r="S6" s="36" t="str">
        <f aca="false">IF('Biotech Model'!$B$4&lt;&gt;"READY","",IF(E6=0,0,IF(S$5&lt;F6,0,G6*MIN(1,(S$5-F6+1)/H6)*IF(S$5&lt;=I6,1,(1-J6)^(S$5-I6)))*K6*L6*M6))</f>
        <v/>
      </c>
      <c r="T6" s="36" t="str">
        <f aca="false">IF('Biotech Model'!$B$4&lt;&gt;"READY","",IF(E6=0,0,IF(T$5&lt;F6,0,G6*MIN(1,(T$5-F6+1)/H6)*IF(T$5&lt;=I6,1,(1-J6)^(T$5-I6)))*K6*L6*M6))</f>
        <v/>
      </c>
      <c r="U6" s="36" t="str">
        <f aca="false">IF('Biotech Model'!$B$4&lt;&gt;"READY","",IF(E6=0,0,IF(U$5&lt;F6,0,G6*MIN(1,(U$5-F6+1)/H6)*IF(U$5&lt;=I6,1,(1-J6)^(U$5-I6)))*K6*L6*M6))</f>
        <v/>
      </c>
      <c r="V6" s="36" t="str">
        <f aca="false">IF('Biotech Model'!$B$4&lt;&gt;"READY","",IF(E6=0,0,IF(V$5&lt;F6,0,G6*MIN(1,(V$5-F6+1)/H6)*IF(V$5&lt;=I6,1,(1-J6)^(V$5-I6)))*K6*L6*M6))</f>
        <v/>
      </c>
      <c r="W6" s="36" t="str">
        <f aca="false">IF('Biotech Model'!$B$4&lt;&gt;"READY","",IF(E6=0,0,IF(W$5&lt;F6,0,G6*MIN(1,(W$5-F6+1)/H6)*IF(W$5&lt;=I6,1,(1-J6)^(W$5-I6)))*K6*L6*M6))</f>
        <v/>
      </c>
      <c r="X6" s="36" t="str">
        <f aca="false">IF('Biotech Model'!$B$4&lt;&gt;"READY","",IF(E6=0,0,IF(X$5&lt;F6,0,G6*MIN(1,(X$5-F6+1)/H6)*IF(X$5&lt;=I6,1,(1-J6)^(X$5-I6)))*K6*L6*M6))</f>
        <v/>
      </c>
      <c r="Y6" s="36" t="str">
        <f aca="false">IF('Biotech Model'!$B$4&lt;&gt;"READY","",IF(E6=0,0,IF(Y$5&lt;F6,0,G6*MIN(1,(Y$5-F6+1)/H6)*IF(Y$5&lt;=I6,1,(1-J6)^(Y$5-I6)))*K6*L6*M6))</f>
        <v/>
      </c>
      <c r="Z6" s="36" t="str">
        <f aca="false">IF('Biotech Model'!$B$4&lt;&gt;"READY","",IF(E6=0,0,IF(Z$5&lt;F6,0,G6*MIN(1,(Z$5-F6+1)/H6)*IF(Z$5&lt;=I6,1,(1-J6)^(Z$5-I6)))*K6*L6*M6))</f>
        <v/>
      </c>
      <c r="AA6" s="36" t="str">
        <f aca="false">IF('Biotech Model'!$B$4&lt;&gt;"READY","",IF(E6=0,0,IF(AA$5&lt;F6,0,G6*MIN(1,(AA$5-F6+1)/H6)*IF(AA$5&lt;=I6,1,(1-J6)^(AA$5-I6)))*K6*L6*M6))</f>
        <v/>
      </c>
      <c r="AB6" s="36" t="str">
        <f aca="false">IF('Biotech Model'!$B$4&lt;&gt;"READY","",IF(E6=0,0,IF(AB$5&lt;F6,0,G6*MIN(1,(AB$5-F6+1)/H6)*IF(AB$5&lt;=I6,1,(1-J6)^(AB$5-I6)))*K6*L6*M6))</f>
        <v/>
      </c>
      <c r="AC6" s="36" t="str">
        <f aca="false">IF('Biotech Model'!$B$4&lt;&gt;"READY","",IF(E6=0,0,IF(AC$5&lt;F6,0,G6*MIN(1,(AC$5-F6+1)/H6)*IF(AC$5&lt;=I6,1,(1-J6)^(AC$5-I6)))*K6*L6*M6))</f>
        <v/>
      </c>
      <c r="AD6" s="36" t="str">
        <f aca="false">IF('Biotech Model'!$B$4&lt;&gt;"READY","",IF(E6=0,0,IF(AD$5&lt;F6,0,G6*MIN(1,(AD$5-F6+1)/H6)*IF(AD$5&lt;=I6,1,(1-J6)^(AD$5-I6)))*K6*L6*M6))</f>
        <v/>
      </c>
      <c r="AE6" s="36" t="str">
        <f aca="false">IF('Biotech Model'!$B$4&lt;&gt;"READY","",IF(E6=0,0,IF(AE$5&lt;F6,0,G6*MIN(1,(AE$5-F6+1)/H6)*IF(AE$5&lt;=I6,1,(1-J6)^(AE$5-I6)))*K6*L6*M6))</f>
        <v/>
      </c>
      <c r="AF6" s="36" t="str">
        <f aca="false">IF('Biotech Model'!$B$4&lt;&gt;"READY","",IF(E6=0,0,IF(AF$5&lt;F6,0,G6*MIN(1,(AF$5-F6+1)/H6)*IF(AF$5&lt;=I6,1,(1-J6)^(AF$5-I6)))*K6*L6*M6))</f>
        <v/>
      </c>
      <c r="AG6" s="36" t="str">
        <f aca="false">IF('Biotech Model'!$B$4&lt;&gt;"READY","",IF(E6=0,0,IF(AG$5&lt;F6,0,G6*MIN(1,(AG$5-F6+1)/H6)*IF(AG$5&lt;=I6,1,(1-J6)^(AG$5-I6)))*K6*L6*M6))</f>
        <v/>
      </c>
      <c r="AH6" s="36" t="str">
        <f aca="false">IF('Biotech Model'!$B$4&lt;&gt;"READY","",IF(E6=0,0,IF(AH$5&lt;F6,0,G6*MIN(1,(AH$5-F6+1)/H6)*IF(AH$5&lt;=I6,1,(1-J6)^(AH$5-I6)))*K6*L6*M6))</f>
        <v/>
      </c>
      <c r="AI6" s="36" t="str">
        <f aca="false">IF('Biotech Model'!$B$4&lt;&gt;"READY","",IF(E6=0,0,IF(AI$5&lt;F6,0,G6*MIN(1,(AI$5-F6+1)/H6)*IF(AI$5&lt;=I6,1,(1-J6)^(AI$5-I6)))*K6*L6*M6))</f>
        <v/>
      </c>
      <c r="AJ6" s="36" t="str">
        <f aca="false">IF('Biotech Model'!$B$4&lt;&gt;"READY","",IF(E6=0,0,IF(AJ$5&lt;F6,0,G6*MIN(1,(AJ$5-F6+1)/H6)*IF(AJ$5&lt;=I6,1,(1-J6)^(AJ$5-I6)))*K6*L6*M6))</f>
        <v/>
      </c>
      <c r="AK6" s="36" t="str">
        <f aca="false">IF('Biotech Model'!$B$4&lt;&gt;"READY","",IF(E6=0,0,IF(AK$5&lt;F6,0,G6*MIN(1,(AK$5-F6+1)/H6)*IF(AK$5&lt;=I6,1,(1-J6)^(AK$5-I6)))*K6*L6*M6))</f>
        <v/>
      </c>
      <c r="AL6" s="36" t="str">
        <f aca="false">IF('Biotech Model'!$B$4&lt;&gt;"READY","",IF(E6=0,0,IF(AL$5&lt;F6,0,G6*MIN(1,(AL$5-F6+1)/H6)*IF(AL$5&lt;=I6,1,(1-J6)^(AL$5-I6)))*K6*L6*M6))</f>
        <v/>
      </c>
      <c r="AM6" s="36" t="str">
        <f aca="false">IF('Biotech Model'!$B$4&lt;&gt;"READY","",IF(E6=0,0,IF(AM$5&lt;F6,0,G6*MIN(1,(AM$5-F6+1)/H6)*IF(AM$5&lt;=I6,1,(1-J6)^(AM$5-I6)))*K6*L6*M6))</f>
        <v/>
      </c>
      <c r="AN6" s="36" t="str">
        <f aca="false">IF('Biotech Model'!$B$4&lt;&gt;"READY","",IF(E6=0,0,IF(AN$5&lt;F6,0,G6*MIN(1,(AN$5-F6+1)/H6)*IF(AN$5&lt;=I6,1,(1-J6)^(AN$5-I6)))*K6*L6*M6))</f>
        <v/>
      </c>
      <c r="AO6" s="36" t="str">
        <f aca="false">IF('Biotech Model'!$B$4&lt;&gt;"READY","",IF(E6=0,0,IF(AO$5&lt;F6,0,G6*MIN(1,(AO$5-F6+1)/H6)*IF(AO$5&lt;=I6,1,(1-J6)^(AO$5-I6)))*K6*L6*M6))</f>
        <v/>
      </c>
      <c r="AP6" s="36" t="str">
        <f aca="false">IF('Biotech Model'!$B$4&lt;&gt;"READY","",IF(E6=0,0,IF(AP$5&lt;F6,0,G6*MIN(1,(AP$5-F6+1)/H6)*IF(AP$5&lt;=I6,1,(1-J6)^(AP$5-I6)))*K6*L6*M6))</f>
        <v/>
      </c>
      <c r="AQ6" s="36" t="str">
        <f aca="false">IF('Biotech Model'!$B$4&lt;&gt;"READY","",IF(E6=0,0,IF(AQ$5&lt;F6,0,G6*MIN(1,(AQ$5-F6+1)/H6)*IF(AQ$5&lt;=I6,1,(1-J6)^(AQ$5-I6)))*K6*L6*M6))</f>
        <v/>
      </c>
      <c r="AR6" s="36" t="str">
        <f aca="false">IF('Biotech Model'!$B$4&lt;&gt;"READY","",IF(E6=0,0,IF(AR$5&lt;F6,0,G6*MIN(1,(AR$5-F6+1)/H6)*IF(AR$5&lt;=I6,1,(1-J6)^(AR$5-I6)))*K6*L6*M6))</f>
        <v/>
      </c>
      <c r="AS6" s="36" t="str">
        <f aca="false">IF('Biotech Model'!$B$4&lt;&gt;"READY","",IF(E6=0,0,IF(AS$5&lt;F6,0,G6*MIN(1,(AS$5-F6+1)/H6)*IF(AS$5&lt;=I6,1,(1-J6)^(AS$5-I6)))*K6*L6*M6))</f>
        <v/>
      </c>
      <c r="AT6" s="36" t="str">
        <f aca="false">IF('Biotech Model'!$B$4&lt;&gt;"READY","",IF(E6=0,0,IF(AT$5&lt;F6,0,G6*MIN(1,(AT$5-F6+1)/H6)*IF(AT$5&lt;=I6,1,(1-J6)^(AT$5-I6)))*K6*L6*M6))</f>
        <v/>
      </c>
      <c r="AU6" s="36" t="str">
        <f aca="false">IF('Biotech Model'!$B$4&lt;&gt;"READY","",IF(E6=0,0,IF(AU$5&lt;F6,0,G6*MIN(1,(AU$5-F6+1)/H6)*IF(AU$5&lt;=I6,1,(1-J6)^(AU$5-I6)))*K6*L6*M6))</f>
        <v/>
      </c>
      <c r="AV6" s="36" t="str">
        <f aca="false">IF('Biotech Model'!$B$4&lt;&gt;"READY","",IF(E6=0,0,IF(AV$5&lt;F6,0,G6*MIN(1,(AV$5-F6+1)/H6)*IF(AV$5&lt;=I6,1,(1-J6)^(AV$5-I6)))*K6*L6*M6))</f>
        <v/>
      </c>
      <c r="AW6" s="36" t="str">
        <f aca="false">IF('Biotech Model'!$B$4&lt;&gt;"READY","",IF(E6=0,0,IF(AW$5&lt;F6,0,G6*MIN(1,(AW$5-F6+1)/H6)*IF(AW$5&lt;=I6,1,(1-J6)^(AW$5-I6)))*K6*L6*M6))</f>
        <v/>
      </c>
      <c r="AX6" s="36" t="str">
        <f aca="false">IF('Biotech Model'!$B$4&lt;&gt;"READY","",IF(E6=0,0,IF(AX$5&lt;F6,0,G6*MIN(1,(AX$5-F6+1)/H6)*IF(AX$5&lt;=I6,1,(1-J6)^(AX$5-I6)))*K6*L6*M6))</f>
        <v/>
      </c>
    </row>
    <row r="7" customFormat="false" ht="69.75" hidden="false" customHeight="true" outlineLevel="0" collapsed="false">
      <c r="A7" s="30" t="s">
        <v>73</v>
      </c>
      <c r="B7" s="31" t="s">
        <v>73</v>
      </c>
      <c r="C7" s="31" t="s">
        <v>74</v>
      </c>
      <c r="D7" s="31" t="s">
        <v>75</v>
      </c>
      <c r="E7" s="32" t="str">
        <f aca="false">IF('Input Required'!$B$3&lt;&gt;"READY","",'Input Required'!F27/1)</f>
        <v/>
      </c>
      <c r="F7" s="32" t="str">
        <f aca="false">IF('Input Required'!$B$3&lt;&gt;"READY","",'Input Required'!F28/1)</f>
        <v/>
      </c>
      <c r="G7" s="33" t="str">
        <f aca="false">IF('Input Required'!$B$3&lt;&gt;"READY","",'Input Required'!F29/1000000)</f>
        <v/>
      </c>
      <c r="H7" s="32" t="str">
        <f aca="false">IF('Input Required'!$B$3&lt;&gt;"READY","",'Input Required'!F30/1)</f>
        <v/>
      </c>
      <c r="I7" s="32" t="str">
        <f aca="false">IF('Input Required'!$B$3&lt;&gt;"READY","",'Input Required'!F31/1)</f>
        <v/>
      </c>
      <c r="J7" s="34" t="str">
        <f aca="false">IF('Input Required'!$B$3&lt;&gt;"READY","",'Input Required'!F32/1)</f>
        <v/>
      </c>
      <c r="K7" s="34" t="str">
        <f aca="false">IF('Input Required'!$B$3&lt;&gt;"READY","",'Input Required'!F33/1)</f>
        <v/>
      </c>
      <c r="L7" s="34" t="str">
        <f aca="false">IF('Input Required'!$B$3&lt;&gt;"READY","",'Input Required'!F34/1)</f>
        <v/>
      </c>
      <c r="M7" s="34" t="str">
        <f aca="false">IF('Input Required'!$B$3&lt;&gt;"READY","",'Input Required'!F35/1)</f>
        <v/>
      </c>
      <c r="N7" s="33" t="str">
        <f aca="false">IF('Input Required'!$B$3&lt;&gt;"READY","",'Input Required'!F36/1000000)</f>
        <v/>
      </c>
      <c r="O7" s="35" t="str">
        <f aca="false">IF('Biotech Model'!$B$4&lt;&gt;"READY","",SUMPRODUCT(P7:AX7,$P$3:$AX$3)-E7*N7)</f>
        <v/>
      </c>
      <c r="P7" s="36" t="str">
        <f aca="false">IF('Biotech Model'!$B$4&lt;&gt;"READY","",IF(E7=0,0,IF(P$5&lt;F7,0,G7*MIN(1,(P$5-F7+1)/H7)*IF(P$5&lt;=I7,1,(1-J7)^(P$5-I7)))*K7*L7*M7))</f>
        <v/>
      </c>
      <c r="Q7" s="36" t="str">
        <f aca="false">IF('Biotech Model'!$B$4&lt;&gt;"READY","",IF(E7=0,0,IF(Q$5&lt;F7,0,G7*MIN(1,(Q$5-F7+1)/H7)*IF(Q$5&lt;=I7,1,(1-J7)^(Q$5-I7)))*K7*L7*M7))</f>
        <v/>
      </c>
      <c r="R7" s="36" t="str">
        <f aca="false">IF('Biotech Model'!$B$4&lt;&gt;"READY","",IF(E7=0,0,IF(R$5&lt;F7,0,G7*MIN(1,(R$5-F7+1)/H7)*IF(R$5&lt;=I7,1,(1-J7)^(R$5-I7)))*K7*L7*M7))</f>
        <v/>
      </c>
      <c r="S7" s="36" t="str">
        <f aca="false">IF('Biotech Model'!$B$4&lt;&gt;"READY","",IF(E7=0,0,IF(S$5&lt;F7,0,G7*MIN(1,(S$5-F7+1)/H7)*IF(S$5&lt;=I7,1,(1-J7)^(S$5-I7)))*K7*L7*M7))</f>
        <v/>
      </c>
      <c r="T7" s="36" t="str">
        <f aca="false">IF('Biotech Model'!$B$4&lt;&gt;"READY","",IF(E7=0,0,IF(T$5&lt;F7,0,G7*MIN(1,(T$5-F7+1)/H7)*IF(T$5&lt;=I7,1,(1-J7)^(T$5-I7)))*K7*L7*M7))</f>
        <v/>
      </c>
      <c r="U7" s="36" t="str">
        <f aca="false">IF('Biotech Model'!$B$4&lt;&gt;"READY","",IF(E7=0,0,IF(U$5&lt;F7,0,G7*MIN(1,(U$5-F7+1)/H7)*IF(U$5&lt;=I7,1,(1-J7)^(U$5-I7)))*K7*L7*M7))</f>
        <v/>
      </c>
      <c r="V7" s="36" t="str">
        <f aca="false">IF('Biotech Model'!$B$4&lt;&gt;"READY","",IF(E7=0,0,IF(V$5&lt;F7,0,G7*MIN(1,(V$5-F7+1)/H7)*IF(V$5&lt;=I7,1,(1-J7)^(V$5-I7)))*K7*L7*M7))</f>
        <v/>
      </c>
      <c r="W7" s="36" t="str">
        <f aca="false">IF('Biotech Model'!$B$4&lt;&gt;"READY","",IF(E7=0,0,IF(W$5&lt;F7,0,G7*MIN(1,(W$5-F7+1)/H7)*IF(W$5&lt;=I7,1,(1-J7)^(W$5-I7)))*K7*L7*M7))</f>
        <v/>
      </c>
      <c r="X7" s="36" t="str">
        <f aca="false">IF('Biotech Model'!$B$4&lt;&gt;"READY","",IF(E7=0,0,IF(X$5&lt;F7,0,G7*MIN(1,(X$5-F7+1)/H7)*IF(X$5&lt;=I7,1,(1-J7)^(X$5-I7)))*K7*L7*M7))</f>
        <v/>
      </c>
      <c r="Y7" s="36" t="str">
        <f aca="false">IF('Biotech Model'!$B$4&lt;&gt;"READY","",IF(E7=0,0,IF(Y$5&lt;F7,0,G7*MIN(1,(Y$5-F7+1)/H7)*IF(Y$5&lt;=I7,1,(1-J7)^(Y$5-I7)))*K7*L7*M7))</f>
        <v/>
      </c>
      <c r="Z7" s="36" t="str">
        <f aca="false">IF('Biotech Model'!$B$4&lt;&gt;"READY","",IF(E7=0,0,IF(Z$5&lt;F7,0,G7*MIN(1,(Z$5-F7+1)/H7)*IF(Z$5&lt;=I7,1,(1-J7)^(Z$5-I7)))*K7*L7*M7))</f>
        <v/>
      </c>
      <c r="AA7" s="36" t="str">
        <f aca="false">IF('Biotech Model'!$B$4&lt;&gt;"READY","",IF(E7=0,0,IF(AA$5&lt;F7,0,G7*MIN(1,(AA$5-F7+1)/H7)*IF(AA$5&lt;=I7,1,(1-J7)^(AA$5-I7)))*K7*L7*M7))</f>
        <v/>
      </c>
      <c r="AB7" s="36" t="str">
        <f aca="false">IF('Biotech Model'!$B$4&lt;&gt;"READY","",IF(E7=0,0,IF(AB$5&lt;F7,0,G7*MIN(1,(AB$5-F7+1)/H7)*IF(AB$5&lt;=I7,1,(1-J7)^(AB$5-I7)))*K7*L7*M7))</f>
        <v/>
      </c>
      <c r="AC7" s="36" t="str">
        <f aca="false">IF('Biotech Model'!$B$4&lt;&gt;"READY","",IF(E7=0,0,IF(AC$5&lt;F7,0,G7*MIN(1,(AC$5-F7+1)/H7)*IF(AC$5&lt;=I7,1,(1-J7)^(AC$5-I7)))*K7*L7*M7))</f>
        <v/>
      </c>
      <c r="AD7" s="36" t="str">
        <f aca="false">IF('Biotech Model'!$B$4&lt;&gt;"READY","",IF(E7=0,0,IF(AD$5&lt;F7,0,G7*MIN(1,(AD$5-F7+1)/H7)*IF(AD$5&lt;=I7,1,(1-J7)^(AD$5-I7)))*K7*L7*M7))</f>
        <v/>
      </c>
      <c r="AE7" s="36" t="str">
        <f aca="false">IF('Biotech Model'!$B$4&lt;&gt;"READY","",IF(E7=0,0,IF(AE$5&lt;F7,0,G7*MIN(1,(AE$5-F7+1)/H7)*IF(AE$5&lt;=I7,1,(1-J7)^(AE$5-I7)))*K7*L7*M7))</f>
        <v/>
      </c>
      <c r="AF7" s="36" t="str">
        <f aca="false">IF('Biotech Model'!$B$4&lt;&gt;"READY","",IF(E7=0,0,IF(AF$5&lt;F7,0,G7*MIN(1,(AF$5-F7+1)/H7)*IF(AF$5&lt;=I7,1,(1-J7)^(AF$5-I7)))*K7*L7*M7))</f>
        <v/>
      </c>
      <c r="AG7" s="36" t="str">
        <f aca="false">IF('Biotech Model'!$B$4&lt;&gt;"READY","",IF(E7=0,0,IF(AG$5&lt;F7,0,G7*MIN(1,(AG$5-F7+1)/H7)*IF(AG$5&lt;=I7,1,(1-J7)^(AG$5-I7)))*K7*L7*M7))</f>
        <v/>
      </c>
      <c r="AH7" s="36" t="str">
        <f aca="false">IF('Biotech Model'!$B$4&lt;&gt;"READY","",IF(E7=0,0,IF(AH$5&lt;F7,0,G7*MIN(1,(AH$5-F7+1)/H7)*IF(AH$5&lt;=I7,1,(1-J7)^(AH$5-I7)))*K7*L7*M7))</f>
        <v/>
      </c>
      <c r="AI7" s="36" t="str">
        <f aca="false">IF('Biotech Model'!$B$4&lt;&gt;"READY","",IF(E7=0,0,IF(AI$5&lt;F7,0,G7*MIN(1,(AI$5-F7+1)/H7)*IF(AI$5&lt;=I7,1,(1-J7)^(AI$5-I7)))*K7*L7*M7))</f>
        <v/>
      </c>
      <c r="AJ7" s="36" t="str">
        <f aca="false">IF('Biotech Model'!$B$4&lt;&gt;"READY","",IF(E7=0,0,IF(AJ$5&lt;F7,0,G7*MIN(1,(AJ$5-F7+1)/H7)*IF(AJ$5&lt;=I7,1,(1-J7)^(AJ$5-I7)))*K7*L7*M7))</f>
        <v/>
      </c>
      <c r="AK7" s="36" t="str">
        <f aca="false">IF('Biotech Model'!$B$4&lt;&gt;"READY","",IF(E7=0,0,IF(AK$5&lt;F7,0,G7*MIN(1,(AK$5-F7+1)/H7)*IF(AK$5&lt;=I7,1,(1-J7)^(AK$5-I7)))*K7*L7*M7))</f>
        <v/>
      </c>
      <c r="AL7" s="36" t="str">
        <f aca="false">IF('Biotech Model'!$B$4&lt;&gt;"READY","",IF(E7=0,0,IF(AL$5&lt;F7,0,G7*MIN(1,(AL$5-F7+1)/H7)*IF(AL$5&lt;=I7,1,(1-J7)^(AL$5-I7)))*K7*L7*M7))</f>
        <v/>
      </c>
      <c r="AM7" s="36" t="str">
        <f aca="false">IF('Biotech Model'!$B$4&lt;&gt;"READY","",IF(E7=0,0,IF(AM$5&lt;F7,0,G7*MIN(1,(AM$5-F7+1)/H7)*IF(AM$5&lt;=I7,1,(1-J7)^(AM$5-I7)))*K7*L7*M7))</f>
        <v/>
      </c>
      <c r="AN7" s="36" t="str">
        <f aca="false">IF('Biotech Model'!$B$4&lt;&gt;"READY","",IF(E7=0,0,IF(AN$5&lt;F7,0,G7*MIN(1,(AN$5-F7+1)/H7)*IF(AN$5&lt;=I7,1,(1-J7)^(AN$5-I7)))*K7*L7*M7))</f>
        <v/>
      </c>
      <c r="AO7" s="36" t="str">
        <f aca="false">IF('Biotech Model'!$B$4&lt;&gt;"READY","",IF(E7=0,0,IF(AO$5&lt;F7,0,G7*MIN(1,(AO$5-F7+1)/H7)*IF(AO$5&lt;=I7,1,(1-J7)^(AO$5-I7)))*K7*L7*M7))</f>
        <v/>
      </c>
      <c r="AP7" s="36" t="str">
        <f aca="false">IF('Biotech Model'!$B$4&lt;&gt;"READY","",IF(E7=0,0,IF(AP$5&lt;F7,0,G7*MIN(1,(AP$5-F7+1)/H7)*IF(AP$5&lt;=I7,1,(1-J7)^(AP$5-I7)))*K7*L7*M7))</f>
        <v/>
      </c>
      <c r="AQ7" s="36" t="str">
        <f aca="false">IF('Biotech Model'!$B$4&lt;&gt;"READY","",IF(E7=0,0,IF(AQ$5&lt;F7,0,G7*MIN(1,(AQ$5-F7+1)/H7)*IF(AQ$5&lt;=I7,1,(1-J7)^(AQ$5-I7)))*K7*L7*M7))</f>
        <v/>
      </c>
      <c r="AR7" s="36" t="str">
        <f aca="false">IF('Biotech Model'!$B$4&lt;&gt;"READY","",IF(E7=0,0,IF(AR$5&lt;F7,0,G7*MIN(1,(AR$5-F7+1)/H7)*IF(AR$5&lt;=I7,1,(1-J7)^(AR$5-I7)))*K7*L7*M7))</f>
        <v/>
      </c>
      <c r="AS7" s="36" t="str">
        <f aca="false">IF('Biotech Model'!$B$4&lt;&gt;"READY","",IF(E7=0,0,IF(AS$5&lt;F7,0,G7*MIN(1,(AS$5-F7+1)/H7)*IF(AS$5&lt;=I7,1,(1-J7)^(AS$5-I7)))*K7*L7*M7))</f>
        <v/>
      </c>
      <c r="AT7" s="36" t="str">
        <f aca="false">IF('Biotech Model'!$B$4&lt;&gt;"READY","",IF(E7=0,0,IF(AT$5&lt;F7,0,G7*MIN(1,(AT$5-F7+1)/H7)*IF(AT$5&lt;=I7,1,(1-J7)^(AT$5-I7)))*K7*L7*M7))</f>
        <v/>
      </c>
      <c r="AU7" s="36" t="str">
        <f aca="false">IF('Biotech Model'!$B$4&lt;&gt;"READY","",IF(E7=0,0,IF(AU$5&lt;F7,0,G7*MIN(1,(AU$5-F7+1)/H7)*IF(AU$5&lt;=I7,1,(1-J7)^(AU$5-I7)))*K7*L7*M7))</f>
        <v/>
      </c>
      <c r="AV7" s="36" t="str">
        <f aca="false">IF('Biotech Model'!$B$4&lt;&gt;"READY","",IF(E7=0,0,IF(AV$5&lt;F7,0,G7*MIN(1,(AV$5-F7+1)/H7)*IF(AV$5&lt;=I7,1,(1-J7)^(AV$5-I7)))*K7*L7*M7))</f>
        <v/>
      </c>
      <c r="AW7" s="36" t="str">
        <f aca="false">IF('Biotech Model'!$B$4&lt;&gt;"READY","",IF(E7=0,0,IF(AW$5&lt;F7,0,G7*MIN(1,(AW$5-F7+1)/H7)*IF(AW$5&lt;=I7,1,(1-J7)^(AW$5-I7)))*K7*L7*M7))</f>
        <v/>
      </c>
      <c r="AX7" s="36" t="str">
        <f aca="false">IF('Biotech Model'!$B$4&lt;&gt;"READY","",IF(E7=0,0,IF(AX$5&lt;F7,0,G7*MIN(1,(AX$5-F7+1)/H7)*IF(AX$5&lt;=I7,1,(1-J7)^(AX$5-I7)))*K7*L7*M7))</f>
        <v/>
      </c>
    </row>
    <row r="8" customFormat="false" ht="69.75" hidden="false" customHeight="true" outlineLevel="0" collapsed="false">
      <c r="A8" s="30" t="s">
        <v>76</v>
      </c>
      <c r="B8" s="31" t="s">
        <v>76</v>
      </c>
      <c r="C8" s="31" t="s">
        <v>77</v>
      </c>
      <c r="D8" s="31" t="s">
        <v>78</v>
      </c>
      <c r="E8" s="32" t="str">
        <f aca="false">IF('Input Required'!$B$3&lt;&gt;"READY","",'Input Required'!F37/1)</f>
        <v/>
      </c>
      <c r="F8" s="32" t="str">
        <f aca="false">IF('Input Required'!$B$3&lt;&gt;"READY","",'Input Required'!F38/1)</f>
        <v/>
      </c>
      <c r="G8" s="33" t="str">
        <f aca="false">IF('Input Required'!$B$3&lt;&gt;"READY","",'Input Required'!F39/1000000)</f>
        <v/>
      </c>
      <c r="H8" s="32" t="str">
        <f aca="false">IF('Input Required'!$B$3&lt;&gt;"READY","",'Input Required'!F40/1)</f>
        <v/>
      </c>
      <c r="I8" s="32" t="str">
        <f aca="false">IF('Input Required'!$B$3&lt;&gt;"READY","",'Input Required'!F41/1)</f>
        <v/>
      </c>
      <c r="J8" s="34" t="str">
        <f aca="false">IF('Input Required'!$B$3&lt;&gt;"READY","",'Input Required'!F42/1)</f>
        <v/>
      </c>
      <c r="K8" s="34" t="str">
        <f aca="false">IF('Input Required'!$B$3&lt;&gt;"READY","",'Input Required'!F43/1)</f>
        <v/>
      </c>
      <c r="L8" s="34" t="str">
        <f aca="false">IF('Input Required'!$B$3&lt;&gt;"READY","",'Input Required'!F44/1)</f>
        <v/>
      </c>
      <c r="M8" s="34" t="str">
        <f aca="false">IF('Input Required'!$B$3&lt;&gt;"READY","",'Input Required'!F45/1)</f>
        <v/>
      </c>
      <c r="N8" s="33" t="str">
        <f aca="false">IF('Input Required'!$B$3&lt;&gt;"READY","",'Input Required'!F46/1000000)</f>
        <v/>
      </c>
      <c r="O8" s="35" t="str">
        <f aca="false">IF('Biotech Model'!$B$4&lt;&gt;"READY","",SUMPRODUCT(P8:AX8,$P$3:$AX$3)-E8*N8)</f>
        <v/>
      </c>
      <c r="P8" s="36" t="str">
        <f aca="false">IF('Biotech Model'!$B$4&lt;&gt;"READY","",IF(E8=0,0,IF(P$5&lt;F8,0,G8*MIN(1,(P$5-F8+1)/H8)*IF(P$5&lt;=I8,1,(1-J8)^(P$5-I8)))*K8*L8*M8))</f>
        <v/>
      </c>
      <c r="Q8" s="36" t="str">
        <f aca="false">IF('Biotech Model'!$B$4&lt;&gt;"READY","",IF(E8=0,0,IF(Q$5&lt;F8,0,G8*MIN(1,(Q$5-F8+1)/H8)*IF(Q$5&lt;=I8,1,(1-J8)^(Q$5-I8)))*K8*L8*M8))</f>
        <v/>
      </c>
      <c r="R8" s="36" t="str">
        <f aca="false">IF('Biotech Model'!$B$4&lt;&gt;"READY","",IF(E8=0,0,IF(R$5&lt;F8,0,G8*MIN(1,(R$5-F8+1)/H8)*IF(R$5&lt;=I8,1,(1-J8)^(R$5-I8)))*K8*L8*M8))</f>
        <v/>
      </c>
      <c r="S8" s="36" t="str">
        <f aca="false">IF('Biotech Model'!$B$4&lt;&gt;"READY","",IF(E8=0,0,IF(S$5&lt;F8,0,G8*MIN(1,(S$5-F8+1)/H8)*IF(S$5&lt;=I8,1,(1-J8)^(S$5-I8)))*K8*L8*M8))</f>
        <v/>
      </c>
      <c r="T8" s="36" t="str">
        <f aca="false">IF('Biotech Model'!$B$4&lt;&gt;"READY","",IF(E8=0,0,IF(T$5&lt;F8,0,G8*MIN(1,(T$5-F8+1)/H8)*IF(T$5&lt;=I8,1,(1-J8)^(T$5-I8)))*K8*L8*M8))</f>
        <v/>
      </c>
      <c r="U8" s="36" t="str">
        <f aca="false">IF('Biotech Model'!$B$4&lt;&gt;"READY","",IF(E8=0,0,IF(U$5&lt;F8,0,G8*MIN(1,(U$5-F8+1)/H8)*IF(U$5&lt;=I8,1,(1-J8)^(U$5-I8)))*K8*L8*M8))</f>
        <v/>
      </c>
      <c r="V8" s="36" t="str">
        <f aca="false">IF('Biotech Model'!$B$4&lt;&gt;"READY","",IF(E8=0,0,IF(V$5&lt;F8,0,G8*MIN(1,(V$5-F8+1)/H8)*IF(V$5&lt;=I8,1,(1-J8)^(V$5-I8)))*K8*L8*M8))</f>
        <v/>
      </c>
      <c r="W8" s="36" t="str">
        <f aca="false">IF('Biotech Model'!$B$4&lt;&gt;"READY","",IF(E8=0,0,IF(W$5&lt;F8,0,G8*MIN(1,(W$5-F8+1)/H8)*IF(W$5&lt;=I8,1,(1-J8)^(W$5-I8)))*K8*L8*M8))</f>
        <v/>
      </c>
      <c r="X8" s="36" t="str">
        <f aca="false">IF('Biotech Model'!$B$4&lt;&gt;"READY","",IF(E8=0,0,IF(X$5&lt;F8,0,G8*MIN(1,(X$5-F8+1)/H8)*IF(X$5&lt;=I8,1,(1-J8)^(X$5-I8)))*K8*L8*M8))</f>
        <v/>
      </c>
      <c r="Y8" s="36" t="str">
        <f aca="false">IF('Biotech Model'!$B$4&lt;&gt;"READY","",IF(E8=0,0,IF(Y$5&lt;F8,0,G8*MIN(1,(Y$5-F8+1)/H8)*IF(Y$5&lt;=I8,1,(1-J8)^(Y$5-I8)))*K8*L8*M8))</f>
        <v/>
      </c>
      <c r="Z8" s="36" t="str">
        <f aca="false">IF('Biotech Model'!$B$4&lt;&gt;"READY","",IF(E8=0,0,IF(Z$5&lt;F8,0,G8*MIN(1,(Z$5-F8+1)/H8)*IF(Z$5&lt;=I8,1,(1-J8)^(Z$5-I8)))*K8*L8*M8))</f>
        <v/>
      </c>
      <c r="AA8" s="36" t="str">
        <f aca="false">IF('Biotech Model'!$B$4&lt;&gt;"READY","",IF(E8=0,0,IF(AA$5&lt;F8,0,G8*MIN(1,(AA$5-F8+1)/H8)*IF(AA$5&lt;=I8,1,(1-J8)^(AA$5-I8)))*K8*L8*M8))</f>
        <v/>
      </c>
      <c r="AB8" s="36" t="str">
        <f aca="false">IF('Biotech Model'!$B$4&lt;&gt;"READY","",IF(E8=0,0,IF(AB$5&lt;F8,0,G8*MIN(1,(AB$5-F8+1)/H8)*IF(AB$5&lt;=I8,1,(1-J8)^(AB$5-I8)))*K8*L8*M8))</f>
        <v/>
      </c>
      <c r="AC8" s="36" t="str">
        <f aca="false">IF('Biotech Model'!$B$4&lt;&gt;"READY","",IF(E8=0,0,IF(AC$5&lt;F8,0,G8*MIN(1,(AC$5-F8+1)/H8)*IF(AC$5&lt;=I8,1,(1-J8)^(AC$5-I8)))*K8*L8*M8))</f>
        <v/>
      </c>
      <c r="AD8" s="36" t="str">
        <f aca="false">IF('Biotech Model'!$B$4&lt;&gt;"READY","",IF(E8=0,0,IF(AD$5&lt;F8,0,G8*MIN(1,(AD$5-F8+1)/H8)*IF(AD$5&lt;=I8,1,(1-J8)^(AD$5-I8)))*K8*L8*M8))</f>
        <v/>
      </c>
      <c r="AE8" s="36" t="str">
        <f aca="false">IF('Biotech Model'!$B$4&lt;&gt;"READY","",IF(E8=0,0,IF(AE$5&lt;F8,0,G8*MIN(1,(AE$5-F8+1)/H8)*IF(AE$5&lt;=I8,1,(1-J8)^(AE$5-I8)))*K8*L8*M8))</f>
        <v/>
      </c>
      <c r="AF8" s="36" t="str">
        <f aca="false">IF('Biotech Model'!$B$4&lt;&gt;"READY","",IF(E8=0,0,IF(AF$5&lt;F8,0,G8*MIN(1,(AF$5-F8+1)/H8)*IF(AF$5&lt;=I8,1,(1-J8)^(AF$5-I8)))*K8*L8*M8))</f>
        <v/>
      </c>
      <c r="AG8" s="36" t="str">
        <f aca="false">IF('Biotech Model'!$B$4&lt;&gt;"READY","",IF(E8=0,0,IF(AG$5&lt;F8,0,G8*MIN(1,(AG$5-F8+1)/H8)*IF(AG$5&lt;=I8,1,(1-J8)^(AG$5-I8)))*K8*L8*M8))</f>
        <v/>
      </c>
      <c r="AH8" s="36" t="str">
        <f aca="false">IF('Biotech Model'!$B$4&lt;&gt;"READY","",IF(E8=0,0,IF(AH$5&lt;F8,0,G8*MIN(1,(AH$5-F8+1)/H8)*IF(AH$5&lt;=I8,1,(1-J8)^(AH$5-I8)))*K8*L8*M8))</f>
        <v/>
      </c>
      <c r="AI8" s="36" t="str">
        <f aca="false">IF('Biotech Model'!$B$4&lt;&gt;"READY","",IF(E8=0,0,IF(AI$5&lt;F8,0,G8*MIN(1,(AI$5-F8+1)/H8)*IF(AI$5&lt;=I8,1,(1-J8)^(AI$5-I8)))*K8*L8*M8))</f>
        <v/>
      </c>
      <c r="AJ8" s="36" t="str">
        <f aca="false">IF('Biotech Model'!$B$4&lt;&gt;"READY","",IF(E8=0,0,IF(AJ$5&lt;F8,0,G8*MIN(1,(AJ$5-F8+1)/H8)*IF(AJ$5&lt;=I8,1,(1-J8)^(AJ$5-I8)))*K8*L8*M8))</f>
        <v/>
      </c>
      <c r="AK8" s="36" t="str">
        <f aca="false">IF('Biotech Model'!$B$4&lt;&gt;"READY","",IF(E8=0,0,IF(AK$5&lt;F8,0,G8*MIN(1,(AK$5-F8+1)/H8)*IF(AK$5&lt;=I8,1,(1-J8)^(AK$5-I8)))*K8*L8*M8))</f>
        <v/>
      </c>
      <c r="AL8" s="36" t="str">
        <f aca="false">IF('Biotech Model'!$B$4&lt;&gt;"READY","",IF(E8=0,0,IF(AL$5&lt;F8,0,G8*MIN(1,(AL$5-F8+1)/H8)*IF(AL$5&lt;=I8,1,(1-J8)^(AL$5-I8)))*K8*L8*M8))</f>
        <v/>
      </c>
      <c r="AM8" s="36" t="str">
        <f aca="false">IF('Biotech Model'!$B$4&lt;&gt;"READY","",IF(E8=0,0,IF(AM$5&lt;F8,0,G8*MIN(1,(AM$5-F8+1)/H8)*IF(AM$5&lt;=I8,1,(1-J8)^(AM$5-I8)))*K8*L8*M8))</f>
        <v/>
      </c>
      <c r="AN8" s="36" t="str">
        <f aca="false">IF('Biotech Model'!$B$4&lt;&gt;"READY","",IF(E8=0,0,IF(AN$5&lt;F8,0,G8*MIN(1,(AN$5-F8+1)/H8)*IF(AN$5&lt;=I8,1,(1-J8)^(AN$5-I8)))*K8*L8*M8))</f>
        <v/>
      </c>
      <c r="AO8" s="36" t="str">
        <f aca="false">IF('Biotech Model'!$B$4&lt;&gt;"READY","",IF(E8=0,0,IF(AO$5&lt;F8,0,G8*MIN(1,(AO$5-F8+1)/H8)*IF(AO$5&lt;=I8,1,(1-J8)^(AO$5-I8)))*K8*L8*M8))</f>
        <v/>
      </c>
      <c r="AP8" s="36" t="str">
        <f aca="false">IF('Biotech Model'!$B$4&lt;&gt;"READY","",IF(E8=0,0,IF(AP$5&lt;F8,0,G8*MIN(1,(AP$5-F8+1)/H8)*IF(AP$5&lt;=I8,1,(1-J8)^(AP$5-I8)))*K8*L8*M8))</f>
        <v/>
      </c>
      <c r="AQ8" s="36" t="str">
        <f aca="false">IF('Biotech Model'!$B$4&lt;&gt;"READY","",IF(E8=0,0,IF(AQ$5&lt;F8,0,G8*MIN(1,(AQ$5-F8+1)/H8)*IF(AQ$5&lt;=I8,1,(1-J8)^(AQ$5-I8)))*K8*L8*M8))</f>
        <v/>
      </c>
      <c r="AR8" s="36" t="str">
        <f aca="false">IF('Biotech Model'!$B$4&lt;&gt;"READY","",IF(E8=0,0,IF(AR$5&lt;F8,0,G8*MIN(1,(AR$5-F8+1)/H8)*IF(AR$5&lt;=I8,1,(1-J8)^(AR$5-I8)))*K8*L8*M8))</f>
        <v/>
      </c>
      <c r="AS8" s="36" t="str">
        <f aca="false">IF('Biotech Model'!$B$4&lt;&gt;"READY","",IF(E8=0,0,IF(AS$5&lt;F8,0,G8*MIN(1,(AS$5-F8+1)/H8)*IF(AS$5&lt;=I8,1,(1-J8)^(AS$5-I8)))*K8*L8*M8))</f>
        <v/>
      </c>
      <c r="AT8" s="36" t="str">
        <f aca="false">IF('Biotech Model'!$B$4&lt;&gt;"READY","",IF(E8=0,0,IF(AT$5&lt;F8,0,G8*MIN(1,(AT$5-F8+1)/H8)*IF(AT$5&lt;=I8,1,(1-J8)^(AT$5-I8)))*K8*L8*M8))</f>
        <v/>
      </c>
      <c r="AU8" s="36" t="str">
        <f aca="false">IF('Biotech Model'!$B$4&lt;&gt;"READY","",IF(E8=0,0,IF(AU$5&lt;F8,0,G8*MIN(1,(AU$5-F8+1)/H8)*IF(AU$5&lt;=I8,1,(1-J8)^(AU$5-I8)))*K8*L8*M8))</f>
        <v/>
      </c>
      <c r="AV8" s="36" t="str">
        <f aca="false">IF('Biotech Model'!$B$4&lt;&gt;"READY","",IF(E8=0,0,IF(AV$5&lt;F8,0,G8*MIN(1,(AV$5-F8+1)/H8)*IF(AV$5&lt;=I8,1,(1-J8)^(AV$5-I8)))*K8*L8*M8))</f>
        <v/>
      </c>
      <c r="AW8" s="36" t="str">
        <f aca="false">IF('Biotech Model'!$B$4&lt;&gt;"READY","",IF(E8=0,0,IF(AW$5&lt;F8,0,G8*MIN(1,(AW$5-F8+1)/H8)*IF(AW$5&lt;=I8,1,(1-J8)^(AW$5-I8)))*K8*L8*M8))</f>
        <v/>
      </c>
      <c r="AX8" s="36" t="str">
        <f aca="false">IF('Biotech Model'!$B$4&lt;&gt;"READY","",IF(E8=0,0,IF(AX$5&lt;F8,0,G8*MIN(1,(AX$5-F8+1)/H8)*IF(AX$5&lt;=I8,1,(1-J8)^(AX$5-I8)))*K8*L8*M8))</f>
        <v/>
      </c>
    </row>
    <row r="9" customFormat="false" ht="69.75" hidden="false" customHeight="true" outlineLevel="0" collapsed="false">
      <c r="A9" s="30" t="s">
        <v>79</v>
      </c>
      <c r="B9" s="31" t="s">
        <v>79</v>
      </c>
      <c r="C9" s="31" t="s">
        <v>77</v>
      </c>
      <c r="D9" s="31" t="s">
        <v>80</v>
      </c>
      <c r="E9" s="32" t="str">
        <f aca="false">IF('Input Required'!$B$3&lt;&gt;"READY","",'Input Required'!F47/1)</f>
        <v/>
      </c>
      <c r="F9" s="32" t="str">
        <f aca="false">IF('Input Required'!$B$3&lt;&gt;"READY","",'Input Required'!F48/1)</f>
        <v/>
      </c>
      <c r="G9" s="33" t="str">
        <f aca="false">IF('Input Required'!$B$3&lt;&gt;"READY","",'Input Required'!F49/1000000)</f>
        <v/>
      </c>
      <c r="H9" s="32" t="str">
        <f aca="false">IF('Input Required'!$B$3&lt;&gt;"READY","",'Input Required'!F50/1)</f>
        <v/>
      </c>
      <c r="I9" s="32" t="str">
        <f aca="false">IF('Input Required'!$B$3&lt;&gt;"READY","",'Input Required'!F51/1)</f>
        <v/>
      </c>
      <c r="J9" s="34" t="str">
        <f aca="false">IF('Input Required'!$B$3&lt;&gt;"READY","",'Input Required'!F52/1)</f>
        <v/>
      </c>
      <c r="K9" s="34" t="str">
        <f aca="false">IF('Input Required'!$B$3&lt;&gt;"READY","",'Input Required'!F53/1)</f>
        <v/>
      </c>
      <c r="L9" s="34" t="str">
        <f aca="false">IF('Input Required'!$B$3&lt;&gt;"READY","",'Input Required'!F54/1)</f>
        <v/>
      </c>
      <c r="M9" s="34" t="str">
        <f aca="false">IF('Input Required'!$B$3&lt;&gt;"READY","",'Input Required'!F55/1)</f>
        <v/>
      </c>
      <c r="N9" s="33" t="str">
        <f aca="false">IF('Input Required'!$B$3&lt;&gt;"READY","",'Input Required'!F56/1000000)</f>
        <v/>
      </c>
      <c r="O9" s="35" t="str">
        <f aca="false">IF('Biotech Model'!$B$4&lt;&gt;"READY","",SUMPRODUCT(P9:AX9,$P$3:$AX$3)-E9*N9)</f>
        <v/>
      </c>
      <c r="P9" s="36" t="str">
        <f aca="false">IF('Biotech Model'!$B$4&lt;&gt;"READY","",IF(E9=0,0,IF(P$5&lt;F9,0,G9*MIN(1,(P$5-F9+1)/H9)*IF(P$5&lt;=I9,1,(1-J9)^(P$5-I9)))*K9*L9*M9))</f>
        <v/>
      </c>
      <c r="Q9" s="36" t="str">
        <f aca="false">IF('Biotech Model'!$B$4&lt;&gt;"READY","",IF(E9=0,0,IF(Q$5&lt;F9,0,G9*MIN(1,(Q$5-F9+1)/H9)*IF(Q$5&lt;=I9,1,(1-J9)^(Q$5-I9)))*K9*L9*M9))</f>
        <v/>
      </c>
      <c r="R9" s="36" t="str">
        <f aca="false">IF('Biotech Model'!$B$4&lt;&gt;"READY","",IF(E9=0,0,IF(R$5&lt;F9,0,G9*MIN(1,(R$5-F9+1)/H9)*IF(R$5&lt;=I9,1,(1-J9)^(R$5-I9)))*K9*L9*M9))</f>
        <v/>
      </c>
      <c r="S9" s="36" t="str">
        <f aca="false">IF('Biotech Model'!$B$4&lt;&gt;"READY","",IF(E9=0,0,IF(S$5&lt;F9,0,G9*MIN(1,(S$5-F9+1)/H9)*IF(S$5&lt;=I9,1,(1-J9)^(S$5-I9)))*K9*L9*M9))</f>
        <v/>
      </c>
      <c r="T9" s="36" t="str">
        <f aca="false">IF('Biotech Model'!$B$4&lt;&gt;"READY","",IF(E9=0,0,IF(T$5&lt;F9,0,G9*MIN(1,(T$5-F9+1)/H9)*IF(T$5&lt;=I9,1,(1-J9)^(T$5-I9)))*K9*L9*M9))</f>
        <v/>
      </c>
      <c r="U9" s="36" t="str">
        <f aca="false">IF('Biotech Model'!$B$4&lt;&gt;"READY","",IF(E9=0,0,IF(U$5&lt;F9,0,G9*MIN(1,(U$5-F9+1)/H9)*IF(U$5&lt;=I9,1,(1-J9)^(U$5-I9)))*K9*L9*M9))</f>
        <v/>
      </c>
      <c r="V9" s="36" t="str">
        <f aca="false">IF('Biotech Model'!$B$4&lt;&gt;"READY","",IF(E9=0,0,IF(V$5&lt;F9,0,G9*MIN(1,(V$5-F9+1)/H9)*IF(V$5&lt;=I9,1,(1-J9)^(V$5-I9)))*K9*L9*M9))</f>
        <v/>
      </c>
      <c r="W9" s="36" t="str">
        <f aca="false">IF('Biotech Model'!$B$4&lt;&gt;"READY","",IF(E9=0,0,IF(W$5&lt;F9,0,G9*MIN(1,(W$5-F9+1)/H9)*IF(W$5&lt;=I9,1,(1-J9)^(W$5-I9)))*K9*L9*M9))</f>
        <v/>
      </c>
      <c r="X9" s="36" t="str">
        <f aca="false">IF('Biotech Model'!$B$4&lt;&gt;"READY","",IF(E9=0,0,IF(X$5&lt;F9,0,G9*MIN(1,(X$5-F9+1)/H9)*IF(X$5&lt;=I9,1,(1-J9)^(X$5-I9)))*K9*L9*M9))</f>
        <v/>
      </c>
      <c r="Y9" s="36" t="str">
        <f aca="false">IF('Biotech Model'!$B$4&lt;&gt;"READY","",IF(E9=0,0,IF(Y$5&lt;F9,0,G9*MIN(1,(Y$5-F9+1)/H9)*IF(Y$5&lt;=I9,1,(1-J9)^(Y$5-I9)))*K9*L9*M9))</f>
        <v/>
      </c>
      <c r="Z9" s="36" t="str">
        <f aca="false">IF('Biotech Model'!$B$4&lt;&gt;"READY","",IF(E9=0,0,IF(Z$5&lt;F9,0,G9*MIN(1,(Z$5-F9+1)/H9)*IF(Z$5&lt;=I9,1,(1-J9)^(Z$5-I9)))*K9*L9*M9))</f>
        <v/>
      </c>
      <c r="AA9" s="36" t="str">
        <f aca="false">IF('Biotech Model'!$B$4&lt;&gt;"READY","",IF(E9=0,0,IF(AA$5&lt;F9,0,G9*MIN(1,(AA$5-F9+1)/H9)*IF(AA$5&lt;=I9,1,(1-J9)^(AA$5-I9)))*K9*L9*M9))</f>
        <v/>
      </c>
      <c r="AB9" s="36" t="str">
        <f aca="false">IF('Biotech Model'!$B$4&lt;&gt;"READY","",IF(E9=0,0,IF(AB$5&lt;F9,0,G9*MIN(1,(AB$5-F9+1)/H9)*IF(AB$5&lt;=I9,1,(1-J9)^(AB$5-I9)))*K9*L9*M9))</f>
        <v/>
      </c>
      <c r="AC9" s="36" t="str">
        <f aca="false">IF('Biotech Model'!$B$4&lt;&gt;"READY","",IF(E9=0,0,IF(AC$5&lt;F9,0,G9*MIN(1,(AC$5-F9+1)/H9)*IF(AC$5&lt;=I9,1,(1-J9)^(AC$5-I9)))*K9*L9*M9))</f>
        <v/>
      </c>
      <c r="AD9" s="36" t="str">
        <f aca="false">IF('Biotech Model'!$B$4&lt;&gt;"READY","",IF(E9=0,0,IF(AD$5&lt;F9,0,G9*MIN(1,(AD$5-F9+1)/H9)*IF(AD$5&lt;=I9,1,(1-J9)^(AD$5-I9)))*K9*L9*M9))</f>
        <v/>
      </c>
      <c r="AE9" s="36" t="str">
        <f aca="false">IF('Biotech Model'!$B$4&lt;&gt;"READY","",IF(E9=0,0,IF(AE$5&lt;F9,0,G9*MIN(1,(AE$5-F9+1)/H9)*IF(AE$5&lt;=I9,1,(1-J9)^(AE$5-I9)))*K9*L9*M9))</f>
        <v/>
      </c>
      <c r="AF9" s="36" t="str">
        <f aca="false">IF('Biotech Model'!$B$4&lt;&gt;"READY","",IF(E9=0,0,IF(AF$5&lt;F9,0,G9*MIN(1,(AF$5-F9+1)/H9)*IF(AF$5&lt;=I9,1,(1-J9)^(AF$5-I9)))*K9*L9*M9))</f>
        <v/>
      </c>
      <c r="AG9" s="36" t="str">
        <f aca="false">IF('Biotech Model'!$B$4&lt;&gt;"READY","",IF(E9=0,0,IF(AG$5&lt;F9,0,G9*MIN(1,(AG$5-F9+1)/H9)*IF(AG$5&lt;=I9,1,(1-J9)^(AG$5-I9)))*K9*L9*M9))</f>
        <v/>
      </c>
      <c r="AH9" s="36" t="str">
        <f aca="false">IF('Biotech Model'!$B$4&lt;&gt;"READY","",IF(E9=0,0,IF(AH$5&lt;F9,0,G9*MIN(1,(AH$5-F9+1)/H9)*IF(AH$5&lt;=I9,1,(1-J9)^(AH$5-I9)))*K9*L9*M9))</f>
        <v/>
      </c>
      <c r="AI9" s="36" t="str">
        <f aca="false">IF('Biotech Model'!$B$4&lt;&gt;"READY","",IF(E9=0,0,IF(AI$5&lt;F9,0,G9*MIN(1,(AI$5-F9+1)/H9)*IF(AI$5&lt;=I9,1,(1-J9)^(AI$5-I9)))*K9*L9*M9))</f>
        <v/>
      </c>
      <c r="AJ9" s="36" t="str">
        <f aca="false">IF('Biotech Model'!$B$4&lt;&gt;"READY","",IF(E9=0,0,IF(AJ$5&lt;F9,0,G9*MIN(1,(AJ$5-F9+1)/H9)*IF(AJ$5&lt;=I9,1,(1-J9)^(AJ$5-I9)))*K9*L9*M9))</f>
        <v/>
      </c>
      <c r="AK9" s="36" t="str">
        <f aca="false">IF('Biotech Model'!$B$4&lt;&gt;"READY","",IF(E9=0,0,IF(AK$5&lt;F9,0,G9*MIN(1,(AK$5-F9+1)/H9)*IF(AK$5&lt;=I9,1,(1-J9)^(AK$5-I9)))*K9*L9*M9))</f>
        <v/>
      </c>
      <c r="AL9" s="36" t="str">
        <f aca="false">IF('Biotech Model'!$B$4&lt;&gt;"READY","",IF(E9=0,0,IF(AL$5&lt;F9,0,G9*MIN(1,(AL$5-F9+1)/H9)*IF(AL$5&lt;=I9,1,(1-J9)^(AL$5-I9)))*K9*L9*M9))</f>
        <v/>
      </c>
      <c r="AM9" s="36" t="str">
        <f aca="false">IF('Biotech Model'!$B$4&lt;&gt;"READY","",IF(E9=0,0,IF(AM$5&lt;F9,0,G9*MIN(1,(AM$5-F9+1)/H9)*IF(AM$5&lt;=I9,1,(1-J9)^(AM$5-I9)))*K9*L9*M9))</f>
        <v/>
      </c>
      <c r="AN9" s="36" t="str">
        <f aca="false">IF('Biotech Model'!$B$4&lt;&gt;"READY","",IF(E9=0,0,IF(AN$5&lt;F9,0,G9*MIN(1,(AN$5-F9+1)/H9)*IF(AN$5&lt;=I9,1,(1-J9)^(AN$5-I9)))*K9*L9*M9))</f>
        <v/>
      </c>
      <c r="AO9" s="36" t="str">
        <f aca="false">IF('Biotech Model'!$B$4&lt;&gt;"READY","",IF(E9=0,0,IF(AO$5&lt;F9,0,G9*MIN(1,(AO$5-F9+1)/H9)*IF(AO$5&lt;=I9,1,(1-J9)^(AO$5-I9)))*K9*L9*M9))</f>
        <v/>
      </c>
      <c r="AP9" s="36" t="str">
        <f aca="false">IF('Biotech Model'!$B$4&lt;&gt;"READY","",IF(E9=0,0,IF(AP$5&lt;F9,0,G9*MIN(1,(AP$5-F9+1)/H9)*IF(AP$5&lt;=I9,1,(1-J9)^(AP$5-I9)))*K9*L9*M9))</f>
        <v/>
      </c>
      <c r="AQ9" s="36" t="str">
        <f aca="false">IF('Biotech Model'!$B$4&lt;&gt;"READY","",IF(E9=0,0,IF(AQ$5&lt;F9,0,G9*MIN(1,(AQ$5-F9+1)/H9)*IF(AQ$5&lt;=I9,1,(1-J9)^(AQ$5-I9)))*K9*L9*M9))</f>
        <v/>
      </c>
      <c r="AR9" s="36" t="str">
        <f aca="false">IF('Biotech Model'!$B$4&lt;&gt;"READY","",IF(E9=0,0,IF(AR$5&lt;F9,0,G9*MIN(1,(AR$5-F9+1)/H9)*IF(AR$5&lt;=I9,1,(1-J9)^(AR$5-I9)))*K9*L9*M9))</f>
        <v/>
      </c>
      <c r="AS9" s="36" t="str">
        <f aca="false">IF('Biotech Model'!$B$4&lt;&gt;"READY","",IF(E9=0,0,IF(AS$5&lt;F9,0,G9*MIN(1,(AS$5-F9+1)/H9)*IF(AS$5&lt;=I9,1,(1-J9)^(AS$5-I9)))*K9*L9*M9))</f>
        <v/>
      </c>
      <c r="AT9" s="36" t="str">
        <f aca="false">IF('Biotech Model'!$B$4&lt;&gt;"READY","",IF(E9=0,0,IF(AT$5&lt;F9,0,G9*MIN(1,(AT$5-F9+1)/H9)*IF(AT$5&lt;=I9,1,(1-J9)^(AT$5-I9)))*K9*L9*M9))</f>
        <v/>
      </c>
      <c r="AU9" s="36" t="str">
        <f aca="false">IF('Biotech Model'!$B$4&lt;&gt;"READY","",IF(E9=0,0,IF(AU$5&lt;F9,0,G9*MIN(1,(AU$5-F9+1)/H9)*IF(AU$5&lt;=I9,1,(1-J9)^(AU$5-I9)))*K9*L9*M9))</f>
        <v/>
      </c>
      <c r="AV9" s="36" t="str">
        <f aca="false">IF('Biotech Model'!$B$4&lt;&gt;"READY","",IF(E9=0,0,IF(AV$5&lt;F9,0,G9*MIN(1,(AV$5-F9+1)/H9)*IF(AV$5&lt;=I9,1,(1-J9)^(AV$5-I9)))*K9*L9*M9))</f>
        <v/>
      </c>
      <c r="AW9" s="36" t="str">
        <f aca="false">IF('Biotech Model'!$B$4&lt;&gt;"READY","",IF(E9=0,0,IF(AW$5&lt;F9,0,G9*MIN(1,(AW$5-F9+1)/H9)*IF(AW$5&lt;=I9,1,(1-J9)^(AW$5-I9)))*K9*L9*M9))</f>
        <v/>
      </c>
      <c r="AX9" s="36" t="str">
        <f aca="false">IF('Biotech Model'!$B$4&lt;&gt;"READY","",IF(E9=0,0,IF(AX$5&lt;F9,0,G9*MIN(1,(AX$5-F9+1)/H9)*IF(AX$5&lt;=I9,1,(1-J9)^(AX$5-I9)))*K9*L9*M9))</f>
        <v/>
      </c>
    </row>
    <row r="10" customFormat="false" ht="69.75" hidden="false" customHeight="true" outlineLevel="0" collapsed="false">
      <c r="A10" s="30" t="s">
        <v>81</v>
      </c>
      <c r="B10" s="31" t="s">
        <v>81</v>
      </c>
      <c r="C10" s="31" t="s">
        <v>77</v>
      </c>
      <c r="D10" s="31" t="s">
        <v>82</v>
      </c>
      <c r="E10" s="32" t="str">
        <f aca="false">IF('Input Required'!$B$3&lt;&gt;"READY","",'Input Required'!F57/1)</f>
        <v/>
      </c>
      <c r="F10" s="32" t="str">
        <f aca="false">IF('Input Required'!$B$3&lt;&gt;"READY","",'Input Required'!F58/1)</f>
        <v/>
      </c>
      <c r="G10" s="33" t="str">
        <f aca="false">IF('Input Required'!$B$3&lt;&gt;"READY","",'Input Required'!F59/1000000)</f>
        <v/>
      </c>
      <c r="H10" s="32" t="str">
        <f aca="false">IF('Input Required'!$B$3&lt;&gt;"READY","",'Input Required'!F60/1)</f>
        <v/>
      </c>
      <c r="I10" s="32" t="str">
        <f aca="false">IF('Input Required'!$B$3&lt;&gt;"READY","",'Input Required'!F61/1)</f>
        <v/>
      </c>
      <c r="J10" s="34" t="str">
        <f aca="false">IF('Input Required'!$B$3&lt;&gt;"READY","",'Input Required'!F62/1)</f>
        <v/>
      </c>
      <c r="K10" s="34" t="str">
        <f aca="false">IF('Input Required'!$B$3&lt;&gt;"READY","",'Input Required'!F63/1)</f>
        <v/>
      </c>
      <c r="L10" s="34" t="str">
        <f aca="false">IF('Input Required'!$B$3&lt;&gt;"READY","",'Input Required'!F64/1)</f>
        <v/>
      </c>
      <c r="M10" s="34" t="str">
        <f aca="false">IF('Input Required'!$B$3&lt;&gt;"READY","",'Input Required'!F65/1)</f>
        <v/>
      </c>
      <c r="N10" s="33" t="str">
        <f aca="false">IF('Input Required'!$B$3&lt;&gt;"READY","",'Input Required'!F66/1000000)</f>
        <v/>
      </c>
      <c r="O10" s="35" t="str">
        <f aca="false">IF('Biotech Model'!$B$4&lt;&gt;"READY","",SUMPRODUCT(P10:AX10,$P$3:$AX$3)-E10*N10)</f>
        <v/>
      </c>
      <c r="P10" s="36" t="str">
        <f aca="false">IF('Biotech Model'!$B$4&lt;&gt;"READY","",IF(E10=0,0,IF(P$5&lt;F10,0,G10*MIN(1,(P$5-F10+1)/H10)*IF(P$5&lt;=I10,1,(1-J10)^(P$5-I10)))*K10*L10*M10))</f>
        <v/>
      </c>
      <c r="Q10" s="36" t="str">
        <f aca="false">IF('Biotech Model'!$B$4&lt;&gt;"READY","",IF(E10=0,0,IF(Q$5&lt;F10,0,G10*MIN(1,(Q$5-F10+1)/H10)*IF(Q$5&lt;=I10,1,(1-J10)^(Q$5-I10)))*K10*L10*M10))</f>
        <v/>
      </c>
      <c r="R10" s="36" t="str">
        <f aca="false">IF('Biotech Model'!$B$4&lt;&gt;"READY","",IF(E10=0,0,IF(R$5&lt;F10,0,G10*MIN(1,(R$5-F10+1)/H10)*IF(R$5&lt;=I10,1,(1-J10)^(R$5-I10)))*K10*L10*M10))</f>
        <v/>
      </c>
      <c r="S10" s="36" t="str">
        <f aca="false">IF('Biotech Model'!$B$4&lt;&gt;"READY","",IF(E10=0,0,IF(S$5&lt;F10,0,G10*MIN(1,(S$5-F10+1)/H10)*IF(S$5&lt;=I10,1,(1-J10)^(S$5-I10)))*K10*L10*M10))</f>
        <v/>
      </c>
      <c r="T10" s="36" t="str">
        <f aca="false">IF('Biotech Model'!$B$4&lt;&gt;"READY","",IF(E10=0,0,IF(T$5&lt;F10,0,G10*MIN(1,(T$5-F10+1)/H10)*IF(T$5&lt;=I10,1,(1-J10)^(T$5-I10)))*K10*L10*M10))</f>
        <v/>
      </c>
      <c r="U10" s="36" t="str">
        <f aca="false">IF('Biotech Model'!$B$4&lt;&gt;"READY","",IF(E10=0,0,IF(U$5&lt;F10,0,G10*MIN(1,(U$5-F10+1)/H10)*IF(U$5&lt;=I10,1,(1-J10)^(U$5-I10)))*K10*L10*M10))</f>
        <v/>
      </c>
      <c r="V10" s="36" t="str">
        <f aca="false">IF('Biotech Model'!$B$4&lt;&gt;"READY","",IF(E10=0,0,IF(V$5&lt;F10,0,G10*MIN(1,(V$5-F10+1)/H10)*IF(V$5&lt;=I10,1,(1-J10)^(V$5-I10)))*K10*L10*M10))</f>
        <v/>
      </c>
      <c r="W10" s="36" t="str">
        <f aca="false">IF('Biotech Model'!$B$4&lt;&gt;"READY","",IF(E10=0,0,IF(W$5&lt;F10,0,G10*MIN(1,(W$5-F10+1)/H10)*IF(W$5&lt;=I10,1,(1-J10)^(W$5-I10)))*K10*L10*M10))</f>
        <v/>
      </c>
      <c r="X10" s="36" t="str">
        <f aca="false">IF('Biotech Model'!$B$4&lt;&gt;"READY","",IF(E10=0,0,IF(X$5&lt;F10,0,G10*MIN(1,(X$5-F10+1)/H10)*IF(X$5&lt;=I10,1,(1-J10)^(X$5-I10)))*K10*L10*M10))</f>
        <v/>
      </c>
      <c r="Y10" s="36" t="str">
        <f aca="false">IF('Biotech Model'!$B$4&lt;&gt;"READY","",IF(E10=0,0,IF(Y$5&lt;F10,0,G10*MIN(1,(Y$5-F10+1)/H10)*IF(Y$5&lt;=I10,1,(1-J10)^(Y$5-I10)))*K10*L10*M10))</f>
        <v/>
      </c>
      <c r="Z10" s="36" t="str">
        <f aca="false">IF('Biotech Model'!$B$4&lt;&gt;"READY","",IF(E10=0,0,IF(Z$5&lt;F10,0,G10*MIN(1,(Z$5-F10+1)/H10)*IF(Z$5&lt;=I10,1,(1-J10)^(Z$5-I10)))*K10*L10*M10))</f>
        <v/>
      </c>
      <c r="AA10" s="36" t="str">
        <f aca="false">IF('Biotech Model'!$B$4&lt;&gt;"READY","",IF(E10=0,0,IF(AA$5&lt;F10,0,G10*MIN(1,(AA$5-F10+1)/H10)*IF(AA$5&lt;=I10,1,(1-J10)^(AA$5-I10)))*K10*L10*M10))</f>
        <v/>
      </c>
      <c r="AB10" s="36" t="str">
        <f aca="false">IF('Biotech Model'!$B$4&lt;&gt;"READY","",IF(E10=0,0,IF(AB$5&lt;F10,0,G10*MIN(1,(AB$5-F10+1)/H10)*IF(AB$5&lt;=I10,1,(1-J10)^(AB$5-I10)))*K10*L10*M10))</f>
        <v/>
      </c>
      <c r="AC10" s="36" t="str">
        <f aca="false">IF('Biotech Model'!$B$4&lt;&gt;"READY","",IF(E10=0,0,IF(AC$5&lt;F10,0,G10*MIN(1,(AC$5-F10+1)/H10)*IF(AC$5&lt;=I10,1,(1-J10)^(AC$5-I10)))*K10*L10*M10))</f>
        <v/>
      </c>
      <c r="AD10" s="36" t="str">
        <f aca="false">IF('Biotech Model'!$B$4&lt;&gt;"READY","",IF(E10=0,0,IF(AD$5&lt;F10,0,G10*MIN(1,(AD$5-F10+1)/H10)*IF(AD$5&lt;=I10,1,(1-J10)^(AD$5-I10)))*K10*L10*M10))</f>
        <v/>
      </c>
      <c r="AE10" s="36" t="str">
        <f aca="false">IF('Biotech Model'!$B$4&lt;&gt;"READY","",IF(E10=0,0,IF(AE$5&lt;F10,0,G10*MIN(1,(AE$5-F10+1)/H10)*IF(AE$5&lt;=I10,1,(1-J10)^(AE$5-I10)))*K10*L10*M10))</f>
        <v/>
      </c>
      <c r="AF10" s="36" t="str">
        <f aca="false">IF('Biotech Model'!$B$4&lt;&gt;"READY","",IF(E10=0,0,IF(AF$5&lt;F10,0,G10*MIN(1,(AF$5-F10+1)/H10)*IF(AF$5&lt;=I10,1,(1-J10)^(AF$5-I10)))*K10*L10*M10))</f>
        <v/>
      </c>
      <c r="AG10" s="36" t="str">
        <f aca="false">IF('Biotech Model'!$B$4&lt;&gt;"READY","",IF(E10=0,0,IF(AG$5&lt;F10,0,G10*MIN(1,(AG$5-F10+1)/H10)*IF(AG$5&lt;=I10,1,(1-J10)^(AG$5-I10)))*K10*L10*M10))</f>
        <v/>
      </c>
      <c r="AH10" s="36" t="str">
        <f aca="false">IF('Biotech Model'!$B$4&lt;&gt;"READY","",IF(E10=0,0,IF(AH$5&lt;F10,0,G10*MIN(1,(AH$5-F10+1)/H10)*IF(AH$5&lt;=I10,1,(1-J10)^(AH$5-I10)))*K10*L10*M10))</f>
        <v/>
      </c>
      <c r="AI10" s="36" t="str">
        <f aca="false">IF('Biotech Model'!$B$4&lt;&gt;"READY","",IF(E10=0,0,IF(AI$5&lt;F10,0,G10*MIN(1,(AI$5-F10+1)/H10)*IF(AI$5&lt;=I10,1,(1-J10)^(AI$5-I10)))*K10*L10*M10))</f>
        <v/>
      </c>
      <c r="AJ10" s="36" t="str">
        <f aca="false">IF('Biotech Model'!$B$4&lt;&gt;"READY","",IF(E10=0,0,IF(AJ$5&lt;F10,0,G10*MIN(1,(AJ$5-F10+1)/H10)*IF(AJ$5&lt;=I10,1,(1-J10)^(AJ$5-I10)))*K10*L10*M10))</f>
        <v/>
      </c>
      <c r="AK10" s="36" t="str">
        <f aca="false">IF('Biotech Model'!$B$4&lt;&gt;"READY","",IF(E10=0,0,IF(AK$5&lt;F10,0,G10*MIN(1,(AK$5-F10+1)/H10)*IF(AK$5&lt;=I10,1,(1-J10)^(AK$5-I10)))*K10*L10*M10))</f>
        <v/>
      </c>
      <c r="AL10" s="36" t="str">
        <f aca="false">IF('Biotech Model'!$B$4&lt;&gt;"READY","",IF(E10=0,0,IF(AL$5&lt;F10,0,G10*MIN(1,(AL$5-F10+1)/H10)*IF(AL$5&lt;=I10,1,(1-J10)^(AL$5-I10)))*K10*L10*M10))</f>
        <v/>
      </c>
      <c r="AM10" s="36" t="str">
        <f aca="false">IF('Biotech Model'!$B$4&lt;&gt;"READY","",IF(E10=0,0,IF(AM$5&lt;F10,0,G10*MIN(1,(AM$5-F10+1)/H10)*IF(AM$5&lt;=I10,1,(1-J10)^(AM$5-I10)))*K10*L10*M10))</f>
        <v/>
      </c>
      <c r="AN10" s="36" t="str">
        <f aca="false">IF('Biotech Model'!$B$4&lt;&gt;"READY","",IF(E10=0,0,IF(AN$5&lt;F10,0,G10*MIN(1,(AN$5-F10+1)/H10)*IF(AN$5&lt;=I10,1,(1-J10)^(AN$5-I10)))*K10*L10*M10))</f>
        <v/>
      </c>
      <c r="AO10" s="36" t="str">
        <f aca="false">IF('Biotech Model'!$B$4&lt;&gt;"READY","",IF(E10=0,0,IF(AO$5&lt;F10,0,G10*MIN(1,(AO$5-F10+1)/H10)*IF(AO$5&lt;=I10,1,(1-J10)^(AO$5-I10)))*K10*L10*M10))</f>
        <v/>
      </c>
      <c r="AP10" s="36" t="str">
        <f aca="false">IF('Biotech Model'!$B$4&lt;&gt;"READY","",IF(E10=0,0,IF(AP$5&lt;F10,0,G10*MIN(1,(AP$5-F10+1)/H10)*IF(AP$5&lt;=I10,1,(1-J10)^(AP$5-I10)))*K10*L10*M10))</f>
        <v/>
      </c>
      <c r="AQ10" s="36" t="str">
        <f aca="false">IF('Biotech Model'!$B$4&lt;&gt;"READY","",IF(E10=0,0,IF(AQ$5&lt;F10,0,G10*MIN(1,(AQ$5-F10+1)/H10)*IF(AQ$5&lt;=I10,1,(1-J10)^(AQ$5-I10)))*K10*L10*M10))</f>
        <v/>
      </c>
      <c r="AR10" s="36" t="str">
        <f aca="false">IF('Biotech Model'!$B$4&lt;&gt;"READY","",IF(E10=0,0,IF(AR$5&lt;F10,0,G10*MIN(1,(AR$5-F10+1)/H10)*IF(AR$5&lt;=I10,1,(1-J10)^(AR$5-I10)))*K10*L10*M10))</f>
        <v/>
      </c>
      <c r="AS10" s="36" t="str">
        <f aca="false">IF('Biotech Model'!$B$4&lt;&gt;"READY","",IF(E10=0,0,IF(AS$5&lt;F10,0,G10*MIN(1,(AS$5-F10+1)/H10)*IF(AS$5&lt;=I10,1,(1-J10)^(AS$5-I10)))*K10*L10*M10))</f>
        <v/>
      </c>
      <c r="AT10" s="36" t="str">
        <f aca="false">IF('Biotech Model'!$B$4&lt;&gt;"READY","",IF(E10=0,0,IF(AT$5&lt;F10,0,G10*MIN(1,(AT$5-F10+1)/H10)*IF(AT$5&lt;=I10,1,(1-J10)^(AT$5-I10)))*K10*L10*M10))</f>
        <v/>
      </c>
      <c r="AU10" s="36" t="str">
        <f aca="false">IF('Biotech Model'!$B$4&lt;&gt;"READY","",IF(E10=0,0,IF(AU$5&lt;F10,0,G10*MIN(1,(AU$5-F10+1)/H10)*IF(AU$5&lt;=I10,1,(1-J10)^(AU$5-I10)))*K10*L10*M10))</f>
        <v/>
      </c>
      <c r="AV10" s="36" t="str">
        <f aca="false">IF('Biotech Model'!$B$4&lt;&gt;"READY","",IF(E10=0,0,IF(AV$5&lt;F10,0,G10*MIN(1,(AV$5-F10+1)/H10)*IF(AV$5&lt;=I10,1,(1-J10)^(AV$5-I10)))*K10*L10*M10))</f>
        <v/>
      </c>
      <c r="AW10" s="36" t="str">
        <f aca="false">IF('Biotech Model'!$B$4&lt;&gt;"READY","",IF(E10=0,0,IF(AW$5&lt;F10,0,G10*MIN(1,(AW$5-F10+1)/H10)*IF(AW$5&lt;=I10,1,(1-J10)^(AW$5-I10)))*K10*L10*M10))</f>
        <v/>
      </c>
      <c r="AX10" s="36" t="str">
        <f aca="false">IF('Biotech Model'!$B$4&lt;&gt;"READY","",IF(E10=0,0,IF(AX$5&lt;F10,0,G10*MIN(1,(AX$5-F10+1)/H10)*IF(AX$5&lt;=I10,1,(1-J10)^(AX$5-I10)))*K10*L10*M10))</f>
        <v/>
      </c>
    </row>
    <row r="11" customFormat="false" ht="69.75" hidden="false" customHeight="true" outlineLevel="0" collapsed="false">
      <c r="A11" s="30" t="s">
        <v>83</v>
      </c>
      <c r="B11" s="31" t="s">
        <v>83</v>
      </c>
      <c r="C11" s="31" t="s">
        <v>84</v>
      </c>
      <c r="D11" s="31" t="s">
        <v>85</v>
      </c>
      <c r="E11" s="32" t="str">
        <f aca="false">IF('Input Required'!$B$3&lt;&gt;"READY","",'Input Required'!F67/1)</f>
        <v/>
      </c>
      <c r="F11" s="32" t="str">
        <f aca="false">IF('Input Required'!$B$3&lt;&gt;"READY","",'Input Required'!F68/1)</f>
        <v/>
      </c>
      <c r="G11" s="33" t="str">
        <f aca="false">IF('Input Required'!$B$3&lt;&gt;"READY","",'Input Required'!F69/1000000)</f>
        <v/>
      </c>
      <c r="H11" s="32" t="str">
        <f aca="false">IF('Input Required'!$B$3&lt;&gt;"READY","",'Input Required'!F70/1)</f>
        <v/>
      </c>
      <c r="I11" s="32" t="str">
        <f aca="false">IF('Input Required'!$B$3&lt;&gt;"READY","",'Input Required'!F71/1)</f>
        <v/>
      </c>
      <c r="J11" s="34" t="str">
        <f aca="false">IF('Input Required'!$B$3&lt;&gt;"READY","",'Input Required'!F72/1)</f>
        <v/>
      </c>
      <c r="K11" s="34" t="str">
        <f aca="false">IF('Input Required'!$B$3&lt;&gt;"READY","",'Input Required'!F73/1)</f>
        <v/>
      </c>
      <c r="L11" s="34" t="str">
        <f aca="false">IF('Input Required'!$B$3&lt;&gt;"READY","",'Input Required'!F74/1)</f>
        <v/>
      </c>
      <c r="M11" s="34" t="str">
        <f aca="false">IF('Input Required'!$B$3&lt;&gt;"READY","",'Input Required'!F75/1)</f>
        <v/>
      </c>
      <c r="N11" s="33" t="str">
        <f aca="false">IF('Input Required'!$B$3&lt;&gt;"READY","",'Input Required'!F76/1000000)</f>
        <v/>
      </c>
      <c r="O11" s="35" t="str">
        <f aca="false">IF('Biotech Model'!$B$4&lt;&gt;"READY","",SUMPRODUCT(P11:AX11,$P$3:$AX$3)-E11*N11)</f>
        <v/>
      </c>
      <c r="P11" s="36" t="str">
        <f aca="false">IF('Biotech Model'!$B$4&lt;&gt;"READY","",IF(E11=0,0,IF(P$5&lt;F11,0,G11*MIN(1,(P$5-F11+1)/H11)*IF(P$5&lt;=I11,1,(1-J11)^(P$5-I11)))*K11*L11*M11))</f>
        <v/>
      </c>
      <c r="Q11" s="36" t="str">
        <f aca="false">IF('Biotech Model'!$B$4&lt;&gt;"READY","",IF(E11=0,0,IF(Q$5&lt;F11,0,G11*MIN(1,(Q$5-F11+1)/H11)*IF(Q$5&lt;=I11,1,(1-J11)^(Q$5-I11)))*K11*L11*M11))</f>
        <v/>
      </c>
      <c r="R11" s="36" t="str">
        <f aca="false">IF('Biotech Model'!$B$4&lt;&gt;"READY","",IF(E11=0,0,IF(R$5&lt;F11,0,G11*MIN(1,(R$5-F11+1)/H11)*IF(R$5&lt;=I11,1,(1-J11)^(R$5-I11)))*K11*L11*M11))</f>
        <v/>
      </c>
      <c r="S11" s="36" t="str">
        <f aca="false">IF('Biotech Model'!$B$4&lt;&gt;"READY","",IF(E11=0,0,IF(S$5&lt;F11,0,G11*MIN(1,(S$5-F11+1)/H11)*IF(S$5&lt;=I11,1,(1-J11)^(S$5-I11)))*K11*L11*M11))</f>
        <v/>
      </c>
      <c r="T11" s="36" t="str">
        <f aca="false">IF('Biotech Model'!$B$4&lt;&gt;"READY","",IF(E11=0,0,IF(T$5&lt;F11,0,G11*MIN(1,(T$5-F11+1)/H11)*IF(T$5&lt;=I11,1,(1-J11)^(T$5-I11)))*K11*L11*M11))</f>
        <v/>
      </c>
      <c r="U11" s="36" t="str">
        <f aca="false">IF('Biotech Model'!$B$4&lt;&gt;"READY","",IF(E11=0,0,IF(U$5&lt;F11,0,G11*MIN(1,(U$5-F11+1)/H11)*IF(U$5&lt;=I11,1,(1-J11)^(U$5-I11)))*K11*L11*M11))</f>
        <v/>
      </c>
      <c r="V11" s="36" t="str">
        <f aca="false">IF('Biotech Model'!$B$4&lt;&gt;"READY","",IF(E11=0,0,IF(V$5&lt;F11,0,G11*MIN(1,(V$5-F11+1)/H11)*IF(V$5&lt;=I11,1,(1-J11)^(V$5-I11)))*K11*L11*M11))</f>
        <v/>
      </c>
      <c r="W11" s="36" t="str">
        <f aca="false">IF('Biotech Model'!$B$4&lt;&gt;"READY","",IF(E11=0,0,IF(W$5&lt;F11,0,G11*MIN(1,(W$5-F11+1)/H11)*IF(W$5&lt;=I11,1,(1-J11)^(W$5-I11)))*K11*L11*M11))</f>
        <v/>
      </c>
      <c r="X11" s="36" t="str">
        <f aca="false">IF('Biotech Model'!$B$4&lt;&gt;"READY","",IF(E11=0,0,IF(X$5&lt;F11,0,G11*MIN(1,(X$5-F11+1)/H11)*IF(X$5&lt;=I11,1,(1-J11)^(X$5-I11)))*K11*L11*M11))</f>
        <v/>
      </c>
      <c r="Y11" s="36" t="str">
        <f aca="false">IF('Biotech Model'!$B$4&lt;&gt;"READY","",IF(E11=0,0,IF(Y$5&lt;F11,0,G11*MIN(1,(Y$5-F11+1)/H11)*IF(Y$5&lt;=I11,1,(1-J11)^(Y$5-I11)))*K11*L11*M11))</f>
        <v/>
      </c>
      <c r="Z11" s="36" t="str">
        <f aca="false">IF('Biotech Model'!$B$4&lt;&gt;"READY","",IF(E11=0,0,IF(Z$5&lt;F11,0,G11*MIN(1,(Z$5-F11+1)/H11)*IF(Z$5&lt;=I11,1,(1-J11)^(Z$5-I11)))*K11*L11*M11))</f>
        <v/>
      </c>
      <c r="AA11" s="36" t="str">
        <f aca="false">IF('Biotech Model'!$B$4&lt;&gt;"READY","",IF(E11=0,0,IF(AA$5&lt;F11,0,G11*MIN(1,(AA$5-F11+1)/H11)*IF(AA$5&lt;=I11,1,(1-J11)^(AA$5-I11)))*K11*L11*M11))</f>
        <v/>
      </c>
      <c r="AB11" s="36" t="str">
        <f aca="false">IF('Biotech Model'!$B$4&lt;&gt;"READY","",IF(E11=0,0,IF(AB$5&lt;F11,0,G11*MIN(1,(AB$5-F11+1)/H11)*IF(AB$5&lt;=I11,1,(1-J11)^(AB$5-I11)))*K11*L11*M11))</f>
        <v/>
      </c>
      <c r="AC11" s="36" t="str">
        <f aca="false">IF('Biotech Model'!$B$4&lt;&gt;"READY","",IF(E11=0,0,IF(AC$5&lt;F11,0,G11*MIN(1,(AC$5-F11+1)/H11)*IF(AC$5&lt;=I11,1,(1-J11)^(AC$5-I11)))*K11*L11*M11))</f>
        <v/>
      </c>
      <c r="AD11" s="36" t="str">
        <f aca="false">IF('Biotech Model'!$B$4&lt;&gt;"READY","",IF(E11=0,0,IF(AD$5&lt;F11,0,G11*MIN(1,(AD$5-F11+1)/H11)*IF(AD$5&lt;=I11,1,(1-J11)^(AD$5-I11)))*K11*L11*M11))</f>
        <v/>
      </c>
      <c r="AE11" s="36" t="str">
        <f aca="false">IF('Biotech Model'!$B$4&lt;&gt;"READY","",IF(E11=0,0,IF(AE$5&lt;F11,0,G11*MIN(1,(AE$5-F11+1)/H11)*IF(AE$5&lt;=I11,1,(1-J11)^(AE$5-I11)))*K11*L11*M11))</f>
        <v/>
      </c>
      <c r="AF11" s="36" t="str">
        <f aca="false">IF('Biotech Model'!$B$4&lt;&gt;"READY","",IF(E11=0,0,IF(AF$5&lt;F11,0,G11*MIN(1,(AF$5-F11+1)/H11)*IF(AF$5&lt;=I11,1,(1-J11)^(AF$5-I11)))*K11*L11*M11))</f>
        <v/>
      </c>
      <c r="AG11" s="36" t="str">
        <f aca="false">IF('Biotech Model'!$B$4&lt;&gt;"READY","",IF(E11=0,0,IF(AG$5&lt;F11,0,G11*MIN(1,(AG$5-F11+1)/H11)*IF(AG$5&lt;=I11,1,(1-J11)^(AG$5-I11)))*K11*L11*M11))</f>
        <v/>
      </c>
      <c r="AH11" s="36" t="str">
        <f aca="false">IF('Biotech Model'!$B$4&lt;&gt;"READY","",IF(E11=0,0,IF(AH$5&lt;F11,0,G11*MIN(1,(AH$5-F11+1)/H11)*IF(AH$5&lt;=I11,1,(1-J11)^(AH$5-I11)))*K11*L11*M11))</f>
        <v/>
      </c>
      <c r="AI11" s="36" t="str">
        <f aca="false">IF('Biotech Model'!$B$4&lt;&gt;"READY","",IF(E11=0,0,IF(AI$5&lt;F11,0,G11*MIN(1,(AI$5-F11+1)/H11)*IF(AI$5&lt;=I11,1,(1-J11)^(AI$5-I11)))*K11*L11*M11))</f>
        <v/>
      </c>
      <c r="AJ11" s="36" t="str">
        <f aca="false">IF('Biotech Model'!$B$4&lt;&gt;"READY","",IF(E11=0,0,IF(AJ$5&lt;F11,0,G11*MIN(1,(AJ$5-F11+1)/H11)*IF(AJ$5&lt;=I11,1,(1-J11)^(AJ$5-I11)))*K11*L11*M11))</f>
        <v/>
      </c>
      <c r="AK11" s="36" t="str">
        <f aca="false">IF('Biotech Model'!$B$4&lt;&gt;"READY","",IF(E11=0,0,IF(AK$5&lt;F11,0,G11*MIN(1,(AK$5-F11+1)/H11)*IF(AK$5&lt;=I11,1,(1-J11)^(AK$5-I11)))*K11*L11*M11))</f>
        <v/>
      </c>
      <c r="AL11" s="36" t="str">
        <f aca="false">IF('Biotech Model'!$B$4&lt;&gt;"READY","",IF(E11=0,0,IF(AL$5&lt;F11,0,G11*MIN(1,(AL$5-F11+1)/H11)*IF(AL$5&lt;=I11,1,(1-J11)^(AL$5-I11)))*K11*L11*M11))</f>
        <v/>
      </c>
      <c r="AM11" s="36" t="str">
        <f aca="false">IF('Biotech Model'!$B$4&lt;&gt;"READY","",IF(E11=0,0,IF(AM$5&lt;F11,0,G11*MIN(1,(AM$5-F11+1)/H11)*IF(AM$5&lt;=I11,1,(1-J11)^(AM$5-I11)))*K11*L11*M11))</f>
        <v/>
      </c>
      <c r="AN11" s="36" t="str">
        <f aca="false">IF('Biotech Model'!$B$4&lt;&gt;"READY","",IF(E11=0,0,IF(AN$5&lt;F11,0,G11*MIN(1,(AN$5-F11+1)/H11)*IF(AN$5&lt;=I11,1,(1-J11)^(AN$5-I11)))*K11*L11*M11))</f>
        <v/>
      </c>
      <c r="AO11" s="36" t="str">
        <f aca="false">IF('Biotech Model'!$B$4&lt;&gt;"READY","",IF(E11=0,0,IF(AO$5&lt;F11,0,G11*MIN(1,(AO$5-F11+1)/H11)*IF(AO$5&lt;=I11,1,(1-J11)^(AO$5-I11)))*K11*L11*M11))</f>
        <v/>
      </c>
      <c r="AP11" s="36" t="str">
        <f aca="false">IF('Biotech Model'!$B$4&lt;&gt;"READY","",IF(E11=0,0,IF(AP$5&lt;F11,0,G11*MIN(1,(AP$5-F11+1)/H11)*IF(AP$5&lt;=I11,1,(1-J11)^(AP$5-I11)))*K11*L11*M11))</f>
        <v/>
      </c>
      <c r="AQ11" s="36" t="str">
        <f aca="false">IF('Biotech Model'!$B$4&lt;&gt;"READY","",IF(E11=0,0,IF(AQ$5&lt;F11,0,G11*MIN(1,(AQ$5-F11+1)/H11)*IF(AQ$5&lt;=I11,1,(1-J11)^(AQ$5-I11)))*K11*L11*M11))</f>
        <v/>
      </c>
      <c r="AR11" s="36" t="str">
        <f aca="false">IF('Biotech Model'!$B$4&lt;&gt;"READY","",IF(E11=0,0,IF(AR$5&lt;F11,0,G11*MIN(1,(AR$5-F11+1)/H11)*IF(AR$5&lt;=I11,1,(1-J11)^(AR$5-I11)))*K11*L11*M11))</f>
        <v/>
      </c>
      <c r="AS11" s="36" t="str">
        <f aca="false">IF('Biotech Model'!$B$4&lt;&gt;"READY","",IF(E11=0,0,IF(AS$5&lt;F11,0,G11*MIN(1,(AS$5-F11+1)/H11)*IF(AS$5&lt;=I11,1,(1-J11)^(AS$5-I11)))*K11*L11*M11))</f>
        <v/>
      </c>
      <c r="AT11" s="36" t="str">
        <f aca="false">IF('Biotech Model'!$B$4&lt;&gt;"READY","",IF(E11=0,0,IF(AT$5&lt;F11,0,G11*MIN(1,(AT$5-F11+1)/H11)*IF(AT$5&lt;=I11,1,(1-J11)^(AT$5-I11)))*K11*L11*M11))</f>
        <v/>
      </c>
      <c r="AU11" s="36" t="str">
        <f aca="false">IF('Biotech Model'!$B$4&lt;&gt;"READY","",IF(E11=0,0,IF(AU$5&lt;F11,0,G11*MIN(1,(AU$5-F11+1)/H11)*IF(AU$5&lt;=I11,1,(1-J11)^(AU$5-I11)))*K11*L11*M11))</f>
        <v/>
      </c>
      <c r="AV11" s="36" t="str">
        <f aca="false">IF('Biotech Model'!$B$4&lt;&gt;"READY","",IF(E11=0,0,IF(AV$5&lt;F11,0,G11*MIN(1,(AV$5-F11+1)/H11)*IF(AV$5&lt;=I11,1,(1-J11)^(AV$5-I11)))*K11*L11*M11))</f>
        <v/>
      </c>
      <c r="AW11" s="36" t="str">
        <f aca="false">IF('Biotech Model'!$B$4&lt;&gt;"READY","",IF(E11=0,0,IF(AW$5&lt;F11,0,G11*MIN(1,(AW$5-F11+1)/H11)*IF(AW$5&lt;=I11,1,(1-J11)^(AW$5-I11)))*K11*L11*M11))</f>
        <v/>
      </c>
      <c r="AX11" s="36" t="str">
        <f aca="false">IF('Biotech Model'!$B$4&lt;&gt;"READY","",IF(E11=0,0,IF(AX$5&lt;F11,0,G11*MIN(1,(AX$5-F11+1)/H11)*IF(AX$5&lt;=I11,1,(1-J11)^(AX$5-I11)))*K11*L11*M11))</f>
        <v/>
      </c>
    </row>
    <row r="12" customFormat="false" ht="69.75" hidden="false" customHeight="true" outlineLevel="0" collapsed="false">
      <c r="A12" s="30" t="s">
        <v>86</v>
      </c>
      <c r="B12" s="31" t="s">
        <v>86</v>
      </c>
      <c r="C12" s="31" t="s">
        <v>87</v>
      </c>
      <c r="D12" s="31" t="s">
        <v>88</v>
      </c>
      <c r="E12" s="32" t="str">
        <f aca="false">IF('Input Required'!$B$3&lt;&gt;"READY","",'Input Required'!F77/1)</f>
        <v/>
      </c>
      <c r="F12" s="32" t="str">
        <f aca="false">IF('Input Required'!$B$3&lt;&gt;"READY","",'Input Required'!F78/1)</f>
        <v/>
      </c>
      <c r="G12" s="33" t="str">
        <f aca="false">IF('Input Required'!$B$3&lt;&gt;"READY","",'Input Required'!F79/1000000)</f>
        <v/>
      </c>
      <c r="H12" s="32" t="str">
        <f aca="false">IF('Input Required'!$B$3&lt;&gt;"READY","",'Input Required'!F80/1)</f>
        <v/>
      </c>
      <c r="I12" s="32" t="str">
        <f aca="false">IF('Input Required'!$B$3&lt;&gt;"READY","",'Input Required'!F81/1)</f>
        <v/>
      </c>
      <c r="J12" s="34" t="str">
        <f aca="false">IF('Input Required'!$B$3&lt;&gt;"READY","",'Input Required'!F82/1)</f>
        <v/>
      </c>
      <c r="K12" s="34" t="str">
        <f aca="false">IF('Input Required'!$B$3&lt;&gt;"READY","",'Input Required'!F83/1)</f>
        <v/>
      </c>
      <c r="L12" s="34" t="str">
        <f aca="false">IF('Input Required'!$B$3&lt;&gt;"READY","",'Input Required'!F84/1)</f>
        <v/>
      </c>
      <c r="M12" s="34" t="str">
        <f aca="false">IF('Input Required'!$B$3&lt;&gt;"READY","",'Input Required'!F85/1)</f>
        <v/>
      </c>
      <c r="N12" s="33" t="str">
        <f aca="false">IF('Input Required'!$B$3&lt;&gt;"READY","",'Input Required'!F86/1000000)</f>
        <v/>
      </c>
      <c r="O12" s="35" t="str">
        <f aca="false">IF('Biotech Model'!$B$4&lt;&gt;"READY","",SUMPRODUCT(P12:AX12,$P$3:$AX$3)-E12*N12)</f>
        <v/>
      </c>
      <c r="P12" s="36" t="str">
        <f aca="false">IF('Biotech Model'!$B$4&lt;&gt;"READY","",IF(E12=0,0,IF(P$5&lt;F12,0,G12*MIN(1,(P$5-F12+1)/H12)*IF(P$5&lt;=I12,1,(1-J12)^(P$5-I12)))*K12*L12*M12))</f>
        <v/>
      </c>
      <c r="Q12" s="36" t="str">
        <f aca="false">IF('Biotech Model'!$B$4&lt;&gt;"READY","",IF(E12=0,0,IF(Q$5&lt;F12,0,G12*MIN(1,(Q$5-F12+1)/H12)*IF(Q$5&lt;=I12,1,(1-J12)^(Q$5-I12)))*K12*L12*M12))</f>
        <v/>
      </c>
      <c r="R12" s="36" t="str">
        <f aca="false">IF('Biotech Model'!$B$4&lt;&gt;"READY","",IF(E12=0,0,IF(R$5&lt;F12,0,G12*MIN(1,(R$5-F12+1)/H12)*IF(R$5&lt;=I12,1,(1-J12)^(R$5-I12)))*K12*L12*M12))</f>
        <v/>
      </c>
      <c r="S12" s="36" t="str">
        <f aca="false">IF('Biotech Model'!$B$4&lt;&gt;"READY","",IF(E12=0,0,IF(S$5&lt;F12,0,G12*MIN(1,(S$5-F12+1)/H12)*IF(S$5&lt;=I12,1,(1-J12)^(S$5-I12)))*K12*L12*M12))</f>
        <v/>
      </c>
      <c r="T12" s="36" t="str">
        <f aca="false">IF('Biotech Model'!$B$4&lt;&gt;"READY","",IF(E12=0,0,IF(T$5&lt;F12,0,G12*MIN(1,(T$5-F12+1)/H12)*IF(T$5&lt;=I12,1,(1-J12)^(T$5-I12)))*K12*L12*M12))</f>
        <v/>
      </c>
      <c r="U12" s="36" t="str">
        <f aca="false">IF('Biotech Model'!$B$4&lt;&gt;"READY","",IF(E12=0,0,IF(U$5&lt;F12,0,G12*MIN(1,(U$5-F12+1)/H12)*IF(U$5&lt;=I12,1,(1-J12)^(U$5-I12)))*K12*L12*M12))</f>
        <v/>
      </c>
      <c r="V12" s="36" t="str">
        <f aca="false">IF('Biotech Model'!$B$4&lt;&gt;"READY","",IF(E12=0,0,IF(V$5&lt;F12,0,G12*MIN(1,(V$5-F12+1)/H12)*IF(V$5&lt;=I12,1,(1-J12)^(V$5-I12)))*K12*L12*M12))</f>
        <v/>
      </c>
      <c r="W12" s="36" t="str">
        <f aca="false">IF('Biotech Model'!$B$4&lt;&gt;"READY","",IF(E12=0,0,IF(W$5&lt;F12,0,G12*MIN(1,(W$5-F12+1)/H12)*IF(W$5&lt;=I12,1,(1-J12)^(W$5-I12)))*K12*L12*M12))</f>
        <v/>
      </c>
      <c r="X12" s="36" t="str">
        <f aca="false">IF('Biotech Model'!$B$4&lt;&gt;"READY","",IF(E12=0,0,IF(X$5&lt;F12,0,G12*MIN(1,(X$5-F12+1)/H12)*IF(X$5&lt;=I12,1,(1-J12)^(X$5-I12)))*K12*L12*M12))</f>
        <v/>
      </c>
      <c r="Y12" s="36" t="str">
        <f aca="false">IF('Biotech Model'!$B$4&lt;&gt;"READY","",IF(E12=0,0,IF(Y$5&lt;F12,0,G12*MIN(1,(Y$5-F12+1)/H12)*IF(Y$5&lt;=I12,1,(1-J12)^(Y$5-I12)))*K12*L12*M12))</f>
        <v/>
      </c>
      <c r="Z12" s="36" t="str">
        <f aca="false">IF('Biotech Model'!$B$4&lt;&gt;"READY","",IF(E12=0,0,IF(Z$5&lt;F12,0,G12*MIN(1,(Z$5-F12+1)/H12)*IF(Z$5&lt;=I12,1,(1-J12)^(Z$5-I12)))*K12*L12*M12))</f>
        <v/>
      </c>
      <c r="AA12" s="36" t="str">
        <f aca="false">IF('Biotech Model'!$B$4&lt;&gt;"READY","",IF(E12=0,0,IF(AA$5&lt;F12,0,G12*MIN(1,(AA$5-F12+1)/H12)*IF(AA$5&lt;=I12,1,(1-J12)^(AA$5-I12)))*K12*L12*M12))</f>
        <v/>
      </c>
      <c r="AB12" s="36" t="str">
        <f aca="false">IF('Biotech Model'!$B$4&lt;&gt;"READY","",IF(E12=0,0,IF(AB$5&lt;F12,0,G12*MIN(1,(AB$5-F12+1)/H12)*IF(AB$5&lt;=I12,1,(1-J12)^(AB$5-I12)))*K12*L12*M12))</f>
        <v/>
      </c>
      <c r="AC12" s="36" t="str">
        <f aca="false">IF('Biotech Model'!$B$4&lt;&gt;"READY","",IF(E12=0,0,IF(AC$5&lt;F12,0,G12*MIN(1,(AC$5-F12+1)/H12)*IF(AC$5&lt;=I12,1,(1-J12)^(AC$5-I12)))*K12*L12*M12))</f>
        <v/>
      </c>
      <c r="AD12" s="36" t="str">
        <f aca="false">IF('Biotech Model'!$B$4&lt;&gt;"READY","",IF(E12=0,0,IF(AD$5&lt;F12,0,G12*MIN(1,(AD$5-F12+1)/H12)*IF(AD$5&lt;=I12,1,(1-J12)^(AD$5-I12)))*K12*L12*M12))</f>
        <v/>
      </c>
      <c r="AE12" s="36" t="str">
        <f aca="false">IF('Biotech Model'!$B$4&lt;&gt;"READY","",IF(E12=0,0,IF(AE$5&lt;F12,0,G12*MIN(1,(AE$5-F12+1)/H12)*IF(AE$5&lt;=I12,1,(1-J12)^(AE$5-I12)))*K12*L12*M12))</f>
        <v/>
      </c>
      <c r="AF12" s="36" t="str">
        <f aca="false">IF('Biotech Model'!$B$4&lt;&gt;"READY","",IF(E12=0,0,IF(AF$5&lt;F12,0,G12*MIN(1,(AF$5-F12+1)/H12)*IF(AF$5&lt;=I12,1,(1-J12)^(AF$5-I12)))*K12*L12*M12))</f>
        <v/>
      </c>
      <c r="AG12" s="36" t="str">
        <f aca="false">IF('Biotech Model'!$B$4&lt;&gt;"READY","",IF(E12=0,0,IF(AG$5&lt;F12,0,G12*MIN(1,(AG$5-F12+1)/H12)*IF(AG$5&lt;=I12,1,(1-J12)^(AG$5-I12)))*K12*L12*M12))</f>
        <v/>
      </c>
      <c r="AH12" s="36" t="str">
        <f aca="false">IF('Biotech Model'!$B$4&lt;&gt;"READY","",IF(E12=0,0,IF(AH$5&lt;F12,0,G12*MIN(1,(AH$5-F12+1)/H12)*IF(AH$5&lt;=I12,1,(1-J12)^(AH$5-I12)))*K12*L12*M12))</f>
        <v/>
      </c>
      <c r="AI12" s="36" t="str">
        <f aca="false">IF('Biotech Model'!$B$4&lt;&gt;"READY","",IF(E12=0,0,IF(AI$5&lt;F12,0,G12*MIN(1,(AI$5-F12+1)/H12)*IF(AI$5&lt;=I12,1,(1-J12)^(AI$5-I12)))*K12*L12*M12))</f>
        <v/>
      </c>
      <c r="AJ12" s="36" t="str">
        <f aca="false">IF('Biotech Model'!$B$4&lt;&gt;"READY","",IF(E12=0,0,IF(AJ$5&lt;F12,0,G12*MIN(1,(AJ$5-F12+1)/H12)*IF(AJ$5&lt;=I12,1,(1-J12)^(AJ$5-I12)))*K12*L12*M12))</f>
        <v/>
      </c>
      <c r="AK12" s="36" t="str">
        <f aca="false">IF('Biotech Model'!$B$4&lt;&gt;"READY","",IF(E12=0,0,IF(AK$5&lt;F12,0,G12*MIN(1,(AK$5-F12+1)/H12)*IF(AK$5&lt;=I12,1,(1-J12)^(AK$5-I12)))*K12*L12*M12))</f>
        <v/>
      </c>
      <c r="AL12" s="36" t="str">
        <f aca="false">IF('Biotech Model'!$B$4&lt;&gt;"READY","",IF(E12=0,0,IF(AL$5&lt;F12,0,G12*MIN(1,(AL$5-F12+1)/H12)*IF(AL$5&lt;=I12,1,(1-J12)^(AL$5-I12)))*K12*L12*M12))</f>
        <v/>
      </c>
      <c r="AM12" s="36" t="str">
        <f aca="false">IF('Biotech Model'!$B$4&lt;&gt;"READY","",IF(E12=0,0,IF(AM$5&lt;F12,0,G12*MIN(1,(AM$5-F12+1)/H12)*IF(AM$5&lt;=I12,1,(1-J12)^(AM$5-I12)))*K12*L12*M12))</f>
        <v/>
      </c>
      <c r="AN12" s="36" t="str">
        <f aca="false">IF('Biotech Model'!$B$4&lt;&gt;"READY","",IF(E12=0,0,IF(AN$5&lt;F12,0,G12*MIN(1,(AN$5-F12+1)/H12)*IF(AN$5&lt;=I12,1,(1-J12)^(AN$5-I12)))*K12*L12*M12))</f>
        <v/>
      </c>
      <c r="AO12" s="36" t="str">
        <f aca="false">IF('Biotech Model'!$B$4&lt;&gt;"READY","",IF(E12=0,0,IF(AO$5&lt;F12,0,G12*MIN(1,(AO$5-F12+1)/H12)*IF(AO$5&lt;=I12,1,(1-J12)^(AO$5-I12)))*K12*L12*M12))</f>
        <v/>
      </c>
      <c r="AP12" s="36" t="str">
        <f aca="false">IF('Biotech Model'!$B$4&lt;&gt;"READY","",IF(E12=0,0,IF(AP$5&lt;F12,0,G12*MIN(1,(AP$5-F12+1)/H12)*IF(AP$5&lt;=I12,1,(1-J12)^(AP$5-I12)))*K12*L12*M12))</f>
        <v/>
      </c>
      <c r="AQ12" s="36" t="str">
        <f aca="false">IF('Biotech Model'!$B$4&lt;&gt;"READY","",IF(E12=0,0,IF(AQ$5&lt;F12,0,G12*MIN(1,(AQ$5-F12+1)/H12)*IF(AQ$5&lt;=I12,1,(1-J12)^(AQ$5-I12)))*K12*L12*M12))</f>
        <v/>
      </c>
      <c r="AR12" s="36" t="str">
        <f aca="false">IF('Biotech Model'!$B$4&lt;&gt;"READY","",IF(E12=0,0,IF(AR$5&lt;F12,0,G12*MIN(1,(AR$5-F12+1)/H12)*IF(AR$5&lt;=I12,1,(1-J12)^(AR$5-I12)))*K12*L12*M12))</f>
        <v/>
      </c>
      <c r="AS12" s="36" t="str">
        <f aca="false">IF('Biotech Model'!$B$4&lt;&gt;"READY","",IF(E12=0,0,IF(AS$5&lt;F12,0,G12*MIN(1,(AS$5-F12+1)/H12)*IF(AS$5&lt;=I12,1,(1-J12)^(AS$5-I12)))*K12*L12*M12))</f>
        <v/>
      </c>
      <c r="AT12" s="36" t="str">
        <f aca="false">IF('Biotech Model'!$B$4&lt;&gt;"READY","",IF(E12=0,0,IF(AT$5&lt;F12,0,G12*MIN(1,(AT$5-F12+1)/H12)*IF(AT$5&lt;=I12,1,(1-J12)^(AT$5-I12)))*K12*L12*M12))</f>
        <v/>
      </c>
      <c r="AU12" s="36" t="str">
        <f aca="false">IF('Biotech Model'!$B$4&lt;&gt;"READY","",IF(E12=0,0,IF(AU$5&lt;F12,0,G12*MIN(1,(AU$5-F12+1)/H12)*IF(AU$5&lt;=I12,1,(1-J12)^(AU$5-I12)))*K12*L12*M12))</f>
        <v/>
      </c>
      <c r="AV12" s="36" t="str">
        <f aca="false">IF('Biotech Model'!$B$4&lt;&gt;"READY","",IF(E12=0,0,IF(AV$5&lt;F12,0,G12*MIN(1,(AV$5-F12+1)/H12)*IF(AV$5&lt;=I12,1,(1-J12)^(AV$5-I12)))*K12*L12*M12))</f>
        <v/>
      </c>
      <c r="AW12" s="36" t="str">
        <f aca="false">IF('Biotech Model'!$B$4&lt;&gt;"READY","",IF(E12=0,0,IF(AW$5&lt;F12,0,G12*MIN(1,(AW$5-F12+1)/H12)*IF(AW$5&lt;=I12,1,(1-J12)^(AW$5-I12)))*K12*L12*M12))</f>
        <v/>
      </c>
      <c r="AX12" s="36" t="str">
        <f aca="false">IF('Biotech Model'!$B$4&lt;&gt;"READY","",IF(E12=0,0,IF(AX$5&lt;F12,0,G12*MIN(1,(AX$5-F12+1)/H12)*IF(AX$5&lt;=I12,1,(1-J12)^(AX$5-I12)))*K12*L12*M12))</f>
        <v/>
      </c>
    </row>
    <row r="13" customFormat="false" ht="69.75" hidden="false" customHeight="true" outlineLevel="0" collapsed="false">
      <c r="A13" s="30" t="s">
        <v>89</v>
      </c>
      <c r="B13" s="31" t="s">
        <v>89</v>
      </c>
      <c r="C13" s="31" t="s">
        <v>74</v>
      </c>
      <c r="D13" s="31" t="s">
        <v>90</v>
      </c>
      <c r="E13" s="32" t="str">
        <f aca="false">IF('Input Required'!$B$3&lt;&gt;"READY","",'Input Required'!F87/1)</f>
        <v/>
      </c>
      <c r="F13" s="32" t="str">
        <f aca="false">IF('Input Required'!$B$3&lt;&gt;"READY","",'Input Required'!F88/1)</f>
        <v/>
      </c>
      <c r="G13" s="33" t="str">
        <f aca="false">IF('Input Required'!$B$3&lt;&gt;"READY","",'Input Required'!F89/1000000)</f>
        <v/>
      </c>
      <c r="H13" s="32" t="str">
        <f aca="false">IF('Input Required'!$B$3&lt;&gt;"READY","",'Input Required'!F90/1)</f>
        <v/>
      </c>
      <c r="I13" s="32" t="str">
        <f aca="false">IF('Input Required'!$B$3&lt;&gt;"READY","",'Input Required'!F91/1)</f>
        <v/>
      </c>
      <c r="J13" s="34" t="str">
        <f aca="false">IF('Input Required'!$B$3&lt;&gt;"READY","",'Input Required'!F92/1)</f>
        <v/>
      </c>
      <c r="K13" s="34" t="str">
        <f aca="false">IF('Input Required'!$B$3&lt;&gt;"READY","",'Input Required'!F93/1)</f>
        <v/>
      </c>
      <c r="L13" s="34" t="str">
        <f aca="false">IF('Input Required'!$B$3&lt;&gt;"READY","",'Input Required'!F94/1)</f>
        <v/>
      </c>
      <c r="M13" s="34" t="str">
        <f aca="false">IF('Input Required'!$B$3&lt;&gt;"READY","",'Input Required'!F95/1)</f>
        <v/>
      </c>
      <c r="N13" s="33" t="str">
        <f aca="false">IF('Input Required'!$B$3&lt;&gt;"READY","",'Input Required'!F96/1000000)</f>
        <v/>
      </c>
      <c r="O13" s="35" t="str">
        <f aca="false">IF('Biotech Model'!$B$4&lt;&gt;"READY","",SUMPRODUCT(P13:AX13,$P$3:$AX$3)-E13*N13)</f>
        <v/>
      </c>
      <c r="P13" s="36" t="str">
        <f aca="false">IF('Biotech Model'!$B$4&lt;&gt;"READY","",IF(E13=0,0,IF(P$5&lt;F13,0,G13*MIN(1,(P$5-F13+1)/H13)*IF(P$5&lt;=I13,1,(1-J13)^(P$5-I13)))*K13*L13*M13))</f>
        <v/>
      </c>
      <c r="Q13" s="36" t="str">
        <f aca="false">IF('Biotech Model'!$B$4&lt;&gt;"READY","",IF(E13=0,0,IF(Q$5&lt;F13,0,G13*MIN(1,(Q$5-F13+1)/H13)*IF(Q$5&lt;=I13,1,(1-J13)^(Q$5-I13)))*K13*L13*M13))</f>
        <v/>
      </c>
      <c r="R13" s="36" t="str">
        <f aca="false">IF('Biotech Model'!$B$4&lt;&gt;"READY","",IF(E13=0,0,IF(R$5&lt;F13,0,G13*MIN(1,(R$5-F13+1)/H13)*IF(R$5&lt;=I13,1,(1-J13)^(R$5-I13)))*K13*L13*M13))</f>
        <v/>
      </c>
      <c r="S13" s="36" t="str">
        <f aca="false">IF('Biotech Model'!$B$4&lt;&gt;"READY","",IF(E13=0,0,IF(S$5&lt;F13,0,G13*MIN(1,(S$5-F13+1)/H13)*IF(S$5&lt;=I13,1,(1-J13)^(S$5-I13)))*K13*L13*M13))</f>
        <v/>
      </c>
      <c r="T13" s="36" t="str">
        <f aca="false">IF('Biotech Model'!$B$4&lt;&gt;"READY","",IF(E13=0,0,IF(T$5&lt;F13,0,G13*MIN(1,(T$5-F13+1)/H13)*IF(T$5&lt;=I13,1,(1-J13)^(T$5-I13)))*K13*L13*M13))</f>
        <v/>
      </c>
      <c r="U13" s="36" t="str">
        <f aca="false">IF('Biotech Model'!$B$4&lt;&gt;"READY","",IF(E13=0,0,IF(U$5&lt;F13,0,G13*MIN(1,(U$5-F13+1)/H13)*IF(U$5&lt;=I13,1,(1-J13)^(U$5-I13)))*K13*L13*M13))</f>
        <v/>
      </c>
      <c r="V13" s="36" t="str">
        <f aca="false">IF('Biotech Model'!$B$4&lt;&gt;"READY","",IF(E13=0,0,IF(V$5&lt;F13,0,G13*MIN(1,(V$5-F13+1)/H13)*IF(V$5&lt;=I13,1,(1-J13)^(V$5-I13)))*K13*L13*M13))</f>
        <v/>
      </c>
      <c r="W13" s="36" t="str">
        <f aca="false">IF('Biotech Model'!$B$4&lt;&gt;"READY","",IF(E13=0,0,IF(W$5&lt;F13,0,G13*MIN(1,(W$5-F13+1)/H13)*IF(W$5&lt;=I13,1,(1-J13)^(W$5-I13)))*K13*L13*M13))</f>
        <v/>
      </c>
      <c r="X13" s="36" t="str">
        <f aca="false">IF('Biotech Model'!$B$4&lt;&gt;"READY","",IF(E13=0,0,IF(X$5&lt;F13,0,G13*MIN(1,(X$5-F13+1)/H13)*IF(X$5&lt;=I13,1,(1-J13)^(X$5-I13)))*K13*L13*M13))</f>
        <v/>
      </c>
      <c r="Y13" s="36" t="str">
        <f aca="false">IF('Biotech Model'!$B$4&lt;&gt;"READY","",IF(E13=0,0,IF(Y$5&lt;F13,0,G13*MIN(1,(Y$5-F13+1)/H13)*IF(Y$5&lt;=I13,1,(1-J13)^(Y$5-I13)))*K13*L13*M13))</f>
        <v/>
      </c>
      <c r="Z13" s="36" t="str">
        <f aca="false">IF('Biotech Model'!$B$4&lt;&gt;"READY","",IF(E13=0,0,IF(Z$5&lt;F13,0,G13*MIN(1,(Z$5-F13+1)/H13)*IF(Z$5&lt;=I13,1,(1-J13)^(Z$5-I13)))*K13*L13*M13))</f>
        <v/>
      </c>
      <c r="AA13" s="36" t="str">
        <f aca="false">IF('Biotech Model'!$B$4&lt;&gt;"READY","",IF(E13=0,0,IF(AA$5&lt;F13,0,G13*MIN(1,(AA$5-F13+1)/H13)*IF(AA$5&lt;=I13,1,(1-J13)^(AA$5-I13)))*K13*L13*M13))</f>
        <v/>
      </c>
      <c r="AB13" s="36" t="str">
        <f aca="false">IF('Biotech Model'!$B$4&lt;&gt;"READY","",IF(E13=0,0,IF(AB$5&lt;F13,0,G13*MIN(1,(AB$5-F13+1)/H13)*IF(AB$5&lt;=I13,1,(1-J13)^(AB$5-I13)))*K13*L13*M13))</f>
        <v/>
      </c>
      <c r="AC13" s="36" t="str">
        <f aca="false">IF('Biotech Model'!$B$4&lt;&gt;"READY","",IF(E13=0,0,IF(AC$5&lt;F13,0,G13*MIN(1,(AC$5-F13+1)/H13)*IF(AC$5&lt;=I13,1,(1-J13)^(AC$5-I13)))*K13*L13*M13))</f>
        <v/>
      </c>
      <c r="AD13" s="36" t="str">
        <f aca="false">IF('Biotech Model'!$B$4&lt;&gt;"READY","",IF(E13=0,0,IF(AD$5&lt;F13,0,G13*MIN(1,(AD$5-F13+1)/H13)*IF(AD$5&lt;=I13,1,(1-J13)^(AD$5-I13)))*K13*L13*M13))</f>
        <v/>
      </c>
      <c r="AE13" s="36" t="str">
        <f aca="false">IF('Biotech Model'!$B$4&lt;&gt;"READY","",IF(E13=0,0,IF(AE$5&lt;F13,0,G13*MIN(1,(AE$5-F13+1)/H13)*IF(AE$5&lt;=I13,1,(1-J13)^(AE$5-I13)))*K13*L13*M13))</f>
        <v/>
      </c>
      <c r="AF13" s="36" t="str">
        <f aca="false">IF('Biotech Model'!$B$4&lt;&gt;"READY","",IF(E13=0,0,IF(AF$5&lt;F13,0,G13*MIN(1,(AF$5-F13+1)/H13)*IF(AF$5&lt;=I13,1,(1-J13)^(AF$5-I13)))*K13*L13*M13))</f>
        <v/>
      </c>
      <c r="AG13" s="36" t="str">
        <f aca="false">IF('Biotech Model'!$B$4&lt;&gt;"READY","",IF(E13=0,0,IF(AG$5&lt;F13,0,G13*MIN(1,(AG$5-F13+1)/H13)*IF(AG$5&lt;=I13,1,(1-J13)^(AG$5-I13)))*K13*L13*M13))</f>
        <v/>
      </c>
      <c r="AH13" s="36" t="str">
        <f aca="false">IF('Biotech Model'!$B$4&lt;&gt;"READY","",IF(E13=0,0,IF(AH$5&lt;F13,0,G13*MIN(1,(AH$5-F13+1)/H13)*IF(AH$5&lt;=I13,1,(1-J13)^(AH$5-I13)))*K13*L13*M13))</f>
        <v/>
      </c>
      <c r="AI13" s="36" t="str">
        <f aca="false">IF('Biotech Model'!$B$4&lt;&gt;"READY","",IF(E13=0,0,IF(AI$5&lt;F13,0,G13*MIN(1,(AI$5-F13+1)/H13)*IF(AI$5&lt;=I13,1,(1-J13)^(AI$5-I13)))*K13*L13*M13))</f>
        <v/>
      </c>
      <c r="AJ13" s="36" t="str">
        <f aca="false">IF('Biotech Model'!$B$4&lt;&gt;"READY","",IF(E13=0,0,IF(AJ$5&lt;F13,0,G13*MIN(1,(AJ$5-F13+1)/H13)*IF(AJ$5&lt;=I13,1,(1-J13)^(AJ$5-I13)))*K13*L13*M13))</f>
        <v/>
      </c>
      <c r="AK13" s="36" t="str">
        <f aca="false">IF('Biotech Model'!$B$4&lt;&gt;"READY","",IF(E13=0,0,IF(AK$5&lt;F13,0,G13*MIN(1,(AK$5-F13+1)/H13)*IF(AK$5&lt;=I13,1,(1-J13)^(AK$5-I13)))*K13*L13*M13))</f>
        <v/>
      </c>
      <c r="AL13" s="36" t="str">
        <f aca="false">IF('Biotech Model'!$B$4&lt;&gt;"READY","",IF(E13=0,0,IF(AL$5&lt;F13,0,G13*MIN(1,(AL$5-F13+1)/H13)*IF(AL$5&lt;=I13,1,(1-J13)^(AL$5-I13)))*K13*L13*M13))</f>
        <v/>
      </c>
      <c r="AM13" s="36" t="str">
        <f aca="false">IF('Biotech Model'!$B$4&lt;&gt;"READY","",IF(E13=0,0,IF(AM$5&lt;F13,0,G13*MIN(1,(AM$5-F13+1)/H13)*IF(AM$5&lt;=I13,1,(1-J13)^(AM$5-I13)))*K13*L13*M13))</f>
        <v/>
      </c>
      <c r="AN13" s="36" t="str">
        <f aca="false">IF('Biotech Model'!$B$4&lt;&gt;"READY","",IF(E13=0,0,IF(AN$5&lt;F13,0,G13*MIN(1,(AN$5-F13+1)/H13)*IF(AN$5&lt;=I13,1,(1-J13)^(AN$5-I13)))*K13*L13*M13))</f>
        <v/>
      </c>
      <c r="AO13" s="36" t="str">
        <f aca="false">IF('Biotech Model'!$B$4&lt;&gt;"READY","",IF(E13=0,0,IF(AO$5&lt;F13,0,G13*MIN(1,(AO$5-F13+1)/H13)*IF(AO$5&lt;=I13,1,(1-J13)^(AO$5-I13)))*K13*L13*M13))</f>
        <v/>
      </c>
      <c r="AP13" s="36" t="str">
        <f aca="false">IF('Biotech Model'!$B$4&lt;&gt;"READY","",IF(E13=0,0,IF(AP$5&lt;F13,0,G13*MIN(1,(AP$5-F13+1)/H13)*IF(AP$5&lt;=I13,1,(1-J13)^(AP$5-I13)))*K13*L13*M13))</f>
        <v/>
      </c>
      <c r="AQ13" s="36" t="str">
        <f aca="false">IF('Biotech Model'!$B$4&lt;&gt;"READY","",IF(E13=0,0,IF(AQ$5&lt;F13,0,G13*MIN(1,(AQ$5-F13+1)/H13)*IF(AQ$5&lt;=I13,1,(1-J13)^(AQ$5-I13)))*K13*L13*M13))</f>
        <v/>
      </c>
      <c r="AR13" s="36" t="str">
        <f aca="false">IF('Biotech Model'!$B$4&lt;&gt;"READY","",IF(E13=0,0,IF(AR$5&lt;F13,0,G13*MIN(1,(AR$5-F13+1)/H13)*IF(AR$5&lt;=I13,1,(1-J13)^(AR$5-I13)))*K13*L13*M13))</f>
        <v/>
      </c>
      <c r="AS13" s="36" t="str">
        <f aca="false">IF('Biotech Model'!$B$4&lt;&gt;"READY","",IF(E13=0,0,IF(AS$5&lt;F13,0,G13*MIN(1,(AS$5-F13+1)/H13)*IF(AS$5&lt;=I13,1,(1-J13)^(AS$5-I13)))*K13*L13*M13))</f>
        <v/>
      </c>
      <c r="AT13" s="36" t="str">
        <f aca="false">IF('Biotech Model'!$B$4&lt;&gt;"READY","",IF(E13=0,0,IF(AT$5&lt;F13,0,G13*MIN(1,(AT$5-F13+1)/H13)*IF(AT$5&lt;=I13,1,(1-J13)^(AT$5-I13)))*K13*L13*M13))</f>
        <v/>
      </c>
      <c r="AU13" s="36" t="str">
        <f aca="false">IF('Biotech Model'!$B$4&lt;&gt;"READY","",IF(E13=0,0,IF(AU$5&lt;F13,0,G13*MIN(1,(AU$5-F13+1)/H13)*IF(AU$5&lt;=I13,1,(1-J13)^(AU$5-I13)))*K13*L13*M13))</f>
        <v/>
      </c>
      <c r="AV13" s="36" t="str">
        <f aca="false">IF('Biotech Model'!$B$4&lt;&gt;"READY","",IF(E13=0,0,IF(AV$5&lt;F13,0,G13*MIN(1,(AV$5-F13+1)/H13)*IF(AV$5&lt;=I13,1,(1-J13)^(AV$5-I13)))*K13*L13*M13))</f>
        <v/>
      </c>
      <c r="AW13" s="36" t="str">
        <f aca="false">IF('Biotech Model'!$B$4&lt;&gt;"READY","",IF(E13=0,0,IF(AW$5&lt;F13,0,G13*MIN(1,(AW$5-F13+1)/H13)*IF(AW$5&lt;=I13,1,(1-J13)^(AW$5-I13)))*K13*L13*M13))</f>
        <v/>
      </c>
      <c r="AX13" s="36" t="str">
        <f aca="false">IF('Biotech Model'!$B$4&lt;&gt;"READY","",IF(E13=0,0,IF(AX$5&lt;F13,0,G13*MIN(1,(AX$5-F13+1)/H13)*IF(AX$5&lt;=I13,1,(1-J13)^(AX$5-I13)))*K13*L13*M13))</f>
        <v/>
      </c>
    </row>
    <row r="14" customFormat="false" ht="69.75" hidden="false" customHeight="true" outlineLevel="0" collapsed="false">
      <c r="A14" s="30" t="s">
        <v>91</v>
      </c>
      <c r="B14" s="31" t="s">
        <v>91</v>
      </c>
      <c r="C14" s="31" t="s">
        <v>92</v>
      </c>
      <c r="D14" s="31" t="s">
        <v>93</v>
      </c>
      <c r="E14" s="32" t="str">
        <f aca="false">IF('Input Required'!$B$3&lt;&gt;"READY","",'Input Required'!F97/1)</f>
        <v/>
      </c>
      <c r="F14" s="32" t="str">
        <f aca="false">IF('Input Required'!$B$3&lt;&gt;"READY","",'Input Required'!F98/1)</f>
        <v/>
      </c>
      <c r="G14" s="33" t="str">
        <f aca="false">IF('Input Required'!$B$3&lt;&gt;"READY","",'Input Required'!F99/1000000)</f>
        <v/>
      </c>
      <c r="H14" s="32" t="str">
        <f aca="false">IF('Input Required'!$B$3&lt;&gt;"READY","",'Input Required'!F100/1)</f>
        <v/>
      </c>
      <c r="I14" s="32" t="str">
        <f aca="false">IF('Input Required'!$B$3&lt;&gt;"READY","",'Input Required'!F101/1)</f>
        <v/>
      </c>
      <c r="J14" s="34" t="str">
        <f aca="false">IF('Input Required'!$B$3&lt;&gt;"READY","",'Input Required'!F102/1)</f>
        <v/>
      </c>
      <c r="K14" s="34" t="str">
        <f aca="false">IF('Input Required'!$B$3&lt;&gt;"READY","",'Input Required'!F103/1)</f>
        <v/>
      </c>
      <c r="L14" s="34" t="str">
        <f aca="false">IF('Input Required'!$B$3&lt;&gt;"READY","",'Input Required'!F104/1)</f>
        <v/>
      </c>
      <c r="M14" s="34" t="str">
        <f aca="false">IF('Input Required'!$B$3&lt;&gt;"READY","",'Input Required'!F105/1)</f>
        <v/>
      </c>
      <c r="N14" s="33" t="str">
        <f aca="false">IF('Input Required'!$B$3&lt;&gt;"READY","",'Input Required'!F106/1000000)</f>
        <v/>
      </c>
      <c r="O14" s="35" t="str">
        <f aca="false">IF('Biotech Model'!$B$4&lt;&gt;"READY","",SUMPRODUCT(P14:AX14,$P$3:$AX$3)-E14*N14)</f>
        <v/>
      </c>
      <c r="P14" s="36" t="str">
        <f aca="false">IF('Biotech Model'!$B$4&lt;&gt;"READY","",IF(E14=0,0,IF(P$5&lt;F14,0,G14*MIN(1,(P$5-F14+1)/H14)*IF(P$5&lt;=I14,1,(1-J14)^(P$5-I14)))*K14*L14*M14))</f>
        <v/>
      </c>
      <c r="Q14" s="36" t="str">
        <f aca="false">IF('Biotech Model'!$B$4&lt;&gt;"READY","",IF(E14=0,0,IF(Q$5&lt;F14,0,G14*MIN(1,(Q$5-F14+1)/H14)*IF(Q$5&lt;=I14,1,(1-J14)^(Q$5-I14)))*K14*L14*M14))</f>
        <v/>
      </c>
      <c r="R14" s="36" t="str">
        <f aca="false">IF('Biotech Model'!$B$4&lt;&gt;"READY","",IF(E14=0,0,IF(R$5&lt;F14,0,G14*MIN(1,(R$5-F14+1)/H14)*IF(R$5&lt;=I14,1,(1-J14)^(R$5-I14)))*K14*L14*M14))</f>
        <v/>
      </c>
      <c r="S14" s="36" t="str">
        <f aca="false">IF('Biotech Model'!$B$4&lt;&gt;"READY","",IF(E14=0,0,IF(S$5&lt;F14,0,G14*MIN(1,(S$5-F14+1)/H14)*IF(S$5&lt;=I14,1,(1-J14)^(S$5-I14)))*K14*L14*M14))</f>
        <v/>
      </c>
      <c r="T14" s="36" t="str">
        <f aca="false">IF('Biotech Model'!$B$4&lt;&gt;"READY","",IF(E14=0,0,IF(T$5&lt;F14,0,G14*MIN(1,(T$5-F14+1)/H14)*IF(T$5&lt;=I14,1,(1-J14)^(T$5-I14)))*K14*L14*M14))</f>
        <v/>
      </c>
      <c r="U14" s="36" t="str">
        <f aca="false">IF('Biotech Model'!$B$4&lt;&gt;"READY","",IF(E14=0,0,IF(U$5&lt;F14,0,G14*MIN(1,(U$5-F14+1)/H14)*IF(U$5&lt;=I14,1,(1-J14)^(U$5-I14)))*K14*L14*M14))</f>
        <v/>
      </c>
      <c r="V14" s="36" t="str">
        <f aca="false">IF('Biotech Model'!$B$4&lt;&gt;"READY","",IF(E14=0,0,IF(V$5&lt;F14,0,G14*MIN(1,(V$5-F14+1)/H14)*IF(V$5&lt;=I14,1,(1-J14)^(V$5-I14)))*K14*L14*M14))</f>
        <v/>
      </c>
      <c r="W14" s="36" t="str">
        <f aca="false">IF('Biotech Model'!$B$4&lt;&gt;"READY","",IF(E14=0,0,IF(W$5&lt;F14,0,G14*MIN(1,(W$5-F14+1)/H14)*IF(W$5&lt;=I14,1,(1-J14)^(W$5-I14)))*K14*L14*M14))</f>
        <v/>
      </c>
      <c r="X14" s="36" t="str">
        <f aca="false">IF('Biotech Model'!$B$4&lt;&gt;"READY","",IF(E14=0,0,IF(X$5&lt;F14,0,G14*MIN(1,(X$5-F14+1)/H14)*IF(X$5&lt;=I14,1,(1-J14)^(X$5-I14)))*K14*L14*M14))</f>
        <v/>
      </c>
      <c r="Y14" s="36" t="str">
        <f aca="false">IF('Biotech Model'!$B$4&lt;&gt;"READY","",IF(E14=0,0,IF(Y$5&lt;F14,0,G14*MIN(1,(Y$5-F14+1)/H14)*IF(Y$5&lt;=I14,1,(1-J14)^(Y$5-I14)))*K14*L14*M14))</f>
        <v/>
      </c>
      <c r="Z14" s="36" t="str">
        <f aca="false">IF('Biotech Model'!$B$4&lt;&gt;"READY","",IF(E14=0,0,IF(Z$5&lt;F14,0,G14*MIN(1,(Z$5-F14+1)/H14)*IF(Z$5&lt;=I14,1,(1-J14)^(Z$5-I14)))*K14*L14*M14))</f>
        <v/>
      </c>
      <c r="AA14" s="36" t="str">
        <f aca="false">IF('Biotech Model'!$B$4&lt;&gt;"READY","",IF(E14=0,0,IF(AA$5&lt;F14,0,G14*MIN(1,(AA$5-F14+1)/H14)*IF(AA$5&lt;=I14,1,(1-J14)^(AA$5-I14)))*K14*L14*M14))</f>
        <v/>
      </c>
      <c r="AB14" s="36" t="str">
        <f aca="false">IF('Biotech Model'!$B$4&lt;&gt;"READY","",IF(E14=0,0,IF(AB$5&lt;F14,0,G14*MIN(1,(AB$5-F14+1)/H14)*IF(AB$5&lt;=I14,1,(1-J14)^(AB$5-I14)))*K14*L14*M14))</f>
        <v/>
      </c>
      <c r="AC14" s="36" t="str">
        <f aca="false">IF('Biotech Model'!$B$4&lt;&gt;"READY","",IF(E14=0,0,IF(AC$5&lt;F14,0,G14*MIN(1,(AC$5-F14+1)/H14)*IF(AC$5&lt;=I14,1,(1-J14)^(AC$5-I14)))*K14*L14*M14))</f>
        <v/>
      </c>
      <c r="AD14" s="36" t="str">
        <f aca="false">IF('Biotech Model'!$B$4&lt;&gt;"READY","",IF(E14=0,0,IF(AD$5&lt;F14,0,G14*MIN(1,(AD$5-F14+1)/H14)*IF(AD$5&lt;=I14,1,(1-J14)^(AD$5-I14)))*K14*L14*M14))</f>
        <v/>
      </c>
      <c r="AE14" s="36" t="str">
        <f aca="false">IF('Biotech Model'!$B$4&lt;&gt;"READY","",IF(E14=0,0,IF(AE$5&lt;F14,0,G14*MIN(1,(AE$5-F14+1)/H14)*IF(AE$5&lt;=I14,1,(1-J14)^(AE$5-I14)))*K14*L14*M14))</f>
        <v/>
      </c>
      <c r="AF14" s="36" t="str">
        <f aca="false">IF('Biotech Model'!$B$4&lt;&gt;"READY","",IF(E14=0,0,IF(AF$5&lt;F14,0,G14*MIN(1,(AF$5-F14+1)/H14)*IF(AF$5&lt;=I14,1,(1-J14)^(AF$5-I14)))*K14*L14*M14))</f>
        <v/>
      </c>
      <c r="AG14" s="36" t="str">
        <f aca="false">IF('Biotech Model'!$B$4&lt;&gt;"READY","",IF(E14=0,0,IF(AG$5&lt;F14,0,G14*MIN(1,(AG$5-F14+1)/H14)*IF(AG$5&lt;=I14,1,(1-J14)^(AG$5-I14)))*K14*L14*M14))</f>
        <v/>
      </c>
      <c r="AH14" s="36" t="str">
        <f aca="false">IF('Biotech Model'!$B$4&lt;&gt;"READY","",IF(E14=0,0,IF(AH$5&lt;F14,0,G14*MIN(1,(AH$5-F14+1)/H14)*IF(AH$5&lt;=I14,1,(1-J14)^(AH$5-I14)))*K14*L14*M14))</f>
        <v/>
      </c>
      <c r="AI14" s="36" t="str">
        <f aca="false">IF('Biotech Model'!$B$4&lt;&gt;"READY","",IF(E14=0,0,IF(AI$5&lt;F14,0,G14*MIN(1,(AI$5-F14+1)/H14)*IF(AI$5&lt;=I14,1,(1-J14)^(AI$5-I14)))*K14*L14*M14))</f>
        <v/>
      </c>
      <c r="AJ14" s="36" t="str">
        <f aca="false">IF('Biotech Model'!$B$4&lt;&gt;"READY","",IF(E14=0,0,IF(AJ$5&lt;F14,0,G14*MIN(1,(AJ$5-F14+1)/H14)*IF(AJ$5&lt;=I14,1,(1-J14)^(AJ$5-I14)))*K14*L14*M14))</f>
        <v/>
      </c>
      <c r="AK14" s="36" t="str">
        <f aca="false">IF('Biotech Model'!$B$4&lt;&gt;"READY","",IF(E14=0,0,IF(AK$5&lt;F14,0,G14*MIN(1,(AK$5-F14+1)/H14)*IF(AK$5&lt;=I14,1,(1-J14)^(AK$5-I14)))*K14*L14*M14))</f>
        <v/>
      </c>
      <c r="AL14" s="36" t="str">
        <f aca="false">IF('Biotech Model'!$B$4&lt;&gt;"READY","",IF(E14=0,0,IF(AL$5&lt;F14,0,G14*MIN(1,(AL$5-F14+1)/H14)*IF(AL$5&lt;=I14,1,(1-J14)^(AL$5-I14)))*K14*L14*M14))</f>
        <v/>
      </c>
      <c r="AM14" s="36" t="str">
        <f aca="false">IF('Biotech Model'!$B$4&lt;&gt;"READY","",IF(E14=0,0,IF(AM$5&lt;F14,0,G14*MIN(1,(AM$5-F14+1)/H14)*IF(AM$5&lt;=I14,1,(1-J14)^(AM$5-I14)))*K14*L14*M14))</f>
        <v/>
      </c>
      <c r="AN14" s="36" t="str">
        <f aca="false">IF('Biotech Model'!$B$4&lt;&gt;"READY","",IF(E14=0,0,IF(AN$5&lt;F14,0,G14*MIN(1,(AN$5-F14+1)/H14)*IF(AN$5&lt;=I14,1,(1-J14)^(AN$5-I14)))*K14*L14*M14))</f>
        <v/>
      </c>
      <c r="AO14" s="36" t="str">
        <f aca="false">IF('Biotech Model'!$B$4&lt;&gt;"READY","",IF(E14=0,0,IF(AO$5&lt;F14,0,G14*MIN(1,(AO$5-F14+1)/H14)*IF(AO$5&lt;=I14,1,(1-J14)^(AO$5-I14)))*K14*L14*M14))</f>
        <v/>
      </c>
      <c r="AP14" s="36" t="str">
        <f aca="false">IF('Biotech Model'!$B$4&lt;&gt;"READY","",IF(E14=0,0,IF(AP$5&lt;F14,0,G14*MIN(1,(AP$5-F14+1)/H14)*IF(AP$5&lt;=I14,1,(1-J14)^(AP$5-I14)))*K14*L14*M14))</f>
        <v/>
      </c>
      <c r="AQ14" s="36" t="str">
        <f aca="false">IF('Biotech Model'!$B$4&lt;&gt;"READY","",IF(E14=0,0,IF(AQ$5&lt;F14,0,G14*MIN(1,(AQ$5-F14+1)/H14)*IF(AQ$5&lt;=I14,1,(1-J14)^(AQ$5-I14)))*K14*L14*M14))</f>
        <v/>
      </c>
      <c r="AR14" s="36" t="str">
        <f aca="false">IF('Biotech Model'!$B$4&lt;&gt;"READY","",IF(E14=0,0,IF(AR$5&lt;F14,0,G14*MIN(1,(AR$5-F14+1)/H14)*IF(AR$5&lt;=I14,1,(1-J14)^(AR$5-I14)))*K14*L14*M14))</f>
        <v/>
      </c>
      <c r="AS14" s="36" t="str">
        <f aca="false">IF('Biotech Model'!$B$4&lt;&gt;"READY","",IF(E14=0,0,IF(AS$5&lt;F14,0,G14*MIN(1,(AS$5-F14+1)/H14)*IF(AS$5&lt;=I14,1,(1-J14)^(AS$5-I14)))*K14*L14*M14))</f>
        <v/>
      </c>
      <c r="AT14" s="36" t="str">
        <f aca="false">IF('Biotech Model'!$B$4&lt;&gt;"READY","",IF(E14=0,0,IF(AT$5&lt;F14,0,G14*MIN(1,(AT$5-F14+1)/H14)*IF(AT$5&lt;=I14,1,(1-J14)^(AT$5-I14)))*K14*L14*M14))</f>
        <v/>
      </c>
      <c r="AU14" s="36" t="str">
        <f aca="false">IF('Biotech Model'!$B$4&lt;&gt;"READY","",IF(E14=0,0,IF(AU$5&lt;F14,0,G14*MIN(1,(AU$5-F14+1)/H14)*IF(AU$5&lt;=I14,1,(1-J14)^(AU$5-I14)))*K14*L14*M14))</f>
        <v/>
      </c>
      <c r="AV14" s="36" t="str">
        <f aca="false">IF('Biotech Model'!$B$4&lt;&gt;"READY","",IF(E14=0,0,IF(AV$5&lt;F14,0,G14*MIN(1,(AV$5-F14+1)/H14)*IF(AV$5&lt;=I14,1,(1-J14)^(AV$5-I14)))*K14*L14*M14))</f>
        <v/>
      </c>
      <c r="AW14" s="36" t="str">
        <f aca="false">IF('Biotech Model'!$B$4&lt;&gt;"READY","",IF(E14=0,0,IF(AW$5&lt;F14,0,G14*MIN(1,(AW$5-F14+1)/H14)*IF(AW$5&lt;=I14,1,(1-J14)^(AW$5-I14)))*K14*L14*M14))</f>
        <v/>
      </c>
      <c r="AX14" s="36" t="str">
        <f aca="false">IF('Biotech Model'!$B$4&lt;&gt;"READY","",IF(E14=0,0,IF(AX$5&lt;F14,0,G14*MIN(1,(AX$5-F14+1)/H14)*IF(AX$5&lt;=I14,1,(1-J14)^(AX$5-I14)))*K14*L14*M14))</f>
        <v/>
      </c>
    </row>
    <row r="15" customFormat="false" ht="69.75" hidden="false" customHeight="true" outlineLevel="0" collapsed="false">
      <c r="A15" s="30" t="s">
        <v>94</v>
      </c>
      <c r="B15" s="31" t="s">
        <v>94</v>
      </c>
      <c r="C15" s="31" t="s">
        <v>92</v>
      </c>
      <c r="D15" s="31" t="s">
        <v>95</v>
      </c>
      <c r="E15" s="32" t="str">
        <f aca="false">IF('Input Required'!$B$3&lt;&gt;"READY","",'Input Required'!F107/1)</f>
        <v/>
      </c>
      <c r="F15" s="32" t="str">
        <f aca="false">IF('Input Required'!$B$3&lt;&gt;"READY","",'Input Required'!F108/1)</f>
        <v/>
      </c>
      <c r="G15" s="33" t="str">
        <f aca="false">IF('Input Required'!$B$3&lt;&gt;"READY","",'Input Required'!F109/1000000)</f>
        <v/>
      </c>
      <c r="H15" s="32" t="str">
        <f aca="false">IF('Input Required'!$B$3&lt;&gt;"READY","",'Input Required'!F110/1)</f>
        <v/>
      </c>
      <c r="I15" s="32" t="str">
        <f aca="false">IF('Input Required'!$B$3&lt;&gt;"READY","",'Input Required'!F111/1)</f>
        <v/>
      </c>
      <c r="J15" s="34" t="str">
        <f aca="false">IF('Input Required'!$B$3&lt;&gt;"READY","",'Input Required'!F112/1)</f>
        <v/>
      </c>
      <c r="K15" s="34" t="str">
        <f aca="false">IF('Input Required'!$B$3&lt;&gt;"READY","",'Input Required'!F113/1)</f>
        <v/>
      </c>
      <c r="L15" s="34" t="str">
        <f aca="false">IF('Input Required'!$B$3&lt;&gt;"READY","",'Input Required'!F114/1)</f>
        <v/>
      </c>
      <c r="M15" s="34" t="str">
        <f aca="false">IF('Input Required'!$B$3&lt;&gt;"READY","",'Input Required'!F115/1)</f>
        <v/>
      </c>
      <c r="N15" s="33" t="str">
        <f aca="false">IF('Input Required'!$B$3&lt;&gt;"READY","",'Input Required'!F116/1000000)</f>
        <v/>
      </c>
      <c r="O15" s="35" t="str">
        <f aca="false">IF('Biotech Model'!$B$4&lt;&gt;"READY","",SUMPRODUCT(P15:AX15,$P$3:$AX$3)-E15*N15)</f>
        <v/>
      </c>
      <c r="P15" s="36" t="str">
        <f aca="false">IF('Biotech Model'!$B$4&lt;&gt;"READY","",IF(E15=0,0,IF(P$5&lt;F15,0,G15*MIN(1,(P$5-F15+1)/H15)*IF(P$5&lt;=I15,1,(1-J15)^(P$5-I15)))*K15*L15*M15))</f>
        <v/>
      </c>
      <c r="Q15" s="36" t="str">
        <f aca="false">IF('Biotech Model'!$B$4&lt;&gt;"READY","",IF(E15=0,0,IF(Q$5&lt;F15,0,G15*MIN(1,(Q$5-F15+1)/H15)*IF(Q$5&lt;=I15,1,(1-J15)^(Q$5-I15)))*K15*L15*M15))</f>
        <v/>
      </c>
      <c r="R15" s="36" t="str">
        <f aca="false">IF('Biotech Model'!$B$4&lt;&gt;"READY","",IF(E15=0,0,IF(R$5&lt;F15,0,G15*MIN(1,(R$5-F15+1)/H15)*IF(R$5&lt;=I15,1,(1-J15)^(R$5-I15)))*K15*L15*M15))</f>
        <v/>
      </c>
      <c r="S15" s="36" t="str">
        <f aca="false">IF('Biotech Model'!$B$4&lt;&gt;"READY","",IF(E15=0,0,IF(S$5&lt;F15,0,G15*MIN(1,(S$5-F15+1)/H15)*IF(S$5&lt;=I15,1,(1-J15)^(S$5-I15)))*K15*L15*M15))</f>
        <v/>
      </c>
      <c r="T15" s="36" t="str">
        <f aca="false">IF('Biotech Model'!$B$4&lt;&gt;"READY","",IF(E15=0,0,IF(T$5&lt;F15,0,G15*MIN(1,(T$5-F15+1)/H15)*IF(T$5&lt;=I15,1,(1-J15)^(T$5-I15)))*K15*L15*M15))</f>
        <v/>
      </c>
      <c r="U15" s="36" t="str">
        <f aca="false">IF('Biotech Model'!$B$4&lt;&gt;"READY","",IF(E15=0,0,IF(U$5&lt;F15,0,G15*MIN(1,(U$5-F15+1)/H15)*IF(U$5&lt;=I15,1,(1-J15)^(U$5-I15)))*K15*L15*M15))</f>
        <v/>
      </c>
      <c r="V15" s="36" t="str">
        <f aca="false">IF('Biotech Model'!$B$4&lt;&gt;"READY","",IF(E15=0,0,IF(V$5&lt;F15,0,G15*MIN(1,(V$5-F15+1)/H15)*IF(V$5&lt;=I15,1,(1-J15)^(V$5-I15)))*K15*L15*M15))</f>
        <v/>
      </c>
      <c r="W15" s="36" t="str">
        <f aca="false">IF('Biotech Model'!$B$4&lt;&gt;"READY","",IF(E15=0,0,IF(W$5&lt;F15,0,G15*MIN(1,(W$5-F15+1)/H15)*IF(W$5&lt;=I15,1,(1-J15)^(W$5-I15)))*K15*L15*M15))</f>
        <v/>
      </c>
      <c r="X15" s="36" t="str">
        <f aca="false">IF('Biotech Model'!$B$4&lt;&gt;"READY","",IF(E15=0,0,IF(X$5&lt;F15,0,G15*MIN(1,(X$5-F15+1)/H15)*IF(X$5&lt;=I15,1,(1-J15)^(X$5-I15)))*K15*L15*M15))</f>
        <v/>
      </c>
      <c r="Y15" s="36" t="str">
        <f aca="false">IF('Biotech Model'!$B$4&lt;&gt;"READY","",IF(E15=0,0,IF(Y$5&lt;F15,0,G15*MIN(1,(Y$5-F15+1)/H15)*IF(Y$5&lt;=I15,1,(1-J15)^(Y$5-I15)))*K15*L15*M15))</f>
        <v/>
      </c>
      <c r="Z15" s="36" t="str">
        <f aca="false">IF('Biotech Model'!$B$4&lt;&gt;"READY","",IF(E15=0,0,IF(Z$5&lt;F15,0,G15*MIN(1,(Z$5-F15+1)/H15)*IF(Z$5&lt;=I15,1,(1-J15)^(Z$5-I15)))*K15*L15*M15))</f>
        <v/>
      </c>
      <c r="AA15" s="36" t="str">
        <f aca="false">IF('Biotech Model'!$B$4&lt;&gt;"READY","",IF(E15=0,0,IF(AA$5&lt;F15,0,G15*MIN(1,(AA$5-F15+1)/H15)*IF(AA$5&lt;=I15,1,(1-J15)^(AA$5-I15)))*K15*L15*M15))</f>
        <v/>
      </c>
      <c r="AB15" s="36" t="str">
        <f aca="false">IF('Biotech Model'!$B$4&lt;&gt;"READY","",IF(E15=0,0,IF(AB$5&lt;F15,0,G15*MIN(1,(AB$5-F15+1)/H15)*IF(AB$5&lt;=I15,1,(1-J15)^(AB$5-I15)))*K15*L15*M15))</f>
        <v/>
      </c>
      <c r="AC15" s="36" t="str">
        <f aca="false">IF('Biotech Model'!$B$4&lt;&gt;"READY","",IF(E15=0,0,IF(AC$5&lt;F15,0,G15*MIN(1,(AC$5-F15+1)/H15)*IF(AC$5&lt;=I15,1,(1-J15)^(AC$5-I15)))*K15*L15*M15))</f>
        <v/>
      </c>
      <c r="AD15" s="36" t="str">
        <f aca="false">IF('Biotech Model'!$B$4&lt;&gt;"READY","",IF(E15=0,0,IF(AD$5&lt;F15,0,G15*MIN(1,(AD$5-F15+1)/H15)*IF(AD$5&lt;=I15,1,(1-J15)^(AD$5-I15)))*K15*L15*M15))</f>
        <v/>
      </c>
      <c r="AE15" s="36" t="str">
        <f aca="false">IF('Biotech Model'!$B$4&lt;&gt;"READY","",IF(E15=0,0,IF(AE$5&lt;F15,0,G15*MIN(1,(AE$5-F15+1)/H15)*IF(AE$5&lt;=I15,1,(1-J15)^(AE$5-I15)))*K15*L15*M15))</f>
        <v/>
      </c>
      <c r="AF15" s="36" t="str">
        <f aca="false">IF('Biotech Model'!$B$4&lt;&gt;"READY","",IF(E15=0,0,IF(AF$5&lt;F15,0,G15*MIN(1,(AF$5-F15+1)/H15)*IF(AF$5&lt;=I15,1,(1-J15)^(AF$5-I15)))*K15*L15*M15))</f>
        <v/>
      </c>
      <c r="AG15" s="36" t="str">
        <f aca="false">IF('Biotech Model'!$B$4&lt;&gt;"READY","",IF(E15=0,0,IF(AG$5&lt;F15,0,G15*MIN(1,(AG$5-F15+1)/H15)*IF(AG$5&lt;=I15,1,(1-J15)^(AG$5-I15)))*K15*L15*M15))</f>
        <v/>
      </c>
      <c r="AH15" s="36" t="str">
        <f aca="false">IF('Biotech Model'!$B$4&lt;&gt;"READY","",IF(E15=0,0,IF(AH$5&lt;F15,0,G15*MIN(1,(AH$5-F15+1)/H15)*IF(AH$5&lt;=I15,1,(1-J15)^(AH$5-I15)))*K15*L15*M15))</f>
        <v/>
      </c>
      <c r="AI15" s="36" t="str">
        <f aca="false">IF('Biotech Model'!$B$4&lt;&gt;"READY","",IF(E15=0,0,IF(AI$5&lt;F15,0,G15*MIN(1,(AI$5-F15+1)/H15)*IF(AI$5&lt;=I15,1,(1-J15)^(AI$5-I15)))*K15*L15*M15))</f>
        <v/>
      </c>
      <c r="AJ15" s="36" t="str">
        <f aca="false">IF('Biotech Model'!$B$4&lt;&gt;"READY","",IF(E15=0,0,IF(AJ$5&lt;F15,0,G15*MIN(1,(AJ$5-F15+1)/H15)*IF(AJ$5&lt;=I15,1,(1-J15)^(AJ$5-I15)))*K15*L15*M15))</f>
        <v/>
      </c>
      <c r="AK15" s="36" t="str">
        <f aca="false">IF('Biotech Model'!$B$4&lt;&gt;"READY","",IF(E15=0,0,IF(AK$5&lt;F15,0,G15*MIN(1,(AK$5-F15+1)/H15)*IF(AK$5&lt;=I15,1,(1-J15)^(AK$5-I15)))*K15*L15*M15))</f>
        <v/>
      </c>
      <c r="AL15" s="36" t="str">
        <f aca="false">IF('Biotech Model'!$B$4&lt;&gt;"READY","",IF(E15=0,0,IF(AL$5&lt;F15,0,G15*MIN(1,(AL$5-F15+1)/H15)*IF(AL$5&lt;=I15,1,(1-J15)^(AL$5-I15)))*K15*L15*M15))</f>
        <v/>
      </c>
      <c r="AM15" s="36" t="str">
        <f aca="false">IF('Biotech Model'!$B$4&lt;&gt;"READY","",IF(E15=0,0,IF(AM$5&lt;F15,0,G15*MIN(1,(AM$5-F15+1)/H15)*IF(AM$5&lt;=I15,1,(1-J15)^(AM$5-I15)))*K15*L15*M15))</f>
        <v/>
      </c>
      <c r="AN15" s="36" t="str">
        <f aca="false">IF('Biotech Model'!$B$4&lt;&gt;"READY","",IF(E15=0,0,IF(AN$5&lt;F15,0,G15*MIN(1,(AN$5-F15+1)/H15)*IF(AN$5&lt;=I15,1,(1-J15)^(AN$5-I15)))*K15*L15*M15))</f>
        <v/>
      </c>
      <c r="AO15" s="36" t="str">
        <f aca="false">IF('Biotech Model'!$B$4&lt;&gt;"READY","",IF(E15=0,0,IF(AO$5&lt;F15,0,G15*MIN(1,(AO$5-F15+1)/H15)*IF(AO$5&lt;=I15,1,(1-J15)^(AO$5-I15)))*K15*L15*M15))</f>
        <v/>
      </c>
      <c r="AP15" s="36" t="str">
        <f aca="false">IF('Biotech Model'!$B$4&lt;&gt;"READY","",IF(E15=0,0,IF(AP$5&lt;F15,0,G15*MIN(1,(AP$5-F15+1)/H15)*IF(AP$5&lt;=I15,1,(1-J15)^(AP$5-I15)))*K15*L15*M15))</f>
        <v/>
      </c>
      <c r="AQ15" s="36" t="str">
        <f aca="false">IF('Biotech Model'!$B$4&lt;&gt;"READY","",IF(E15=0,0,IF(AQ$5&lt;F15,0,G15*MIN(1,(AQ$5-F15+1)/H15)*IF(AQ$5&lt;=I15,1,(1-J15)^(AQ$5-I15)))*K15*L15*M15))</f>
        <v/>
      </c>
      <c r="AR15" s="36" t="str">
        <f aca="false">IF('Biotech Model'!$B$4&lt;&gt;"READY","",IF(E15=0,0,IF(AR$5&lt;F15,0,G15*MIN(1,(AR$5-F15+1)/H15)*IF(AR$5&lt;=I15,1,(1-J15)^(AR$5-I15)))*K15*L15*M15))</f>
        <v/>
      </c>
      <c r="AS15" s="36" t="str">
        <f aca="false">IF('Biotech Model'!$B$4&lt;&gt;"READY","",IF(E15=0,0,IF(AS$5&lt;F15,0,G15*MIN(1,(AS$5-F15+1)/H15)*IF(AS$5&lt;=I15,1,(1-J15)^(AS$5-I15)))*K15*L15*M15))</f>
        <v/>
      </c>
      <c r="AT15" s="36" t="str">
        <f aca="false">IF('Biotech Model'!$B$4&lt;&gt;"READY","",IF(E15=0,0,IF(AT$5&lt;F15,0,G15*MIN(1,(AT$5-F15+1)/H15)*IF(AT$5&lt;=I15,1,(1-J15)^(AT$5-I15)))*K15*L15*M15))</f>
        <v/>
      </c>
      <c r="AU15" s="36" t="str">
        <f aca="false">IF('Biotech Model'!$B$4&lt;&gt;"READY","",IF(E15=0,0,IF(AU$5&lt;F15,0,G15*MIN(1,(AU$5-F15+1)/H15)*IF(AU$5&lt;=I15,1,(1-J15)^(AU$5-I15)))*K15*L15*M15))</f>
        <v/>
      </c>
      <c r="AV15" s="36" t="str">
        <f aca="false">IF('Biotech Model'!$B$4&lt;&gt;"READY","",IF(E15=0,0,IF(AV$5&lt;F15,0,G15*MIN(1,(AV$5-F15+1)/H15)*IF(AV$5&lt;=I15,1,(1-J15)^(AV$5-I15)))*K15*L15*M15))</f>
        <v/>
      </c>
      <c r="AW15" s="36" t="str">
        <f aca="false">IF('Biotech Model'!$B$4&lt;&gt;"READY","",IF(E15=0,0,IF(AW$5&lt;F15,0,G15*MIN(1,(AW$5-F15+1)/H15)*IF(AW$5&lt;=I15,1,(1-J15)^(AW$5-I15)))*K15*L15*M15))</f>
        <v/>
      </c>
      <c r="AX15" s="36" t="str">
        <f aca="false">IF('Biotech Model'!$B$4&lt;&gt;"READY","",IF(E15=0,0,IF(AX$5&lt;F15,0,G15*MIN(1,(AX$5-F15+1)/H15)*IF(AX$5&lt;=I15,1,(1-J15)^(AX$5-I15)))*K15*L15*M15))</f>
        <v/>
      </c>
    </row>
    <row r="16" customFormat="false" ht="69.75" hidden="false" customHeight="true" outlineLevel="0" collapsed="false">
      <c r="A16" s="30" t="s">
        <v>96</v>
      </c>
      <c r="B16" s="31" t="s">
        <v>96</v>
      </c>
      <c r="C16" s="31" t="s">
        <v>74</v>
      </c>
      <c r="D16" s="31" t="s">
        <v>97</v>
      </c>
      <c r="E16" s="32" t="str">
        <f aca="false">IF('Input Required'!$B$3&lt;&gt;"READY","",'Input Required'!F117/1)</f>
        <v/>
      </c>
      <c r="F16" s="32" t="str">
        <f aca="false">IF('Input Required'!$B$3&lt;&gt;"READY","",'Input Required'!F118/1)</f>
        <v/>
      </c>
      <c r="G16" s="33" t="str">
        <f aca="false">IF('Input Required'!$B$3&lt;&gt;"READY","",'Input Required'!F119/1000000)</f>
        <v/>
      </c>
      <c r="H16" s="32" t="str">
        <f aca="false">IF('Input Required'!$B$3&lt;&gt;"READY","",'Input Required'!F120/1)</f>
        <v/>
      </c>
      <c r="I16" s="32" t="str">
        <f aca="false">IF('Input Required'!$B$3&lt;&gt;"READY","",'Input Required'!F121/1)</f>
        <v/>
      </c>
      <c r="J16" s="34" t="str">
        <f aca="false">IF('Input Required'!$B$3&lt;&gt;"READY","",'Input Required'!F122/1)</f>
        <v/>
      </c>
      <c r="K16" s="34" t="str">
        <f aca="false">IF('Input Required'!$B$3&lt;&gt;"READY","",'Input Required'!F123/1)</f>
        <v/>
      </c>
      <c r="L16" s="34" t="str">
        <f aca="false">IF('Input Required'!$B$3&lt;&gt;"READY","",'Input Required'!F124/1)</f>
        <v/>
      </c>
      <c r="M16" s="34" t="str">
        <f aca="false">IF('Input Required'!$B$3&lt;&gt;"READY","",'Input Required'!F125/1)</f>
        <v/>
      </c>
      <c r="N16" s="33" t="str">
        <f aca="false">IF('Input Required'!$B$3&lt;&gt;"READY","",'Input Required'!F126/1000000)</f>
        <v/>
      </c>
      <c r="O16" s="35" t="str">
        <f aca="false">IF('Biotech Model'!$B$4&lt;&gt;"READY","",SUMPRODUCT(P16:AX16,$P$3:$AX$3)-E16*N16)</f>
        <v/>
      </c>
      <c r="P16" s="36" t="str">
        <f aca="false">IF('Biotech Model'!$B$4&lt;&gt;"READY","",IF(E16=0,0,IF(P$5&lt;F16,0,G16*MIN(1,(P$5-F16+1)/H16)*IF(P$5&lt;=I16,1,(1-J16)^(P$5-I16)))*K16*L16*M16))</f>
        <v/>
      </c>
      <c r="Q16" s="36" t="str">
        <f aca="false">IF('Biotech Model'!$B$4&lt;&gt;"READY","",IF(E16=0,0,IF(Q$5&lt;F16,0,G16*MIN(1,(Q$5-F16+1)/H16)*IF(Q$5&lt;=I16,1,(1-J16)^(Q$5-I16)))*K16*L16*M16))</f>
        <v/>
      </c>
      <c r="R16" s="36" t="str">
        <f aca="false">IF('Biotech Model'!$B$4&lt;&gt;"READY","",IF(E16=0,0,IF(R$5&lt;F16,0,G16*MIN(1,(R$5-F16+1)/H16)*IF(R$5&lt;=I16,1,(1-J16)^(R$5-I16)))*K16*L16*M16))</f>
        <v/>
      </c>
      <c r="S16" s="36" t="str">
        <f aca="false">IF('Biotech Model'!$B$4&lt;&gt;"READY","",IF(E16=0,0,IF(S$5&lt;F16,0,G16*MIN(1,(S$5-F16+1)/H16)*IF(S$5&lt;=I16,1,(1-J16)^(S$5-I16)))*K16*L16*M16))</f>
        <v/>
      </c>
      <c r="T16" s="36" t="str">
        <f aca="false">IF('Biotech Model'!$B$4&lt;&gt;"READY","",IF(E16=0,0,IF(T$5&lt;F16,0,G16*MIN(1,(T$5-F16+1)/H16)*IF(T$5&lt;=I16,1,(1-J16)^(T$5-I16)))*K16*L16*M16))</f>
        <v/>
      </c>
      <c r="U16" s="36" t="str">
        <f aca="false">IF('Biotech Model'!$B$4&lt;&gt;"READY","",IF(E16=0,0,IF(U$5&lt;F16,0,G16*MIN(1,(U$5-F16+1)/H16)*IF(U$5&lt;=I16,1,(1-J16)^(U$5-I16)))*K16*L16*M16))</f>
        <v/>
      </c>
      <c r="V16" s="36" t="str">
        <f aca="false">IF('Biotech Model'!$B$4&lt;&gt;"READY","",IF(E16=0,0,IF(V$5&lt;F16,0,G16*MIN(1,(V$5-F16+1)/H16)*IF(V$5&lt;=I16,1,(1-J16)^(V$5-I16)))*K16*L16*M16))</f>
        <v/>
      </c>
      <c r="W16" s="36" t="str">
        <f aca="false">IF('Biotech Model'!$B$4&lt;&gt;"READY","",IF(E16=0,0,IF(W$5&lt;F16,0,G16*MIN(1,(W$5-F16+1)/H16)*IF(W$5&lt;=I16,1,(1-J16)^(W$5-I16)))*K16*L16*M16))</f>
        <v/>
      </c>
      <c r="X16" s="36" t="str">
        <f aca="false">IF('Biotech Model'!$B$4&lt;&gt;"READY","",IF(E16=0,0,IF(X$5&lt;F16,0,G16*MIN(1,(X$5-F16+1)/H16)*IF(X$5&lt;=I16,1,(1-J16)^(X$5-I16)))*K16*L16*M16))</f>
        <v/>
      </c>
      <c r="Y16" s="36" t="str">
        <f aca="false">IF('Biotech Model'!$B$4&lt;&gt;"READY","",IF(E16=0,0,IF(Y$5&lt;F16,0,G16*MIN(1,(Y$5-F16+1)/H16)*IF(Y$5&lt;=I16,1,(1-J16)^(Y$5-I16)))*K16*L16*M16))</f>
        <v/>
      </c>
      <c r="Z16" s="36" t="str">
        <f aca="false">IF('Biotech Model'!$B$4&lt;&gt;"READY","",IF(E16=0,0,IF(Z$5&lt;F16,0,G16*MIN(1,(Z$5-F16+1)/H16)*IF(Z$5&lt;=I16,1,(1-J16)^(Z$5-I16)))*K16*L16*M16))</f>
        <v/>
      </c>
      <c r="AA16" s="36" t="str">
        <f aca="false">IF('Biotech Model'!$B$4&lt;&gt;"READY","",IF(E16=0,0,IF(AA$5&lt;F16,0,G16*MIN(1,(AA$5-F16+1)/H16)*IF(AA$5&lt;=I16,1,(1-J16)^(AA$5-I16)))*K16*L16*M16))</f>
        <v/>
      </c>
      <c r="AB16" s="36" t="str">
        <f aca="false">IF('Biotech Model'!$B$4&lt;&gt;"READY","",IF(E16=0,0,IF(AB$5&lt;F16,0,G16*MIN(1,(AB$5-F16+1)/H16)*IF(AB$5&lt;=I16,1,(1-J16)^(AB$5-I16)))*K16*L16*M16))</f>
        <v/>
      </c>
      <c r="AC16" s="36" t="str">
        <f aca="false">IF('Biotech Model'!$B$4&lt;&gt;"READY","",IF(E16=0,0,IF(AC$5&lt;F16,0,G16*MIN(1,(AC$5-F16+1)/H16)*IF(AC$5&lt;=I16,1,(1-J16)^(AC$5-I16)))*K16*L16*M16))</f>
        <v/>
      </c>
      <c r="AD16" s="36" t="str">
        <f aca="false">IF('Biotech Model'!$B$4&lt;&gt;"READY","",IF(E16=0,0,IF(AD$5&lt;F16,0,G16*MIN(1,(AD$5-F16+1)/H16)*IF(AD$5&lt;=I16,1,(1-J16)^(AD$5-I16)))*K16*L16*M16))</f>
        <v/>
      </c>
      <c r="AE16" s="36" t="str">
        <f aca="false">IF('Biotech Model'!$B$4&lt;&gt;"READY","",IF(E16=0,0,IF(AE$5&lt;F16,0,G16*MIN(1,(AE$5-F16+1)/H16)*IF(AE$5&lt;=I16,1,(1-J16)^(AE$5-I16)))*K16*L16*M16))</f>
        <v/>
      </c>
      <c r="AF16" s="36" t="str">
        <f aca="false">IF('Biotech Model'!$B$4&lt;&gt;"READY","",IF(E16=0,0,IF(AF$5&lt;F16,0,G16*MIN(1,(AF$5-F16+1)/H16)*IF(AF$5&lt;=I16,1,(1-J16)^(AF$5-I16)))*K16*L16*M16))</f>
        <v/>
      </c>
      <c r="AG16" s="36" t="str">
        <f aca="false">IF('Biotech Model'!$B$4&lt;&gt;"READY","",IF(E16=0,0,IF(AG$5&lt;F16,0,G16*MIN(1,(AG$5-F16+1)/H16)*IF(AG$5&lt;=I16,1,(1-J16)^(AG$5-I16)))*K16*L16*M16))</f>
        <v/>
      </c>
      <c r="AH16" s="36" t="str">
        <f aca="false">IF('Biotech Model'!$B$4&lt;&gt;"READY","",IF(E16=0,0,IF(AH$5&lt;F16,0,G16*MIN(1,(AH$5-F16+1)/H16)*IF(AH$5&lt;=I16,1,(1-J16)^(AH$5-I16)))*K16*L16*M16))</f>
        <v/>
      </c>
      <c r="AI16" s="36" t="str">
        <f aca="false">IF('Biotech Model'!$B$4&lt;&gt;"READY","",IF(E16=0,0,IF(AI$5&lt;F16,0,G16*MIN(1,(AI$5-F16+1)/H16)*IF(AI$5&lt;=I16,1,(1-J16)^(AI$5-I16)))*K16*L16*M16))</f>
        <v/>
      </c>
      <c r="AJ16" s="36" t="str">
        <f aca="false">IF('Biotech Model'!$B$4&lt;&gt;"READY","",IF(E16=0,0,IF(AJ$5&lt;F16,0,G16*MIN(1,(AJ$5-F16+1)/H16)*IF(AJ$5&lt;=I16,1,(1-J16)^(AJ$5-I16)))*K16*L16*M16))</f>
        <v/>
      </c>
      <c r="AK16" s="36" t="str">
        <f aca="false">IF('Biotech Model'!$B$4&lt;&gt;"READY","",IF(E16=0,0,IF(AK$5&lt;F16,0,G16*MIN(1,(AK$5-F16+1)/H16)*IF(AK$5&lt;=I16,1,(1-J16)^(AK$5-I16)))*K16*L16*M16))</f>
        <v/>
      </c>
      <c r="AL16" s="36" t="str">
        <f aca="false">IF('Biotech Model'!$B$4&lt;&gt;"READY","",IF(E16=0,0,IF(AL$5&lt;F16,0,G16*MIN(1,(AL$5-F16+1)/H16)*IF(AL$5&lt;=I16,1,(1-J16)^(AL$5-I16)))*K16*L16*M16))</f>
        <v/>
      </c>
      <c r="AM16" s="36" t="str">
        <f aca="false">IF('Biotech Model'!$B$4&lt;&gt;"READY","",IF(E16=0,0,IF(AM$5&lt;F16,0,G16*MIN(1,(AM$5-F16+1)/H16)*IF(AM$5&lt;=I16,1,(1-J16)^(AM$5-I16)))*K16*L16*M16))</f>
        <v/>
      </c>
      <c r="AN16" s="36" t="str">
        <f aca="false">IF('Biotech Model'!$B$4&lt;&gt;"READY","",IF(E16=0,0,IF(AN$5&lt;F16,0,G16*MIN(1,(AN$5-F16+1)/H16)*IF(AN$5&lt;=I16,1,(1-J16)^(AN$5-I16)))*K16*L16*M16))</f>
        <v/>
      </c>
      <c r="AO16" s="36" t="str">
        <f aca="false">IF('Biotech Model'!$B$4&lt;&gt;"READY","",IF(E16=0,0,IF(AO$5&lt;F16,0,G16*MIN(1,(AO$5-F16+1)/H16)*IF(AO$5&lt;=I16,1,(1-J16)^(AO$5-I16)))*K16*L16*M16))</f>
        <v/>
      </c>
      <c r="AP16" s="36" t="str">
        <f aca="false">IF('Biotech Model'!$B$4&lt;&gt;"READY","",IF(E16=0,0,IF(AP$5&lt;F16,0,G16*MIN(1,(AP$5-F16+1)/H16)*IF(AP$5&lt;=I16,1,(1-J16)^(AP$5-I16)))*K16*L16*M16))</f>
        <v/>
      </c>
      <c r="AQ16" s="36" t="str">
        <f aca="false">IF('Biotech Model'!$B$4&lt;&gt;"READY","",IF(E16=0,0,IF(AQ$5&lt;F16,0,G16*MIN(1,(AQ$5-F16+1)/H16)*IF(AQ$5&lt;=I16,1,(1-J16)^(AQ$5-I16)))*K16*L16*M16))</f>
        <v/>
      </c>
      <c r="AR16" s="36" t="str">
        <f aca="false">IF('Biotech Model'!$B$4&lt;&gt;"READY","",IF(E16=0,0,IF(AR$5&lt;F16,0,G16*MIN(1,(AR$5-F16+1)/H16)*IF(AR$5&lt;=I16,1,(1-J16)^(AR$5-I16)))*K16*L16*M16))</f>
        <v/>
      </c>
      <c r="AS16" s="36" t="str">
        <f aca="false">IF('Biotech Model'!$B$4&lt;&gt;"READY","",IF(E16=0,0,IF(AS$5&lt;F16,0,G16*MIN(1,(AS$5-F16+1)/H16)*IF(AS$5&lt;=I16,1,(1-J16)^(AS$5-I16)))*K16*L16*M16))</f>
        <v/>
      </c>
      <c r="AT16" s="36" t="str">
        <f aca="false">IF('Biotech Model'!$B$4&lt;&gt;"READY","",IF(E16=0,0,IF(AT$5&lt;F16,0,G16*MIN(1,(AT$5-F16+1)/H16)*IF(AT$5&lt;=I16,1,(1-J16)^(AT$5-I16)))*K16*L16*M16))</f>
        <v/>
      </c>
      <c r="AU16" s="36" t="str">
        <f aca="false">IF('Biotech Model'!$B$4&lt;&gt;"READY","",IF(E16=0,0,IF(AU$5&lt;F16,0,G16*MIN(1,(AU$5-F16+1)/H16)*IF(AU$5&lt;=I16,1,(1-J16)^(AU$5-I16)))*K16*L16*M16))</f>
        <v/>
      </c>
      <c r="AV16" s="36" t="str">
        <f aca="false">IF('Biotech Model'!$B$4&lt;&gt;"READY","",IF(E16=0,0,IF(AV$5&lt;F16,0,G16*MIN(1,(AV$5-F16+1)/H16)*IF(AV$5&lt;=I16,1,(1-J16)^(AV$5-I16)))*K16*L16*M16))</f>
        <v/>
      </c>
      <c r="AW16" s="36" t="str">
        <f aca="false">IF('Biotech Model'!$B$4&lt;&gt;"READY","",IF(E16=0,0,IF(AW$5&lt;F16,0,G16*MIN(1,(AW$5-F16+1)/H16)*IF(AW$5&lt;=I16,1,(1-J16)^(AW$5-I16)))*K16*L16*M16))</f>
        <v/>
      </c>
      <c r="AX16" s="36" t="str">
        <f aca="false">IF('Biotech Model'!$B$4&lt;&gt;"READY","",IF(E16=0,0,IF(AX$5&lt;F16,0,G16*MIN(1,(AX$5-F16+1)/H16)*IF(AX$5&lt;=I16,1,(1-J16)^(AX$5-I16)))*K16*L16*M16))</f>
        <v/>
      </c>
    </row>
    <row r="17" customFormat="false" ht="69.75" hidden="false" customHeight="true" outlineLevel="0" collapsed="false">
      <c r="A17" s="30" t="s">
        <v>98</v>
      </c>
      <c r="B17" s="31" t="s">
        <v>98</v>
      </c>
      <c r="C17" s="31" t="s">
        <v>92</v>
      </c>
      <c r="D17" s="31" t="s">
        <v>99</v>
      </c>
      <c r="E17" s="32" t="str">
        <f aca="false">IF('Input Required'!$B$3&lt;&gt;"READY","",'Input Required'!F127/1)</f>
        <v/>
      </c>
      <c r="F17" s="32" t="str">
        <f aca="false">IF('Input Required'!$B$3&lt;&gt;"READY","",'Input Required'!F128/1)</f>
        <v/>
      </c>
      <c r="G17" s="33" t="str">
        <f aca="false">IF('Input Required'!$B$3&lt;&gt;"READY","",'Input Required'!F129/1000000)</f>
        <v/>
      </c>
      <c r="H17" s="32" t="str">
        <f aca="false">IF('Input Required'!$B$3&lt;&gt;"READY","",'Input Required'!F130/1)</f>
        <v/>
      </c>
      <c r="I17" s="32" t="str">
        <f aca="false">IF('Input Required'!$B$3&lt;&gt;"READY","",'Input Required'!F131/1)</f>
        <v/>
      </c>
      <c r="J17" s="34" t="str">
        <f aca="false">IF('Input Required'!$B$3&lt;&gt;"READY","",'Input Required'!F132/1)</f>
        <v/>
      </c>
      <c r="K17" s="34" t="str">
        <f aca="false">IF('Input Required'!$B$3&lt;&gt;"READY","",'Input Required'!F133/1)</f>
        <v/>
      </c>
      <c r="L17" s="34" t="str">
        <f aca="false">IF('Input Required'!$B$3&lt;&gt;"READY","",'Input Required'!F134/1)</f>
        <v/>
      </c>
      <c r="M17" s="34" t="str">
        <f aca="false">IF('Input Required'!$B$3&lt;&gt;"READY","",'Input Required'!F135/1)</f>
        <v/>
      </c>
      <c r="N17" s="33" t="str">
        <f aca="false">IF('Input Required'!$B$3&lt;&gt;"READY","",'Input Required'!F136/1000000)</f>
        <v/>
      </c>
      <c r="O17" s="35" t="str">
        <f aca="false">IF('Biotech Model'!$B$4&lt;&gt;"READY","",SUMPRODUCT(P17:AX17,$P$3:$AX$3)-E17*N17)</f>
        <v/>
      </c>
      <c r="P17" s="36" t="str">
        <f aca="false">IF('Biotech Model'!$B$4&lt;&gt;"READY","",IF(E17=0,0,IF(P$5&lt;F17,0,G17*MIN(1,(P$5-F17+1)/H17)*IF(P$5&lt;=I17,1,(1-J17)^(P$5-I17)))*K17*L17*M17))</f>
        <v/>
      </c>
      <c r="Q17" s="36" t="str">
        <f aca="false">IF('Biotech Model'!$B$4&lt;&gt;"READY","",IF(E17=0,0,IF(Q$5&lt;F17,0,G17*MIN(1,(Q$5-F17+1)/H17)*IF(Q$5&lt;=I17,1,(1-J17)^(Q$5-I17)))*K17*L17*M17))</f>
        <v/>
      </c>
      <c r="R17" s="36" t="str">
        <f aca="false">IF('Biotech Model'!$B$4&lt;&gt;"READY","",IF(E17=0,0,IF(R$5&lt;F17,0,G17*MIN(1,(R$5-F17+1)/H17)*IF(R$5&lt;=I17,1,(1-J17)^(R$5-I17)))*K17*L17*M17))</f>
        <v/>
      </c>
      <c r="S17" s="36" t="str">
        <f aca="false">IF('Biotech Model'!$B$4&lt;&gt;"READY","",IF(E17=0,0,IF(S$5&lt;F17,0,G17*MIN(1,(S$5-F17+1)/H17)*IF(S$5&lt;=I17,1,(1-J17)^(S$5-I17)))*K17*L17*M17))</f>
        <v/>
      </c>
      <c r="T17" s="36" t="str">
        <f aca="false">IF('Biotech Model'!$B$4&lt;&gt;"READY","",IF(E17=0,0,IF(T$5&lt;F17,0,G17*MIN(1,(T$5-F17+1)/H17)*IF(T$5&lt;=I17,1,(1-J17)^(T$5-I17)))*K17*L17*M17))</f>
        <v/>
      </c>
      <c r="U17" s="36" t="str">
        <f aca="false">IF('Biotech Model'!$B$4&lt;&gt;"READY","",IF(E17=0,0,IF(U$5&lt;F17,0,G17*MIN(1,(U$5-F17+1)/H17)*IF(U$5&lt;=I17,1,(1-J17)^(U$5-I17)))*K17*L17*M17))</f>
        <v/>
      </c>
      <c r="V17" s="36" t="str">
        <f aca="false">IF('Biotech Model'!$B$4&lt;&gt;"READY","",IF(E17=0,0,IF(V$5&lt;F17,0,G17*MIN(1,(V$5-F17+1)/H17)*IF(V$5&lt;=I17,1,(1-J17)^(V$5-I17)))*K17*L17*M17))</f>
        <v/>
      </c>
      <c r="W17" s="36" t="str">
        <f aca="false">IF('Biotech Model'!$B$4&lt;&gt;"READY","",IF(E17=0,0,IF(W$5&lt;F17,0,G17*MIN(1,(W$5-F17+1)/H17)*IF(W$5&lt;=I17,1,(1-J17)^(W$5-I17)))*K17*L17*M17))</f>
        <v/>
      </c>
      <c r="X17" s="36" t="str">
        <f aca="false">IF('Biotech Model'!$B$4&lt;&gt;"READY","",IF(E17=0,0,IF(X$5&lt;F17,0,G17*MIN(1,(X$5-F17+1)/H17)*IF(X$5&lt;=I17,1,(1-J17)^(X$5-I17)))*K17*L17*M17))</f>
        <v/>
      </c>
      <c r="Y17" s="36" t="str">
        <f aca="false">IF('Biotech Model'!$B$4&lt;&gt;"READY","",IF(E17=0,0,IF(Y$5&lt;F17,0,G17*MIN(1,(Y$5-F17+1)/H17)*IF(Y$5&lt;=I17,1,(1-J17)^(Y$5-I17)))*K17*L17*M17))</f>
        <v/>
      </c>
      <c r="Z17" s="36" t="str">
        <f aca="false">IF('Biotech Model'!$B$4&lt;&gt;"READY","",IF(E17=0,0,IF(Z$5&lt;F17,0,G17*MIN(1,(Z$5-F17+1)/H17)*IF(Z$5&lt;=I17,1,(1-J17)^(Z$5-I17)))*K17*L17*M17))</f>
        <v/>
      </c>
      <c r="AA17" s="36" t="str">
        <f aca="false">IF('Biotech Model'!$B$4&lt;&gt;"READY","",IF(E17=0,0,IF(AA$5&lt;F17,0,G17*MIN(1,(AA$5-F17+1)/H17)*IF(AA$5&lt;=I17,1,(1-J17)^(AA$5-I17)))*K17*L17*M17))</f>
        <v/>
      </c>
      <c r="AB17" s="36" t="str">
        <f aca="false">IF('Biotech Model'!$B$4&lt;&gt;"READY","",IF(E17=0,0,IF(AB$5&lt;F17,0,G17*MIN(1,(AB$5-F17+1)/H17)*IF(AB$5&lt;=I17,1,(1-J17)^(AB$5-I17)))*K17*L17*M17))</f>
        <v/>
      </c>
      <c r="AC17" s="36" t="str">
        <f aca="false">IF('Biotech Model'!$B$4&lt;&gt;"READY","",IF(E17=0,0,IF(AC$5&lt;F17,0,G17*MIN(1,(AC$5-F17+1)/H17)*IF(AC$5&lt;=I17,1,(1-J17)^(AC$5-I17)))*K17*L17*M17))</f>
        <v/>
      </c>
      <c r="AD17" s="36" t="str">
        <f aca="false">IF('Biotech Model'!$B$4&lt;&gt;"READY","",IF(E17=0,0,IF(AD$5&lt;F17,0,G17*MIN(1,(AD$5-F17+1)/H17)*IF(AD$5&lt;=I17,1,(1-J17)^(AD$5-I17)))*K17*L17*M17))</f>
        <v/>
      </c>
      <c r="AE17" s="36" t="str">
        <f aca="false">IF('Biotech Model'!$B$4&lt;&gt;"READY","",IF(E17=0,0,IF(AE$5&lt;F17,0,G17*MIN(1,(AE$5-F17+1)/H17)*IF(AE$5&lt;=I17,1,(1-J17)^(AE$5-I17)))*K17*L17*M17))</f>
        <v/>
      </c>
      <c r="AF17" s="36" t="str">
        <f aca="false">IF('Biotech Model'!$B$4&lt;&gt;"READY","",IF(E17=0,0,IF(AF$5&lt;F17,0,G17*MIN(1,(AF$5-F17+1)/H17)*IF(AF$5&lt;=I17,1,(1-J17)^(AF$5-I17)))*K17*L17*M17))</f>
        <v/>
      </c>
      <c r="AG17" s="36" t="str">
        <f aca="false">IF('Biotech Model'!$B$4&lt;&gt;"READY","",IF(E17=0,0,IF(AG$5&lt;F17,0,G17*MIN(1,(AG$5-F17+1)/H17)*IF(AG$5&lt;=I17,1,(1-J17)^(AG$5-I17)))*K17*L17*M17))</f>
        <v/>
      </c>
      <c r="AH17" s="36" t="str">
        <f aca="false">IF('Biotech Model'!$B$4&lt;&gt;"READY","",IF(E17=0,0,IF(AH$5&lt;F17,0,G17*MIN(1,(AH$5-F17+1)/H17)*IF(AH$5&lt;=I17,1,(1-J17)^(AH$5-I17)))*K17*L17*M17))</f>
        <v/>
      </c>
      <c r="AI17" s="36" t="str">
        <f aca="false">IF('Biotech Model'!$B$4&lt;&gt;"READY","",IF(E17=0,0,IF(AI$5&lt;F17,0,G17*MIN(1,(AI$5-F17+1)/H17)*IF(AI$5&lt;=I17,1,(1-J17)^(AI$5-I17)))*K17*L17*M17))</f>
        <v/>
      </c>
      <c r="AJ17" s="36" t="str">
        <f aca="false">IF('Biotech Model'!$B$4&lt;&gt;"READY","",IF(E17=0,0,IF(AJ$5&lt;F17,0,G17*MIN(1,(AJ$5-F17+1)/H17)*IF(AJ$5&lt;=I17,1,(1-J17)^(AJ$5-I17)))*K17*L17*M17))</f>
        <v/>
      </c>
      <c r="AK17" s="36" t="str">
        <f aca="false">IF('Biotech Model'!$B$4&lt;&gt;"READY","",IF(E17=0,0,IF(AK$5&lt;F17,0,G17*MIN(1,(AK$5-F17+1)/H17)*IF(AK$5&lt;=I17,1,(1-J17)^(AK$5-I17)))*K17*L17*M17))</f>
        <v/>
      </c>
      <c r="AL17" s="36" t="str">
        <f aca="false">IF('Biotech Model'!$B$4&lt;&gt;"READY","",IF(E17=0,0,IF(AL$5&lt;F17,0,G17*MIN(1,(AL$5-F17+1)/H17)*IF(AL$5&lt;=I17,1,(1-J17)^(AL$5-I17)))*K17*L17*M17))</f>
        <v/>
      </c>
      <c r="AM17" s="36" t="str">
        <f aca="false">IF('Biotech Model'!$B$4&lt;&gt;"READY","",IF(E17=0,0,IF(AM$5&lt;F17,0,G17*MIN(1,(AM$5-F17+1)/H17)*IF(AM$5&lt;=I17,1,(1-J17)^(AM$5-I17)))*K17*L17*M17))</f>
        <v/>
      </c>
      <c r="AN17" s="36" t="str">
        <f aca="false">IF('Biotech Model'!$B$4&lt;&gt;"READY","",IF(E17=0,0,IF(AN$5&lt;F17,0,G17*MIN(1,(AN$5-F17+1)/H17)*IF(AN$5&lt;=I17,1,(1-J17)^(AN$5-I17)))*K17*L17*M17))</f>
        <v/>
      </c>
      <c r="AO17" s="36" t="str">
        <f aca="false">IF('Biotech Model'!$B$4&lt;&gt;"READY","",IF(E17=0,0,IF(AO$5&lt;F17,0,G17*MIN(1,(AO$5-F17+1)/H17)*IF(AO$5&lt;=I17,1,(1-J17)^(AO$5-I17)))*K17*L17*M17))</f>
        <v/>
      </c>
      <c r="AP17" s="36" t="str">
        <f aca="false">IF('Biotech Model'!$B$4&lt;&gt;"READY","",IF(E17=0,0,IF(AP$5&lt;F17,0,G17*MIN(1,(AP$5-F17+1)/H17)*IF(AP$5&lt;=I17,1,(1-J17)^(AP$5-I17)))*K17*L17*M17))</f>
        <v/>
      </c>
      <c r="AQ17" s="36" t="str">
        <f aca="false">IF('Biotech Model'!$B$4&lt;&gt;"READY","",IF(E17=0,0,IF(AQ$5&lt;F17,0,G17*MIN(1,(AQ$5-F17+1)/H17)*IF(AQ$5&lt;=I17,1,(1-J17)^(AQ$5-I17)))*K17*L17*M17))</f>
        <v/>
      </c>
      <c r="AR17" s="36" t="str">
        <f aca="false">IF('Biotech Model'!$B$4&lt;&gt;"READY","",IF(E17=0,0,IF(AR$5&lt;F17,0,G17*MIN(1,(AR$5-F17+1)/H17)*IF(AR$5&lt;=I17,1,(1-J17)^(AR$5-I17)))*K17*L17*M17))</f>
        <v/>
      </c>
      <c r="AS17" s="36" t="str">
        <f aca="false">IF('Biotech Model'!$B$4&lt;&gt;"READY","",IF(E17=0,0,IF(AS$5&lt;F17,0,G17*MIN(1,(AS$5-F17+1)/H17)*IF(AS$5&lt;=I17,1,(1-J17)^(AS$5-I17)))*K17*L17*M17))</f>
        <v/>
      </c>
      <c r="AT17" s="36" t="str">
        <f aca="false">IF('Biotech Model'!$B$4&lt;&gt;"READY","",IF(E17=0,0,IF(AT$5&lt;F17,0,G17*MIN(1,(AT$5-F17+1)/H17)*IF(AT$5&lt;=I17,1,(1-J17)^(AT$5-I17)))*K17*L17*M17))</f>
        <v/>
      </c>
      <c r="AU17" s="36" t="str">
        <f aca="false">IF('Biotech Model'!$B$4&lt;&gt;"READY","",IF(E17=0,0,IF(AU$5&lt;F17,0,G17*MIN(1,(AU$5-F17+1)/H17)*IF(AU$5&lt;=I17,1,(1-J17)^(AU$5-I17)))*K17*L17*M17))</f>
        <v/>
      </c>
      <c r="AV17" s="36" t="str">
        <f aca="false">IF('Biotech Model'!$B$4&lt;&gt;"READY","",IF(E17=0,0,IF(AV$5&lt;F17,0,G17*MIN(1,(AV$5-F17+1)/H17)*IF(AV$5&lt;=I17,1,(1-J17)^(AV$5-I17)))*K17*L17*M17))</f>
        <v/>
      </c>
      <c r="AW17" s="36" t="str">
        <f aca="false">IF('Biotech Model'!$B$4&lt;&gt;"READY","",IF(E17=0,0,IF(AW$5&lt;F17,0,G17*MIN(1,(AW$5-F17+1)/H17)*IF(AW$5&lt;=I17,1,(1-J17)^(AW$5-I17)))*K17*L17*M17))</f>
        <v/>
      </c>
      <c r="AX17" s="36" t="str">
        <f aca="false">IF('Biotech Model'!$B$4&lt;&gt;"READY","",IF(E17=0,0,IF(AX$5&lt;F17,0,G17*MIN(1,(AX$5-F17+1)/H17)*IF(AX$5&lt;=I17,1,(1-J17)^(AX$5-I17)))*K17*L17*M17))</f>
        <v/>
      </c>
    </row>
    <row r="18" customFormat="false" ht="69.75" hidden="false" customHeight="true" outlineLevel="0" collapsed="false">
      <c r="A18" s="30" t="s">
        <v>100</v>
      </c>
      <c r="B18" s="31" t="s">
        <v>100</v>
      </c>
      <c r="C18" s="31" t="s">
        <v>101</v>
      </c>
      <c r="D18" s="31" t="s">
        <v>102</v>
      </c>
      <c r="E18" s="32" t="str">
        <f aca="false">IF('Input Required'!$B$3&lt;&gt;"READY","",'Input Required'!F137/1)</f>
        <v/>
      </c>
      <c r="F18" s="32" t="str">
        <f aca="false">IF('Input Required'!$B$3&lt;&gt;"READY","",'Input Required'!F138/1)</f>
        <v/>
      </c>
      <c r="G18" s="33" t="str">
        <f aca="false">IF('Input Required'!$B$3&lt;&gt;"READY","",'Input Required'!F139/1000000)</f>
        <v/>
      </c>
      <c r="H18" s="32" t="str">
        <f aca="false">IF('Input Required'!$B$3&lt;&gt;"READY","",'Input Required'!F140/1)</f>
        <v/>
      </c>
      <c r="I18" s="32" t="str">
        <f aca="false">IF('Input Required'!$B$3&lt;&gt;"READY","",'Input Required'!F141/1)</f>
        <v/>
      </c>
      <c r="J18" s="34" t="str">
        <f aca="false">IF('Input Required'!$B$3&lt;&gt;"READY","",'Input Required'!F142/1)</f>
        <v/>
      </c>
      <c r="K18" s="34" t="str">
        <f aca="false">IF('Input Required'!$B$3&lt;&gt;"READY","",'Input Required'!F143/1)</f>
        <v/>
      </c>
      <c r="L18" s="34" t="str">
        <f aca="false">IF('Input Required'!$B$3&lt;&gt;"READY","",'Input Required'!F144/1)</f>
        <v/>
      </c>
      <c r="M18" s="34" t="str">
        <f aca="false">IF('Input Required'!$B$3&lt;&gt;"READY","",'Input Required'!F145/1)</f>
        <v/>
      </c>
      <c r="N18" s="33" t="str">
        <f aca="false">IF('Input Required'!$B$3&lt;&gt;"READY","",'Input Required'!F146/1000000)</f>
        <v/>
      </c>
      <c r="O18" s="35" t="str">
        <f aca="false">IF('Biotech Model'!$B$4&lt;&gt;"READY","",SUMPRODUCT(P18:AX18,$P$3:$AX$3)-E18*N18)</f>
        <v/>
      </c>
      <c r="P18" s="36" t="str">
        <f aca="false">IF('Biotech Model'!$B$4&lt;&gt;"READY","",IF(E18=0,0,IF(P$5&lt;F18,0,G18*MIN(1,(P$5-F18+1)/H18)*IF(P$5&lt;=I18,1,(1-J18)^(P$5-I18)))*K18*L18*M18))</f>
        <v/>
      </c>
      <c r="Q18" s="36" t="str">
        <f aca="false">IF('Biotech Model'!$B$4&lt;&gt;"READY","",IF(E18=0,0,IF(Q$5&lt;F18,0,G18*MIN(1,(Q$5-F18+1)/H18)*IF(Q$5&lt;=I18,1,(1-J18)^(Q$5-I18)))*K18*L18*M18))</f>
        <v/>
      </c>
      <c r="R18" s="36" t="str">
        <f aca="false">IF('Biotech Model'!$B$4&lt;&gt;"READY","",IF(E18=0,0,IF(R$5&lt;F18,0,G18*MIN(1,(R$5-F18+1)/H18)*IF(R$5&lt;=I18,1,(1-J18)^(R$5-I18)))*K18*L18*M18))</f>
        <v/>
      </c>
      <c r="S18" s="36" t="str">
        <f aca="false">IF('Biotech Model'!$B$4&lt;&gt;"READY","",IF(E18=0,0,IF(S$5&lt;F18,0,G18*MIN(1,(S$5-F18+1)/H18)*IF(S$5&lt;=I18,1,(1-J18)^(S$5-I18)))*K18*L18*M18))</f>
        <v/>
      </c>
      <c r="T18" s="36" t="str">
        <f aca="false">IF('Biotech Model'!$B$4&lt;&gt;"READY","",IF(E18=0,0,IF(T$5&lt;F18,0,G18*MIN(1,(T$5-F18+1)/H18)*IF(T$5&lt;=I18,1,(1-J18)^(T$5-I18)))*K18*L18*M18))</f>
        <v/>
      </c>
      <c r="U18" s="36" t="str">
        <f aca="false">IF('Biotech Model'!$B$4&lt;&gt;"READY","",IF(E18=0,0,IF(U$5&lt;F18,0,G18*MIN(1,(U$5-F18+1)/H18)*IF(U$5&lt;=I18,1,(1-J18)^(U$5-I18)))*K18*L18*M18))</f>
        <v/>
      </c>
      <c r="V18" s="36" t="str">
        <f aca="false">IF('Biotech Model'!$B$4&lt;&gt;"READY","",IF(E18=0,0,IF(V$5&lt;F18,0,G18*MIN(1,(V$5-F18+1)/H18)*IF(V$5&lt;=I18,1,(1-J18)^(V$5-I18)))*K18*L18*M18))</f>
        <v/>
      </c>
      <c r="W18" s="36" t="str">
        <f aca="false">IF('Biotech Model'!$B$4&lt;&gt;"READY","",IF(E18=0,0,IF(W$5&lt;F18,0,G18*MIN(1,(W$5-F18+1)/H18)*IF(W$5&lt;=I18,1,(1-J18)^(W$5-I18)))*K18*L18*M18))</f>
        <v/>
      </c>
      <c r="X18" s="36" t="str">
        <f aca="false">IF('Biotech Model'!$B$4&lt;&gt;"READY","",IF(E18=0,0,IF(X$5&lt;F18,0,G18*MIN(1,(X$5-F18+1)/H18)*IF(X$5&lt;=I18,1,(1-J18)^(X$5-I18)))*K18*L18*M18))</f>
        <v/>
      </c>
      <c r="Y18" s="36" t="str">
        <f aca="false">IF('Biotech Model'!$B$4&lt;&gt;"READY","",IF(E18=0,0,IF(Y$5&lt;F18,0,G18*MIN(1,(Y$5-F18+1)/H18)*IF(Y$5&lt;=I18,1,(1-J18)^(Y$5-I18)))*K18*L18*M18))</f>
        <v/>
      </c>
      <c r="Z18" s="36" t="str">
        <f aca="false">IF('Biotech Model'!$B$4&lt;&gt;"READY","",IF(E18=0,0,IF(Z$5&lt;F18,0,G18*MIN(1,(Z$5-F18+1)/H18)*IF(Z$5&lt;=I18,1,(1-J18)^(Z$5-I18)))*K18*L18*M18))</f>
        <v/>
      </c>
      <c r="AA18" s="36" t="str">
        <f aca="false">IF('Biotech Model'!$B$4&lt;&gt;"READY","",IF(E18=0,0,IF(AA$5&lt;F18,0,G18*MIN(1,(AA$5-F18+1)/H18)*IF(AA$5&lt;=I18,1,(1-J18)^(AA$5-I18)))*K18*L18*M18))</f>
        <v/>
      </c>
      <c r="AB18" s="36" t="str">
        <f aca="false">IF('Biotech Model'!$B$4&lt;&gt;"READY","",IF(E18=0,0,IF(AB$5&lt;F18,0,G18*MIN(1,(AB$5-F18+1)/H18)*IF(AB$5&lt;=I18,1,(1-J18)^(AB$5-I18)))*K18*L18*M18))</f>
        <v/>
      </c>
      <c r="AC18" s="36" t="str">
        <f aca="false">IF('Biotech Model'!$B$4&lt;&gt;"READY","",IF(E18=0,0,IF(AC$5&lt;F18,0,G18*MIN(1,(AC$5-F18+1)/H18)*IF(AC$5&lt;=I18,1,(1-J18)^(AC$5-I18)))*K18*L18*M18))</f>
        <v/>
      </c>
      <c r="AD18" s="36" t="str">
        <f aca="false">IF('Biotech Model'!$B$4&lt;&gt;"READY","",IF(E18=0,0,IF(AD$5&lt;F18,0,G18*MIN(1,(AD$5-F18+1)/H18)*IF(AD$5&lt;=I18,1,(1-J18)^(AD$5-I18)))*K18*L18*M18))</f>
        <v/>
      </c>
      <c r="AE18" s="36" t="str">
        <f aca="false">IF('Biotech Model'!$B$4&lt;&gt;"READY","",IF(E18=0,0,IF(AE$5&lt;F18,0,G18*MIN(1,(AE$5-F18+1)/H18)*IF(AE$5&lt;=I18,1,(1-J18)^(AE$5-I18)))*K18*L18*M18))</f>
        <v/>
      </c>
      <c r="AF18" s="36" t="str">
        <f aca="false">IF('Biotech Model'!$B$4&lt;&gt;"READY","",IF(E18=0,0,IF(AF$5&lt;F18,0,G18*MIN(1,(AF$5-F18+1)/H18)*IF(AF$5&lt;=I18,1,(1-J18)^(AF$5-I18)))*K18*L18*M18))</f>
        <v/>
      </c>
      <c r="AG18" s="36" t="str">
        <f aca="false">IF('Biotech Model'!$B$4&lt;&gt;"READY","",IF(E18=0,0,IF(AG$5&lt;F18,0,G18*MIN(1,(AG$5-F18+1)/H18)*IF(AG$5&lt;=I18,1,(1-J18)^(AG$5-I18)))*K18*L18*M18))</f>
        <v/>
      </c>
      <c r="AH18" s="36" t="str">
        <f aca="false">IF('Biotech Model'!$B$4&lt;&gt;"READY","",IF(E18=0,0,IF(AH$5&lt;F18,0,G18*MIN(1,(AH$5-F18+1)/H18)*IF(AH$5&lt;=I18,1,(1-J18)^(AH$5-I18)))*K18*L18*M18))</f>
        <v/>
      </c>
      <c r="AI18" s="36" t="str">
        <f aca="false">IF('Biotech Model'!$B$4&lt;&gt;"READY","",IF(E18=0,0,IF(AI$5&lt;F18,0,G18*MIN(1,(AI$5-F18+1)/H18)*IF(AI$5&lt;=I18,1,(1-J18)^(AI$5-I18)))*K18*L18*M18))</f>
        <v/>
      </c>
      <c r="AJ18" s="36" t="str">
        <f aca="false">IF('Biotech Model'!$B$4&lt;&gt;"READY","",IF(E18=0,0,IF(AJ$5&lt;F18,0,G18*MIN(1,(AJ$5-F18+1)/H18)*IF(AJ$5&lt;=I18,1,(1-J18)^(AJ$5-I18)))*K18*L18*M18))</f>
        <v/>
      </c>
      <c r="AK18" s="36" t="str">
        <f aca="false">IF('Biotech Model'!$B$4&lt;&gt;"READY","",IF(E18=0,0,IF(AK$5&lt;F18,0,G18*MIN(1,(AK$5-F18+1)/H18)*IF(AK$5&lt;=I18,1,(1-J18)^(AK$5-I18)))*K18*L18*M18))</f>
        <v/>
      </c>
      <c r="AL18" s="36" t="str">
        <f aca="false">IF('Biotech Model'!$B$4&lt;&gt;"READY","",IF(E18=0,0,IF(AL$5&lt;F18,0,G18*MIN(1,(AL$5-F18+1)/H18)*IF(AL$5&lt;=I18,1,(1-J18)^(AL$5-I18)))*K18*L18*M18))</f>
        <v/>
      </c>
      <c r="AM18" s="36" t="str">
        <f aca="false">IF('Biotech Model'!$B$4&lt;&gt;"READY","",IF(E18=0,0,IF(AM$5&lt;F18,0,G18*MIN(1,(AM$5-F18+1)/H18)*IF(AM$5&lt;=I18,1,(1-J18)^(AM$5-I18)))*K18*L18*M18))</f>
        <v/>
      </c>
      <c r="AN18" s="36" t="str">
        <f aca="false">IF('Biotech Model'!$B$4&lt;&gt;"READY","",IF(E18=0,0,IF(AN$5&lt;F18,0,G18*MIN(1,(AN$5-F18+1)/H18)*IF(AN$5&lt;=I18,1,(1-J18)^(AN$5-I18)))*K18*L18*M18))</f>
        <v/>
      </c>
      <c r="AO18" s="36" t="str">
        <f aca="false">IF('Biotech Model'!$B$4&lt;&gt;"READY","",IF(E18=0,0,IF(AO$5&lt;F18,0,G18*MIN(1,(AO$5-F18+1)/H18)*IF(AO$5&lt;=I18,1,(1-J18)^(AO$5-I18)))*K18*L18*M18))</f>
        <v/>
      </c>
      <c r="AP18" s="36" t="str">
        <f aca="false">IF('Biotech Model'!$B$4&lt;&gt;"READY","",IF(E18=0,0,IF(AP$5&lt;F18,0,G18*MIN(1,(AP$5-F18+1)/H18)*IF(AP$5&lt;=I18,1,(1-J18)^(AP$5-I18)))*K18*L18*M18))</f>
        <v/>
      </c>
      <c r="AQ18" s="36" t="str">
        <f aca="false">IF('Biotech Model'!$B$4&lt;&gt;"READY","",IF(E18=0,0,IF(AQ$5&lt;F18,0,G18*MIN(1,(AQ$5-F18+1)/H18)*IF(AQ$5&lt;=I18,1,(1-J18)^(AQ$5-I18)))*K18*L18*M18))</f>
        <v/>
      </c>
      <c r="AR18" s="36" t="str">
        <f aca="false">IF('Biotech Model'!$B$4&lt;&gt;"READY","",IF(E18=0,0,IF(AR$5&lt;F18,0,G18*MIN(1,(AR$5-F18+1)/H18)*IF(AR$5&lt;=I18,1,(1-J18)^(AR$5-I18)))*K18*L18*M18))</f>
        <v/>
      </c>
      <c r="AS18" s="36" t="str">
        <f aca="false">IF('Biotech Model'!$B$4&lt;&gt;"READY","",IF(E18=0,0,IF(AS$5&lt;F18,0,G18*MIN(1,(AS$5-F18+1)/H18)*IF(AS$5&lt;=I18,1,(1-J18)^(AS$5-I18)))*K18*L18*M18))</f>
        <v/>
      </c>
      <c r="AT18" s="36" t="str">
        <f aca="false">IF('Biotech Model'!$B$4&lt;&gt;"READY","",IF(E18=0,0,IF(AT$5&lt;F18,0,G18*MIN(1,(AT$5-F18+1)/H18)*IF(AT$5&lt;=I18,1,(1-J18)^(AT$5-I18)))*K18*L18*M18))</f>
        <v/>
      </c>
      <c r="AU18" s="36" t="str">
        <f aca="false">IF('Biotech Model'!$B$4&lt;&gt;"READY","",IF(E18=0,0,IF(AU$5&lt;F18,0,G18*MIN(1,(AU$5-F18+1)/H18)*IF(AU$5&lt;=I18,1,(1-J18)^(AU$5-I18)))*K18*L18*M18))</f>
        <v/>
      </c>
      <c r="AV18" s="36" t="str">
        <f aca="false">IF('Biotech Model'!$B$4&lt;&gt;"READY","",IF(E18=0,0,IF(AV$5&lt;F18,0,G18*MIN(1,(AV$5-F18+1)/H18)*IF(AV$5&lt;=I18,1,(1-J18)^(AV$5-I18)))*K18*L18*M18))</f>
        <v/>
      </c>
      <c r="AW18" s="36" t="str">
        <f aca="false">IF('Biotech Model'!$B$4&lt;&gt;"READY","",IF(E18=0,0,IF(AW$5&lt;F18,0,G18*MIN(1,(AW$5-F18+1)/H18)*IF(AW$5&lt;=I18,1,(1-J18)^(AW$5-I18)))*K18*L18*M18))</f>
        <v/>
      </c>
      <c r="AX18" s="36" t="str">
        <f aca="false">IF('Biotech Model'!$B$4&lt;&gt;"READY","",IF(E18=0,0,IF(AX$5&lt;F18,0,G18*MIN(1,(AX$5-F18+1)/H18)*IF(AX$5&lt;=I18,1,(1-J18)^(AX$5-I18)))*K18*L18*M18))</f>
        <v/>
      </c>
    </row>
    <row r="19" customFormat="false" ht="69.75" hidden="false" customHeight="true" outlineLevel="0" collapsed="false">
      <c r="A19" s="30" t="s">
        <v>103</v>
      </c>
      <c r="B19" s="31" t="s">
        <v>103</v>
      </c>
      <c r="C19" s="31" t="s">
        <v>74</v>
      </c>
      <c r="D19" s="31" t="s">
        <v>104</v>
      </c>
      <c r="E19" s="32" t="str">
        <f aca="false">IF('Input Required'!$B$3&lt;&gt;"READY","",'Input Required'!F147/1)</f>
        <v/>
      </c>
      <c r="F19" s="32" t="str">
        <f aca="false">IF('Input Required'!$B$3&lt;&gt;"READY","",'Input Required'!F148/1)</f>
        <v/>
      </c>
      <c r="G19" s="33" t="str">
        <f aca="false">IF('Input Required'!$B$3&lt;&gt;"READY","",'Input Required'!F149/1000000)</f>
        <v/>
      </c>
      <c r="H19" s="32" t="str">
        <f aca="false">IF('Input Required'!$B$3&lt;&gt;"READY","",'Input Required'!F150/1)</f>
        <v/>
      </c>
      <c r="I19" s="32" t="str">
        <f aca="false">IF('Input Required'!$B$3&lt;&gt;"READY","",'Input Required'!F151/1)</f>
        <v/>
      </c>
      <c r="J19" s="34" t="str">
        <f aca="false">IF('Input Required'!$B$3&lt;&gt;"READY","",'Input Required'!F152/1)</f>
        <v/>
      </c>
      <c r="K19" s="34" t="str">
        <f aca="false">IF('Input Required'!$B$3&lt;&gt;"READY","",'Input Required'!F153/1)</f>
        <v/>
      </c>
      <c r="L19" s="34" t="str">
        <f aca="false">IF('Input Required'!$B$3&lt;&gt;"READY","",'Input Required'!F154/1)</f>
        <v/>
      </c>
      <c r="M19" s="34" t="str">
        <f aca="false">IF('Input Required'!$B$3&lt;&gt;"READY","",'Input Required'!F155/1)</f>
        <v/>
      </c>
      <c r="N19" s="33" t="str">
        <f aca="false">IF('Input Required'!$B$3&lt;&gt;"READY","",'Input Required'!F156/1000000)</f>
        <v/>
      </c>
      <c r="O19" s="35" t="str">
        <f aca="false">IF('Biotech Model'!$B$4&lt;&gt;"READY","",SUMPRODUCT(P19:AX19,$P$3:$AX$3)-E19*N19)</f>
        <v/>
      </c>
      <c r="P19" s="36" t="str">
        <f aca="false">IF('Biotech Model'!$B$4&lt;&gt;"READY","",IF(E19=0,0,IF(P$5&lt;F19,0,G19*MIN(1,(P$5-F19+1)/H19)*IF(P$5&lt;=I19,1,(1-J19)^(P$5-I19)))*K19*L19*M19))</f>
        <v/>
      </c>
      <c r="Q19" s="36" t="str">
        <f aca="false">IF('Biotech Model'!$B$4&lt;&gt;"READY","",IF(E19=0,0,IF(Q$5&lt;F19,0,G19*MIN(1,(Q$5-F19+1)/H19)*IF(Q$5&lt;=I19,1,(1-J19)^(Q$5-I19)))*K19*L19*M19))</f>
        <v/>
      </c>
      <c r="R19" s="36" t="str">
        <f aca="false">IF('Biotech Model'!$B$4&lt;&gt;"READY","",IF(E19=0,0,IF(R$5&lt;F19,0,G19*MIN(1,(R$5-F19+1)/H19)*IF(R$5&lt;=I19,1,(1-J19)^(R$5-I19)))*K19*L19*M19))</f>
        <v/>
      </c>
      <c r="S19" s="36" t="str">
        <f aca="false">IF('Biotech Model'!$B$4&lt;&gt;"READY","",IF(E19=0,0,IF(S$5&lt;F19,0,G19*MIN(1,(S$5-F19+1)/H19)*IF(S$5&lt;=I19,1,(1-J19)^(S$5-I19)))*K19*L19*M19))</f>
        <v/>
      </c>
      <c r="T19" s="36" t="str">
        <f aca="false">IF('Biotech Model'!$B$4&lt;&gt;"READY","",IF(E19=0,0,IF(T$5&lt;F19,0,G19*MIN(1,(T$5-F19+1)/H19)*IF(T$5&lt;=I19,1,(1-J19)^(T$5-I19)))*K19*L19*M19))</f>
        <v/>
      </c>
      <c r="U19" s="36" t="str">
        <f aca="false">IF('Biotech Model'!$B$4&lt;&gt;"READY","",IF(E19=0,0,IF(U$5&lt;F19,0,G19*MIN(1,(U$5-F19+1)/H19)*IF(U$5&lt;=I19,1,(1-J19)^(U$5-I19)))*K19*L19*M19))</f>
        <v/>
      </c>
      <c r="V19" s="36" t="str">
        <f aca="false">IF('Biotech Model'!$B$4&lt;&gt;"READY","",IF(E19=0,0,IF(V$5&lt;F19,0,G19*MIN(1,(V$5-F19+1)/H19)*IF(V$5&lt;=I19,1,(1-J19)^(V$5-I19)))*K19*L19*M19))</f>
        <v/>
      </c>
      <c r="W19" s="36" t="str">
        <f aca="false">IF('Biotech Model'!$B$4&lt;&gt;"READY","",IF(E19=0,0,IF(W$5&lt;F19,0,G19*MIN(1,(W$5-F19+1)/H19)*IF(W$5&lt;=I19,1,(1-J19)^(W$5-I19)))*K19*L19*M19))</f>
        <v/>
      </c>
      <c r="X19" s="36" t="str">
        <f aca="false">IF('Biotech Model'!$B$4&lt;&gt;"READY","",IF(E19=0,0,IF(X$5&lt;F19,0,G19*MIN(1,(X$5-F19+1)/H19)*IF(X$5&lt;=I19,1,(1-J19)^(X$5-I19)))*K19*L19*M19))</f>
        <v/>
      </c>
      <c r="Y19" s="36" t="str">
        <f aca="false">IF('Biotech Model'!$B$4&lt;&gt;"READY","",IF(E19=0,0,IF(Y$5&lt;F19,0,G19*MIN(1,(Y$5-F19+1)/H19)*IF(Y$5&lt;=I19,1,(1-J19)^(Y$5-I19)))*K19*L19*M19))</f>
        <v/>
      </c>
      <c r="Z19" s="36" t="str">
        <f aca="false">IF('Biotech Model'!$B$4&lt;&gt;"READY","",IF(E19=0,0,IF(Z$5&lt;F19,0,G19*MIN(1,(Z$5-F19+1)/H19)*IF(Z$5&lt;=I19,1,(1-J19)^(Z$5-I19)))*K19*L19*M19))</f>
        <v/>
      </c>
      <c r="AA19" s="36" t="str">
        <f aca="false">IF('Biotech Model'!$B$4&lt;&gt;"READY","",IF(E19=0,0,IF(AA$5&lt;F19,0,G19*MIN(1,(AA$5-F19+1)/H19)*IF(AA$5&lt;=I19,1,(1-J19)^(AA$5-I19)))*K19*L19*M19))</f>
        <v/>
      </c>
      <c r="AB19" s="36" t="str">
        <f aca="false">IF('Biotech Model'!$B$4&lt;&gt;"READY","",IF(E19=0,0,IF(AB$5&lt;F19,0,G19*MIN(1,(AB$5-F19+1)/H19)*IF(AB$5&lt;=I19,1,(1-J19)^(AB$5-I19)))*K19*L19*M19))</f>
        <v/>
      </c>
      <c r="AC19" s="36" t="str">
        <f aca="false">IF('Biotech Model'!$B$4&lt;&gt;"READY","",IF(E19=0,0,IF(AC$5&lt;F19,0,G19*MIN(1,(AC$5-F19+1)/H19)*IF(AC$5&lt;=I19,1,(1-J19)^(AC$5-I19)))*K19*L19*M19))</f>
        <v/>
      </c>
      <c r="AD19" s="36" t="str">
        <f aca="false">IF('Biotech Model'!$B$4&lt;&gt;"READY","",IF(E19=0,0,IF(AD$5&lt;F19,0,G19*MIN(1,(AD$5-F19+1)/H19)*IF(AD$5&lt;=I19,1,(1-J19)^(AD$5-I19)))*K19*L19*M19))</f>
        <v/>
      </c>
      <c r="AE19" s="36" t="str">
        <f aca="false">IF('Biotech Model'!$B$4&lt;&gt;"READY","",IF(E19=0,0,IF(AE$5&lt;F19,0,G19*MIN(1,(AE$5-F19+1)/H19)*IF(AE$5&lt;=I19,1,(1-J19)^(AE$5-I19)))*K19*L19*M19))</f>
        <v/>
      </c>
      <c r="AF19" s="36" t="str">
        <f aca="false">IF('Biotech Model'!$B$4&lt;&gt;"READY","",IF(E19=0,0,IF(AF$5&lt;F19,0,G19*MIN(1,(AF$5-F19+1)/H19)*IF(AF$5&lt;=I19,1,(1-J19)^(AF$5-I19)))*K19*L19*M19))</f>
        <v/>
      </c>
      <c r="AG19" s="36" t="str">
        <f aca="false">IF('Biotech Model'!$B$4&lt;&gt;"READY","",IF(E19=0,0,IF(AG$5&lt;F19,0,G19*MIN(1,(AG$5-F19+1)/H19)*IF(AG$5&lt;=I19,1,(1-J19)^(AG$5-I19)))*K19*L19*M19))</f>
        <v/>
      </c>
      <c r="AH19" s="36" t="str">
        <f aca="false">IF('Biotech Model'!$B$4&lt;&gt;"READY","",IF(E19=0,0,IF(AH$5&lt;F19,0,G19*MIN(1,(AH$5-F19+1)/H19)*IF(AH$5&lt;=I19,1,(1-J19)^(AH$5-I19)))*K19*L19*M19))</f>
        <v/>
      </c>
      <c r="AI19" s="36" t="str">
        <f aca="false">IF('Biotech Model'!$B$4&lt;&gt;"READY","",IF(E19=0,0,IF(AI$5&lt;F19,0,G19*MIN(1,(AI$5-F19+1)/H19)*IF(AI$5&lt;=I19,1,(1-J19)^(AI$5-I19)))*K19*L19*M19))</f>
        <v/>
      </c>
      <c r="AJ19" s="36" t="str">
        <f aca="false">IF('Biotech Model'!$B$4&lt;&gt;"READY","",IF(E19=0,0,IF(AJ$5&lt;F19,0,G19*MIN(1,(AJ$5-F19+1)/H19)*IF(AJ$5&lt;=I19,1,(1-J19)^(AJ$5-I19)))*K19*L19*M19))</f>
        <v/>
      </c>
      <c r="AK19" s="36" t="str">
        <f aca="false">IF('Biotech Model'!$B$4&lt;&gt;"READY","",IF(E19=0,0,IF(AK$5&lt;F19,0,G19*MIN(1,(AK$5-F19+1)/H19)*IF(AK$5&lt;=I19,1,(1-J19)^(AK$5-I19)))*K19*L19*M19))</f>
        <v/>
      </c>
      <c r="AL19" s="36" t="str">
        <f aca="false">IF('Biotech Model'!$B$4&lt;&gt;"READY","",IF(E19=0,0,IF(AL$5&lt;F19,0,G19*MIN(1,(AL$5-F19+1)/H19)*IF(AL$5&lt;=I19,1,(1-J19)^(AL$5-I19)))*K19*L19*M19))</f>
        <v/>
      </c>
      <c r="AM19" s="36" t="str">
        <f aca="false">IF('Biotech Model'!$B$4&lt;&gt;"READY","",IF(E19=0,0,IF(AM$5&lt;F19,0,G19*MIN(1,(AM$5-F19+1)/H19)*IF(AM$5&lt;=I19,1,(1-J19)^(AM$5-I19)))*K19*L19*M19))</f>
        <v/>
      </c>
      <c r="AN19" s="36" t="str">
        <f aca="false">IF('Biotech Model'!$B$4&lt;&gt;"READY","",IF(E19=0,0,IF(AN$5&lt;F19,0,G19*MIN(1,(AN$5-F19+1)/H19)*IF(AN$5&lt;=I19,1,(1-J19)^(AN$5-I19)))*K19*L19*M19))</f>
        <v/>
      </c>
      <c r="AO19" s="36" t="str">
        <f aca="false">IF('Biotech Model'!$B$4&lt;&gt;"READY","",IF(E19=0,0,IF(AO$5&lt;F19,0,G19*MIN(1,(AO$5-F19+1)/H19)*IF(AO$5&lt;=I19,1,(1-J19)^(AO$5-I19)))*K19*L19*M19))</f>
        <v/>
      </c>
      <c r="AP19" s="36" t="str">
        <f aca="false">IF('Biotech Model'!$B$4&lt;&gt;"READY","",IF(E19=0,0,IF(AP$5&lt;F19,0,G19*MIN(1,(AP$5-F19+1)/H19)*IF(AP$5&lt;=I19,1,(1-J19)^(AP$5-I19)))*K19*L19*M19))</f>
        <v/>
      </c>
      <c r="AQ19" s="36" t="str">
        <f aca="false">IF('Biotech Model'!$B$4&lt;&gt;"READY","",IF(E19=0,0,IF(AQ$5&lt;F19,0,G19*MIN(1,(AQ$5-F19+1)/H19)*IF(AQ$5&lt;=I19,1,(1-J19)^(AQ$5-I19)))*K19*L19*M19))</f>
        <v/>
      </c>
      <c r="AR19" s="36" t="str">
        <f aca="false">IF('Biotech Model'!$B$4&lt;&gt;"READY","",IF(E19=0,0,IF(AR$5&lt;F19,0,G19*MIN(1,(AR$5-F19+1)/H19)*IF(AR$5&lt;=I19,1,(1-J19)^(AR$5-I19)))*K19*L19*M19))</f>
        <v/>
      </c>
      <c r="AS19" s="36" t="str">
        <f aca="false">IF('Biotech Model'!$B$4&lt;&gt;"READY","",IF(E19=0,0,IF(AS$5&lt;F19,0,G19*MIN(1,(AS$5-F19+1)/H19)*IF(AS$5&lt;=I19,1,(1-J19)^(AS$5-I19)))*K19*L19*M19))</f>
        <v/>
      </c>
      <c r="AT19" s="36" t="str">
        <f aca="false">IF('Biotech Model'!$B$4&lt;&gt;"READY","",IF(E19=0,0,IF(AT$5&lt;F19,0,G19*MIN(1,(AT$5-F19+1)/H19)*IF(AT$5&lt;=I19,1,(1-J19)^(AT$5-I19)))*K19*L19*M19))</f>
        <v/>
      </c>
      <c r="AU19" s="36" t="str">
        <f aca="false">IF('Biotech Model'!$B$4&lt;&gt;"READY","",IF(E19=0,0,IF(AU$5&lt;F19,0,G19*MIN(1,(AU$5-F19+1)/H19)*IF(AU$5&lt;=I19,1,(1-J19)^(AU$5-I19)))*K19*L19*M19))</f>
        <v/>
      </c>
      <c r="AV19" s="36" t="str">
        <f aca="false">IF('Biotech Model'!$B$4&lt;&gt;"READY","",IF(E19=0,0,IF(AV$5&lt;F19,0,G19*MIN(1,(AV$5-F19+1)/H19)*IF(AV$5&lt;=I19,1,(1-J19)^(AV$5-I19)))*K19*L19*M19))</f>
        <v/>
      </c>
      <c r="AW19" s="36" t="str">
        <f aca="false">IF('Biotech Model'!$B$4&lt;&gt;"READY","",IF(E19=0,0,IF(AW$5&lt;F19,0,G19*MIN(1,(AW$5-F19+1)/H19)*IF(AW$5&lt;=I19,1,(1-J19)^(AW$5-I19)))*K19*L19*M19))</f>
        <v/>
      </c>
      <c r="AX19" s="36" t="str">
        <f aca="false">IF('Biotech Model'!$B$4&lt;&gt;"READY","",IF(E19=0,0,IF(AX$5&lt;F19,0,G19*MIN(1,(AX$5-F19+1)/H19)*IF(AX$5&lt;=I19,1,(1-J19)^(AX$5-I19)))*K19*L19*M19))</f>
        <v/>
      </c>
    </row>
    <row r="22" customFormat="false" ht="15" hidden="false" customHeight="false" outlineLevel="0" collapsed="false">
      <c r="A22" s="37" t="s">
        <v>105</v>
      </c>
      <c r="B22" s="37"/>
      <c r="C22" s="37"/>
      <c r="D22" s="37"/>
      <c r="E22" s="37"/>
      <c r="F22" s="37"/>
      <c r="G22" s="37"/>
    </row>
    <row r="23" customFormat="false" ht="37.5" hidden="false" customHeight="true" outlineLevel="0" collapsed="false">
      <c r="A23" s="28" t="s">
        <v>55</v>
      </c>
      <c r="B23" s="28" t="s">
        <v>56</v>
      </c>
      <c r="C23" s="28" t="s">
        <v>57</v>
      </c>
      <c r="D23" s="28" t="s">
        <v>58</v>
      </c>
      <c r="E23" s="28" t="s">
        <v>59</v>
      </c>
      <c r="F23" s="28" t="s">
        <v>106</v>
      </c>
      <c r="G23" s="28" t="s">
        <v>107</v>
      </c>
    </row>
    <row r="24" customFormat="false" ht="69.75" hidden="false" customHeight="true" outlineLevel="0" collapsed="false">
      <c r="A24" s="30" t="s">
        <v>108</v>
      </c>
      <c r="B24" s="31" t="s">
        <v>108</v>
      </c>
      <c r="C24" s="31" t="s">
        <v>109</v>
      </c>
      <c r="D24" s="31" t="s">
        <v>110</v>
      </c>
      <c r="E24" s="38" t="str">
        <f aca="false">IF('Input Required'!$B$3&lt;&gt;"READY","",'Input Required'!F157/1)</f>
        <v/>
      </c>
      <c r="F24" s="39" t="str">
        <f aca="false">IF('Input Required'!$B$3&lt;&gt;"READY","",'Input Required'!F158/1000000)</f>
        <v/>
      </c>
      <c r="G24" s="40" t="str">
        <f aca="false">IF('Biotech Model'!$B$4&lt;&gt;"READY","",E24*F24)</f>
        <v/>
      </c>
    </row>
    <row r="25" customFormat="false" ht="69.75" hidden="false" customHeight="true" outlineLevel="0" collapsed="false">
      <c r="A25" s="30" t="s">
        <v>111</v>
      </c>
      <c r="B25" s="31" t="s">
        <v>111</v>
      </c>
      <c r="C25" s="31" t="s">
        <v>109</v>
      </c>
      <c r="D25" s="31" t="s">
        <v>110</v>
      </c>
      <c r="E25" s="38" t="str">
        <f aca="false">IF('Input Required'!$B$3&lt;&gt;"READY","",'Input Required'!F159/1)</f>
        <v/>
      </c>
      <c r="F25" s="39" t="str">
        <f aca="false">IF('Input Required'!$B$3&lt;&gt;"READY","",'Input Required'!F160/1000000)</f>
        <v/>
      </c>
      <c r="G25" s="40" t="str">
        <f aca="false">IF('Biotech Model'!$B$4&lt;&gt;"READY","",E25*F25)</f>
        <v/>
      </c>
    </row>
    <row r="26" customFormat="false" ht="69.75" hidden="false" customHeight="true" outlineLevel="0" collapsed="false">
      <c r="A26" s="30" t="s">
        <v>112</v>
      </c>
      <c r="B26" s="31" t="s">
        <v>112</v>
      </c>
      <c r="C26" s="31" t="s">
        <v>109</v>
      </c>
      <c r="D26" s="31" t="s">
        <v>110</v>
      </c>
      <c r="E26" s="38" t="str">
        <f aca="false">IF('Input Required'!$B$3&lt;&gt;"READY","",'Input Required'!F161/1)</f>
        <v/>
      </c>
      <c r="F26" s="39" t="str">
        <f aca="false">IF('Input Required'!$B$3&lt;&gt;"READY","",'Input Required'!F162/1000000)</f>
        <v/>
      </c>
      <c r="G26" s="40" t="str">
        <f aca="false">IF('Biotech Model'!$B$4&lt;&gt;"READY","",E26*F26)</f>
        <v/>
      </c>
    </row>
    <row r="27" customFormat="false" ht="69.75" hidden="false" customHeight="true" outlineLevel="0" collapsed="false">
      <c r="A27" s="30" t="s">
        <v>113</v>
      </c>
      <c r="B27" s="31" t="s">
        <v>113</v>
      </c>
      <c r="C27" s="31" t="s">
        <v>109</v>
      </c>
      <c r="D27" s="31" t="s">
        <v>110</v>
      </c>
      <c r="E27" s="38" t="str">
        <f aca="false">IF('Input Required'!$B$3&lt;&gt;"READY","",'Input Required'!F163/1)</f>
        <v/>
      </c>
      <c r="F27" s="39" t="str">
        <f aca="false">IF('Input Required'!$B$3&lt;&gt;"READY","",'Input Required'!F164/1000000)</f>
        <v/>
      </c>
      <c r="G27" s="40" t="str">
        <f aca="false">IF('Biotech Model'!$B$4&lt;&gt;"READY","",E27*F27)</f>
        <v/>
      </c>
    </row>
    <row r="28" customFormat="false" ht="69.75" hidden="false" customHeight="true" outlineLevel="0" collapsed="false">
      <c r="A28" s="30" t="s">
        <v>114</v>
      </c>
      <c r="B28" s="31" t="s">
        <v>114</v>
      </c>
      <c r="C28" s="31" t="s">
        <v>115</v>
      </c>
      <c r="D28" s="31" t="s">
        <v>116</v>
      </c>
      <c r="E28" s="38" t="str">
        <f aca="false">IF('Input Required'!$B$3&lt;&gt;"READY","",'Input Required'!F165/1)</f>
        <v/>
      </c>
      <c r="F28" s="39" t="str">
        <f aca="false">IF('Input Required'!$B$3&lt;&gt;"READY","",'Input Required'!F166/1000000)</f>
        <v/>
      </c>
      <c r="G28" s="40" t="str">
        <f aca="false">IF('Biotech Model'!$B$4&lt;&gt;"READY","",E28*F28)</f>
        <v/>
      </c>
    </row>
    <row r="29" customFormat="false" ht="69.75" hidden="false" customHeight="true" outlineLevel="0" collapsed="false">
      <c r="A29" s="30" t="s">
        <v>117</v>
      </c>
      <c r="B29" s="31" t="s">
        <v>117</v>
      </c>
      <c r="C29" s="31" t="s">
        <v>118</v>
      </c>
      <c r="D29" s="31" t="s">
        <v>119</v>
      </c>
      <c r="E29" s="38" t="str">
        <f aca="false">IF('Input Required'!$B$3&lt;&gt;"READY","",'Input Required'!F167/1)</f>
        <v/>
      </c>
      <c r="F29" s="39" t="str">
        <f aca="false">IF('Input Required'!$B$3&lt;&gt;"READY","",'Input Required'!F168/1000000)</f>
        <v/>
      </c>
      <c r="G29" s="40" t="str">
        <f aca="false">IF('Biotech Model'!$B$4&lt;&gt;"READY","",E29*F29)</f>
        <v/>
      </c>
    </row>
    <row r="30" customFormat="false" ht="69.75" hidden="false" customHeight="true" outlineLevel="0" collapsed="false">
      <c r="A30" s="30" t="s">
        <v>120</v>
      </c>
      <c r="B30" s="31" t="s">
        <v>120</v>
      </c>
      <c r="C30" s="31" t="s">
        <v>115</v>
      </c>
      <c r="D30" s="31" t="s">
        <v>121</v>
      </c>
      <c r="E30" s="38" t="str">
        <f aca="false">IF('Input Required'!$B$3&lt;&gt;"READY","",'Input Required'!F169/1)</f>
        <v/>
      </c>
      <c r="F30" s="39" t="str">
        <f aca="false">IF('Input Required'!$B$3&lt;&gt;"READY","",'Input Required'!F170/1000000)</f>
        <v/>
      </c>
      <c r="G30" s="40" t="str">
        <f aca="false">IF('Biotech Model'!$B$4&lt;&gt;"READY","",E30*F30)</f>
        <v/>
      </c>
    </row>
    <row r="31" customFormat="false" ht="69.75" hidden="false" customHeight="true" outlineLevel="0" collapsed="false">
      <c r="A31" s="30" t="s">
        <v>122</v>
      </c>
      <c r="B31" s="31" t="s">
        <v>122</v>
      </c>
      <c r="C31" s="31" t="s">
        <v>115</v>
      </c>
      <c r="D31" s="31" t="s">
        <v>123</v>
      </c>
      <c r="E31" s="38" t="str">
        <f aca="false">IF('Input Required'!$B$3&lt;&gt;"READY","",'Input Required'!F171/1)</f>
        <v/>
      </c>
      <c r="F31" s="39" t="str">
        <f aca="false">IF('Input Required'!$B$3&lt;&gt;"READY","",'Input Required'!F172/1000000)</f>
        <v/>
      </c>
      <c r="G31" s="40" t="str">
        <f aca="false">IF('Biotech Model'!$B$4&lt;&gt;"READY","",E31*F31)</f>
        <v/>
      </c>
    </row>
    <row r="32" customFormat="false" ht="69.75" hidden="false" customHeight="true" outlineLevel="0" collapsed="false">
      <c r="A32" s="30" t="s">
        <v>124</v>
      </c>
      <c r="B32" s="31" t="s">
        <v>124</v>
      </c>
      <c r="C32" s="31" t="s">
        <v>125</v>
      </c>
      <c r="D32" s="31" t="s">
        <v>126</v>
      </c>
      <c r="E32" s="38" t="str">
        <f aca="false">IF('Input Required'!$B$3&lt;&gt;"READY","",'Input Required'!F173/1)</f>
        <v/>
      </c>
      <c r="F32" s="39" t="str">
        <f aca="false">IF('Input Required'!$B$3&lt;&gt;"READY","",'Input Required'!F174/1000000)</f>
        <v/>
      </c>
      <c r="G32" s="40" t="str">
        <f aca="false">IF('Biotech Model'!$B$4&lt;&gt;"READY","",E32*F32)</f>
        <v/>
      </c>
    </row>
    <row r="33" customFormat="false" ht="69.75" hidden="false" customHeight="true" outlineLevel="0" collapsed="false">
      <c r="A33" s="30" t="s">
        <v>127</v>
      </c>
      <c r="B33" s="31" t="s">
        <v>127</v>
      </c>
      <c r="C33" s="31" t="s">
        <v>125</v>
      </c>
      <c r="D33" s="31" t="s">
        <v>128</v>
      </c>
      <c r="E33" s="38" t="str">
        <f aca="false">IF('Input Required'!$B$3&lt;&gt;"READY","",'Input Required'!F175/1)</f>
        <v/>
      </c>
      <c r="F33" s="39" t="str">
        <f aca="false">IF('Input Required'!$B$3&lt;&gt;"READY","",'Input Required'!F176/1000000)</f>
        <v/>
      </c>
      <c r="G33" s="40" t="str">
        <f aca="false">IF('Biotech Model'!$B$4&lt;&gt;"READY","",E33*F33)</f>
        <v/>
      </c>
    </row>
    <row r="34" customFormat="false" ht="69.75" hidden="false" customHeight="true" outlineLevel="0" collapsed="false">
      <c r="A34" s="30" t="s">
        <v>129</v>
      </c>
      <c r="B34" s="31" t="s">
        <v>129</v>
      </c>
      <c r="C34" s="31" t="s">
        <v>115</v>
      </c>
      <c r="D34" s="31" t="s">
        <v>130</v>
      </c>
      <c r="E34" s="38" t="str">
        <f aca="false">IF('Input Required'!$B$3&lt;&gt;"READY","",'Input Required'!F177/1)</f>
        <v/>
      </c>
      <c r="F34" s="39" t="str">
        <f aca="false">IF('Input Required'!$B$3&lt;&gt;"READY","",'Input Required'!F178/1000000)</f>
        <v/>
      </c>
      <c r="G34" s="40" t="str">
        <f aca="false">IF('Biotech Model'!$B$4&lt;&gt;"READY","",E34*F34)</f>
        <v/>
      </c>
    </row>
    <row r="35" customFormat="false" ht="69.75" hidden="false" customHeight="true" outlineLevel="0" collapsed="false">
      <c r="A35" s="30" t="s">
        <v>131</v>
      </c>
      <c r="B35" s="31" t="s">
        <v>131</v>
      </c>
      <c r="C35" s="31" t="s">
        <v>125</v>
      </c>
      <c r="D35" s="31" t="s">
        <v>132</v>
      </c>
      <c r="E35" s="38" t="str">
        <f aca="false">IF('Input Required'!$B$3&lt;&gt;"READY","",'Input Required'!F179/1)</f>
        <v/>
      </c>
      <c r="F35" s="39" t="str">
        <f aca="false">IF('Input Required'!$B$3&lt;&gt;"READY","",'Input Required'!F180/1000000)</f>
        <v/>
      </c>
      <c r="G35" s="40" t="str">
        <f aca="false">IF('Biotech Model'!$B$4&lt;&gt;"READY","",E35*F35)</f>
        <v/>
      </c>
    </row>
    <row r="36" customFormat="false" ht="69.75" hidden="false" customHeight="true" outlineLevel="0" collapsed="false">
      <c r="A36" s="30" t="s">
        <v>133</v>
      </c>
      <c r="B36" s="31" t="s">
        <v>133</v>
      </c>
      <c r="C36" s="31" t="s">
        <v>125</v>
      </c>
      <c r="D36" s="31" t="s">
        <v>134</v>
      </c>
      <c r="E36" s="38" t="str">
        <f aca="false">IF('Input Required'!$B$3&lt;&gt;"READY","",'Input Required'!F181/1)</f>
        <v/>
      </c>
      <c r="F36" s="39" t="str">
        <f aca="false">IF('Input Required'!$B$3&lt;&gt;"READY","",'Input Required'!F182/1000000)</f>
        <v/>
      </c>
      <c r="G36" s="40" t="str">
        <f aca="false">IF('Biotech Model'!$B$4&lt;&gt;"READY","",E36*F36)</f>
        <v/>
      </c>
    </row>
    <row r="37" customFormat="false" ht="69.75" hidden="false" customHeight="true" outlineLevel="0" collapsed="false">
      <c r="A37" s="30" t="s">
        <v>135</v>
      </c>
      <c r="B37" s="31" t="s">
        <v>135</v>
      </c>
      <c r="C37" s="31" t="s">
        <v>136</v>
      </c>
      <c r="D37" s="31" t="s">
        <v>137</v>
      </c>
      <c r="E37" s="38" t="str">
        <f aca="false">IF('Input Required'!$B$3&lt;&gt;"READY","",'Input Required'!F183/1)</f>
        <v/>
      </c>
      <c r="F37" s="39" t="str">
        <f aca="false">IF('Input Required'!$B$3&lt;&gt;"READY","",'Input Required'!F184/1000000)</f>
        <v/>
      </c>
      <c r="G37" s="40" t="str">
        <f aca="false">IF('Biotech Model'!$B$4&lt;&gt;"READY","",E37*F37)</f>
        <v/>
      </c>
    </row>
    <row r="38" customFormat="false" ht="69.75" hidden="false" customHeight="true" outlineLevel="0" collapsed="false">
      <c r="A38" s="30" t="s">
        <v>138</v>
      </c>
      <c r="B38" s="31" t="s">
        <v>138</v>
      </c>
      <c r="C38" s="31" t="s">
        <v>136</v>
      </c>
      <c r="D38" s="31" t="s">
        <v>137</v>
      </c>
      <c r="E38" s="38" t="str">
        <f aca="false">IF('Input Required'!$B$3&lt;&gt;"READY","",'Input Required'!F185/1)</f>
        <v/>
      </c>
      <c r="F38" s="39" t="str">
        <f aca="false">IF('Input Required'!$B$3&lt;&gt;"READY","",'Input Required'!F186/1000000)</f>
        <v/>
      </c>
      <c r="G38" s="40" t="str">
        <f aca="false">IF('Biotech Model'!$B$4&lt;&gt;"READY","",E38*F38)</f>
        <v/>
      </c>
    </row>
    <row r="39" customFormat="false" ht="69.75" hidden="false" customHeight="true" outlineLevel="0" collapsed="false">
      <c r="A39" s="30" t="s">
        <v>139</v>
      </c>
      <c r="B39" s="31" t="s">
        <v>139</v>
      </c>
      <c r="C39" s="31" t="s">
        <v>136</v>
      </c>
      <c r="D39" s="31" t="s">
        <v>137</v>
      </c>
      <c r="E39" s="38" t="str">
        <f aca="false">IF('Input Required'!$B$3&lt;&gt;"READY","",'Input Required'!F187/1)</f>
        <v/>
      </c>
      <c r="F39" s="39" t="str">
        <f aca="false">IF('Input Required'!$B$3&lt;&gt;"READY","",'Input Required'!F188/1000000)</f>
        <v/>
      </c>
      <c r="G39" s="40" t="str">
        <f aca="false">IF('Biotech Model'!$B$4&lt;&gt;"READY","",E39*F39)</f>
        <v/>
      </c>
    </row>
    <row r="40" customFormat="false" ht="69.75" hidden="false" customHeight="true" outlineLevel="0" collapsed="false">
      <c r="A40" s="30" t="s">
        <v>140</v>
      </c>
      <c r="B40" s="31" t="s">
        <v>140</v>
      </c>
      <c r="C40" s="31" t="s">
        <v>136</v>
      </c>
      <c r="D40" s="31" t="s">
        <v>137</v>
      </c>
      <c r="E40" s="38" t="str">
        <f aca="false">IF('Input Required'!$B$3&lt;&gt;"READY","",'Input Required'!F189/1)</f>
        <v/>
      </c>
      <c r="F40" s="39" t="str">
        <f aca="false">IF('Input Required'!$B$3&lt;&gt;"READY","",'Input Required'!F190/1000000)</f>
        <v/>
      </c>
      <c r="G40" s="40" t="str">
        <f aca="false">IF('Biotech Model'!$B$4&lt;&gt;"READY","",E40*F40)</f>
        <v/>
      </c>
    </row>
    <row r="41" customFormat="false" ht="69.75" hidden="false" customHeight="true" outlineLevel="0" collapsed="false">
      <c r="A41" s="30" t="s">
        <v>141</v>
      </c>
      <c r="B41" s="31" t="s">
        <v>141</v>
      </c>
      <c r="C41" s="31" t="s">
        <v>125</v>
      </c>
      <c r="D41" s="31" t="s">
        <v>142</v>
      </c>
      <c r="E41" s="38" t="str">
        <f aca="false">IF('Input Required'!$B$3&lt;&gt;"READY","",'Input Required'!F191/1)</f>
        <v/>
      </c>
      <c r="F41" s="39" t="str">
        <f aca="false">IF('Input Required'!$B$3&lt;&gt;"READY","",'Input Required'!F192/1000000)</f>
        <v/>
      </c>
      <c r="G41" s="40" t="str">
        <f aca="false">IF('Biotech Model'!$B$4&lt;&gt;"READY","",E41*F41)</f>
        <v/>
      </c>
    </row>
  </sheetData>
  <autoFilter ref="A5:AX19"/>
  <mergeCells count="3">
    <mergeCell ref="A1:AX1"/>
    <mergeCell ref="A2:AX2"/>
    <mergeCell ref="A22:G2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3" min="3" style="0" width="14"/>
    <col collapsed="false" customWidth="true" hidden="false" outlineLevel="0" max="4" min="4" style="0" width="16"/>
    <col collapsed="false" customWidth="true" hidden="false" outlineLevel="0" max="5" min="5" style="0" width="64"/>
    <col collapsed="false" customWidth="true" hidden="false" outlineLevel="0" max="6" min="6" style="0" width="18"/>
    <col collapsed="false" customWidth="true" hidden="false" outlineLevel="0" max="7" min="7" style="0" width="36"/>
    <col collapsed="false" customWidth="true" hidden="false" outlineLevel="0" max="8" min="8" style="0" width="16"/>
  </cols>
  <sheetData>
    <row r="1" customFormat="false" ht="19.7" hidden="false" customHeight="false" outlineLevel="0" collapsed="false">
      <c r="A1" s="1" t="s">
        <v>143</v>
      </c>
      <c r="B1" s="1"/>
      <c r="C1" s="1"/>
      <c r="D1" s="1"/>
      <c r="E1" s="1"/>
      <c r="F1" s="1"/>
      <c r="G1" s="1"/>
      <c r="H1" s="1"/>
    </row>
    <row r="2" customFormat="false" ht="15" hidden="false" customHeight="false" outlineLevel="0" collapsed="false">
      <c r="A2" s="41" t="s">
        <v>144</v>
      </c>
      <c r="B2" s="41"/>
      <c r="C2" s="41"/>
      <c r="D2" s="41"/>
      <c r="E2" s="41"/>
      <c r="F2" s="41"/>
      <c r="G2" s="41"/>
      <c r="H2" s="41"/>
    </row>
    <row r="3" customFormat="false" ht="23.85" hidden="false" customHeight="false" outlineLevel="0" collapsed="false">
      <c r="A3" s="42" t="s">
        <v>3</v>
      </c>
      <c r="B3" s="43" t="str">
        <f aca="false">IF(COUNTIF('Data Review'!$C$5:$C$195,"INPUT ERROR")&gt;0,"INPUT ERROR — check required inputs",IF(COUNTIF('Data Review'!$C$5:$C$195,"INPUT REQUIRED")+COUNTIF('Data Review'!$C$5:$C$195,"SOURCE REQUIRED")&gt;0,"INCOMPLETE — fill required inputs","READY"))</f>
        <v>INCOMPLETE — fill required inputs</v>
      </c>
    </row>
    <row r="5" customFormat="false" ht="15" hidden="false" customHeight="false" outlineLevel="0" collapsed="false">
      <c r="A5" s="44" t="s">
        <v>145</v>
      </c>
      <c r="B5" s="44" t="s">
        <v>146</v>
      </c>
      <c r="C5" s="44" t="s">
        <v>147</v>
      </c>
      <c r="D5" s="44" t="s">
        <v>148</v>
      </c>
      <c r="E5" s="44" t="s">
        <v>149</v>
      </c>
      <c r="F5" s="44" t="s">
        <v>150</v>
      </c>
      <c r="G5" s="44" t="s">
        <v>151</v>
      </c>
      <c r="H5" s="44" t="s">
        <v>152</v>
      </c>
    </row>
    <row r="6" customFormat="false" ht="57.45" hidden="false" customHeight="false" outlineLevel="0" collapsed="false">
      <c r="A6" s="45" t="s">
        <v>153</v>
      </c>
      <c r="B6" s="45" t="s">
        <v>154</v>
      </c>
      <c r="C6" s="45" t="s">
        <v>155</v>
      </c>
      <c r="D6" s="45" t="s">
        <v>156</v>
      </c>
      <c r="E6" s="45" t="s">
        <v>157</v>
      </c>
      <c r="F6" s="46"/>
      <c r="G6" s="46"/>
      <c r="H6" s="45" t="s">
        <v>158</v>
      </c>
    </row>
    <row r="7" customFormat="false" ht="57.45" hidden="false" customHeight="false" outlineLevel="0" collapsed="false">
      <c r="A7" s="45" t="s">
        <v>153</v>
      </c>
      <c r="B7" s="45" t="s">
        <v>154</v>
      </c>
      <c r="C7" s="45" t="s">
        <v>159</v>
      </c>
      <c r="D7" s="45" t="s">
        <v>156</v>
      </c>
      <c r="E7" s="45" t="s">
        <v>160</v>
      </c>
      <c r="F7" s="46"/>
      <c r="G7" s="46"/>
      <c r="H7" s="45" t="s">
        <v>158</v>
      </c>
    </row>
    <row r="8" customFormat="false" ht="57.45" hidden="false" customHeight="false" outlineLevel="0" collapsed="false">
      <c r="A8" s="45" t="s">
        <v>153</v>
      </c>
      <c r="B8" s="45" t="s">
        <v>154</v>
      </c>
      <c r="C8" s="45" t="s">
        <v>161</v>
      </c>
      <c r="D8" s="45" t="s">
        <v>156</v>
      </c>
      <c r="E8" s="45" t="s">
        <v>162</v>
      </c>
      <c r="F8" s="46"/>
      <c r="G8" s="46"/>
      <c r="H8" s="45" t="s">
        <v>158</v>
      </c>
    </row>
    <row r="9" customFormat="false" ht="57.45" hidden="false" customHeight="false" outlineLevel="0" collapsed="false">
      <c r="A9" s="45" t="s">
        <v>153</v>
      </c>
      <c r="B9" s="45" t="s">
        <v>154</v>
      </c>
      <c r="C9" s="45" t="s">
        <v>163</v>
      </c>
      <c r="D9" s="45" t="s">
        <v>156</v>
      </c>
      <c r="E9" s="45" t="s">
        <v>164</v>
      </c>
      <c r="F9" s="46"/>
      <c r="G9" s="46"/>
      <c r="H9" s="45" t="s">
        <v>158</v>
      </c>
    </row>
    <row r="10" customFormat="false" ht="57.45" hidden="false" customHeight="false" outlineLevel="0" collapsed="false">
      <c r="A10" s="45" t="s">
        <v>153</v>
      </c>
      <c r="B10" s="45" t="s">
        <v>154</v>
      </c>
      <c r="C10" s="45" t="s">
        <v>165</v>
      </c>
      <c r="D10" s="45" t="s">
        <v>156</v>
      </c>
      <c r="E10" s="45" t="s">
        <v>166</v>
      </c>
      <c r="F10" s="46"/>
      <c r="G10" s="46"/>
      <c r="H10" s="45" t="s">
        <v>158</v>
      </c>
    </row>
    <row r="11" customFormat="false" ht="57.45" hidden="false" customHeight="false" outlineLevel="0" collapsed="false">
      <c r="A11" s="45" t="s">
        <v>153</v>
      </c>
      <c r="B11" s="45" t="s">
        <v>154</v>
      </c>
      <c r="C11" s="45" t="s">
        <v>167</v>
      </c>
      <c r="D11" s="45" t="s">
        <v>156</v>
      </c>
      <c r="E11" s="45" t="s">
        <v>168</v>
      </c>
      <c r="F11" s="46"/>
      <c r="G11" s="46"/>
      <c r="H11" s="45" t="s">
        <v>158</v>
      </c>
    </row>
    <row r="12" customFormat="false" ht="57.45" hidden="false" customHeight="false" outlineLevel="0" collapsed="false">
      <c r="A12" s="45" t="s">
        <v>153</v>
      </c>
      <c r="B12" s="45" t="s">
        <v>154</v>
      </c>
      <c r="C12" s="45" t="s">
        <v>169</v>
      </c>
      <c r="D12" s="45" t="s">
        <v>156</v>
      </c>
      <c r="E12" s="45" t="s">
        <v>170</v>
      </c>
      <c r="F12" s="46"/>
      <c r="G12" s="46"/>
      <c r="H12" s="45" t="s">
        <v>158</v>
      </c>
    </row>
    <row r="13" customFormat="false" ht="57.45" hidden="false" customHeight="false" outlineLevel="0" collapsed="false">
      <c r="A13" s="45" t="s">
        <v>153</v>
      </c>
      <c r="B13" s="45" t="s">
        <v>154</v>
      </c>
      <c r="C13" s="45" t="s">
        <v>171</v>
      </c>
      <c r="D13" s="45" t="s">
        <v>156</v>
      </c>
      <c r="E13" s="45" t="s">
        <v>172</v>
      </c>
      <c r="F13" s="46"/>
      <c r="G13" s="46"/>
      <c r="H13" s="45" t="s">
        <v>158</v>
      </c>
    </row>
    <row r="14" customFormat="false" ht="57.45" hidden="false" customHeight="false" outlineLevel="0" collapsed="false">
      <c r="A14" s="45" t="s">
        <v>153</v>
      </c>
      <c r="B14" s="45" t="s">
        <v>154</v>
      </c>
      <c r="C14" s="45" t="s">
        <v>173</v>
      </c>
      <c r="D14" s="45" t="s">
        <v>156</v>
      </c>
      <c r="E14" s="45" t="s">
        <v>174</v>
      </c>
      <c r="F14" s="46"/>
      <c r="G14" s="46"/>
      <c r="H14" s="45" t="s">
        <v>158</v>
      </c>
    </row>
    <row r="15" customFormat="false" ht="57.45" hidden="false" customHeight="false" outlineLevel="0" collapsed="false">
      <c r="A15" s="45" t="s">
        <v>153</v>
      </c>
      <c r="B15" s="45" t="s">
        <v>154</v>
      </c>
      <c r="C15" s="45" t="s">
        <v>175</v>
      </c>
      <c r="D15" s="45" t="s">
        <v>156</v>
      </c>
      <c r="E15" s="45" t="s">
        <v>176</v>
      </c>
      <c r="F15" s="46"/>
      <c r="G15" s="46"/>
      <c r="H15" s="45" t="s">
        <v>158</v>
      </c>
    </row>
    <row r="16" customFormat="false" ht="57.45" hidden="false" customHeight="false" outlineLevel="0" collapsed="false">
      <c r="A16" s="45" t="s">
        <v>177</v>
      </c>
      <c r="B16" s="45" t="s">
        <v>178</v>
      </c>
      <c r="C16" s="45"/>
      <c r="D16" s="45" t="s">
        <v>156</v>
      </c>
      <c r="E16" s="45" t="s">
        <v>179</v>
      </c>
      <c r="F16" s="46"/>
      <c r="G16" s="46"/>
      <c r="H16" s="45" t="s">
        <v>158</v>
      </c>
    </row>
    <row r="17" customFormat="false" ht="57.45" hidden="false" customHeight="false" outlineLevel="0" collapsed="false">
      <c r="A17" s="45" t="s">
        <v>180</v>
      </c>
      <c r="B17" s="45" t="s">
        <v>181</v>
      </c>
      <c r="C17" s="45"/>
      <c r="D17" s="45" t="s">
        <v>182</v>
      </c>
      <c r="E17" s="45" t="s">
        <v>183</v>
      </c>
      <c r="F17" s="46"/>
      <c r="G17" s="46"/>
      <c r="H17" s="45" t="s">
        <v>158</v>
      </c>
    </row>
    <row r="18" customFormat="false" ht="57.45" hidden="false" customHeight="false" outlineLevel="0" collapsed="false">
      <c r="A18" s="45" t="s">
        <v>184</v>
      </c>
      <c r="B18" s="45" t="s">
        <v>185</v>
      </c>
      <c r="C18" s="45"/>
      <c r="D18" s="45" t="s">
        <v>186</v>
      </c>
      <c r="E18" s="45" t="s">
        <v>183</v>
      </c>
      <c r="F18" s="46"/>
      <c r="G18" s="46"/>
      <c r="H18" s="45" t="s">
        <v>158</v>
      </c>
    </row>
    <row r="19" customFormat="false" ht="57.45" hidden="false" customHeight="false" outlineLevel="0" collapsed="false">
      <c r="A19" s="45" t="s">
        <v>187</v>
      </c>
      <c r="B19" s="45" t="s">
        <v>188</v>
      </c>
      <c r="C19" s="45"/>
      <c r="D19" s="45" t="s">
        <v>189</v>
      </c>
      <c r="E19" s="45" t="s">
        <v>183</v>
      </c>
      <c r="F19" s="46"/>
      <c r="G19" s="46"/>
      <c r="H19" s="45" t="s">
        <v>158</v>
      </c>
    </row>
    <row r="20" customFormat="false" ht="57.45" hidden="false" customHeight="false" outlineLevel="0" collapsed="false">
      <c r="A20" s="45" t="s">
        <v>190</v>
      </c>
      <c r="B20" s="45" t="s">
        <v>191</v>
      </c>
      <c r="C20" s="45"/>
      <c r="D20" s="45" t="s">
        <v>192</v>
      </c>
      <c r="E20" s="45" t="s">
        <v>183</v>
      </c>
      <c r="F20" s="46"/>
      <c r="G20" s="46"/>
      <c r="H20" s="45" t="s">
        <v>158</v>
      </c>
    </row>
    <row r="21" customFormat="false" ht="57.45" hidden="false" customHeight="false" outlineLevel="0" collapsed="false">
      <c r="A21" s="45" t="s">
        <v>193</v>
      </c>
      <c r="B21" s="45" t="s">
        <v>194</v>
      </c>
      <c r="C21" s="45"/>
      <c r="D21" s="45" t="s">
        <v>186</v>
      </c>
      <c r="E21" s="45" t="s">
        <v>183</v>
      </c>
      <c r="F21" s="46"/>
      <c r="G21" s="46"/>
      <c r="H21" s="45" t="s">
        <v>158</v>
      </c>
    </row>
    <row r="22" customFormat="false" ht="57.45" hidden="false" customHeight="false" outlineLevel="0" collapsed="false">
      <c r="A22" s="45" t="s">
        <v>195</v>
      </c>
      <c r="B22" s="45" t="s">
        <v>196</v>
      </c>
      <c r="C22" s="45"/>
      <c r="D22" s="45" t="s">
        <v>156</v>
      </c>
      <c r="E22" s="45" t="s">
        <v>183</v>
      </c>
      <c r="F22" s="46"/>
      <c r="G22" s="46"/>
      <c r="H22" s="45" t="s">
        <v>158</v>
      </c>
    </row>
    <row r="23" customFormat="false" ht="57.45" hidden="false" customHeight="false" outlineLevel="0" collapsed="false">
      <c r="A23" s="45" t="s">
        <v>197</v>
      </c>
      <c r="B23" s="45" t="s">
        <v>198</v>
      </c>
      <c r="C23" s="45"/>
      <c r="D23" s="45" t="s">
        <v>156</v>
      </c>
      <c r="E23" s="45" t="s">
        <v>183</v>
      </c>
      <c r="F23" s="46"/>
      <c r="G23" s="46"/>
      <c r="H23" s="45" t="s">
        <v>158</v>
      </c>
    </row>
    <row r="24" customFormat="false" ht="57.45" hidden="false" customHeight="false" outlineLevel="0" collapsed="false">
      <c r="A24" s="45" t="s">
        <v>199</v>
      </c>
      <c r="B24" s="45" t="s">
        <v>200</v>
      </c>
      <c r="C24" s="45"/>
      <c r="D24" s="45" t="s">
        <v>156</v>
      </c>
      <c r="E24" s="45" t="s">
        <v>183</v>
      </c>
      <c r="F24" s="46"/>
      <c r="G24" s="46"/>
      <c r="H24" s="45" t="s">
        <v>158</v>
      </c>
    </row>
    <row r="25" customFormat="false" ht="57.45" hidden="false" customHeight="false" outlineLevel="0" collapsed="false">
      <c r="A25" s="45" t="s">
        <v>201</v>
      </c>
      <c r="B25" s="45" t="s">
        <v>202</v>
      </c>
      <c r="C25" s="45"/>
      <c r="D25" s="45" t="s">
        <v>156</v>
      </c>
      <c r="E25" s="45" t="s">
        <v>183</v>
      </c>
      <c r="F25" s="46"/>
      <c r="G25" s="46"/>
      <c r="H25" s="45" t="s">
        <v>158</v>
      </c>
    </row>
    <row r="26" customFormat="false" ht="57.45" hidden="false" customHeight="false" outlineLevel="0" collapsed="false">
      <c r="A26" s="45" t="s">
        <v>203</v>
      </c>
      <c r="B26" s="45" t="s">
        <v>204</v>
      </c>
      <c r="C26" s="45"/>
      <c r="D26" s="45" t="s">
        <v>189</v>
      </c>
      <c r="E26" s="45" t="s">
        <v>183</v>
      </c>
      <c r="F26" s="46"/>
      <c r="G26" s="46"/>
      <c r="H26" s="45" t="s">
        <v>158</v>
      </c>
    </row>
    <row r="27" customFormat="false" ht="46.25" hidden="false" customHeight="false" outlineLevel="0" collapsed="false">
      <c r="A27" s="45" t="s">
        <v>205</v>
      </c>
      <c r="B27" s="45" t="s">
        <v>206</v>
      </c>
      <c r="C27" s="45"/>
      <c r="D27" s="45" t="s">
        <v>182</v>
      </c>
      <c r="E27" s="45" t="s">
        <v>207</v>
      </c>
      <c r="F27" s="46"/>
      <c r="G27" s="46"/>
      <c r="H27" s="45" t="s">
        <v>158</v>
      </c>
    </row>
    <row r="28" customFormat="false" ht="46.25" hidden="false" customHeight="false" outlineLevel="0" collapsed="false">
      <c r="A28" s="45" t="s">
        <v>208</v>
      </c>
      <c r="B28" s="45" t="s">
        <v>209</v>
      </c>
      <c r="C28" s="45"/>
      <c r="D28" s="45" t="s">
        <v>186</v>
      </c>
      <c r="E28" s="45" t="s">
        <v>207</v>
      </c>
      <c r="F28" s="46"/>
      <c r="G28" s="46"/>
      <c r="H28" s="45" t="s">
        <v>158</v>
      </c>
    </row>
    <row r="29" customFormat="false" ht="46.25" hidden="false" customHeight="false" outlineLevel="0" collapsed="false">
      <c r="A29" s="45" t="s">
        <v>210</v>
      </c>
      <c r="B29" s="45" t="s">
        <v>211</v>
      </c>
      <c r="C29" s="45"/>
      <c r="D29" s="45" t="s">
        <v>189</v>
      </c>
      <c r="E29" s="45" t="s">
        <v>207</v>
      </c>
      <c r="F29" s="46"/>
      <c r="G29" s="46"/>
      <c r="H29" s="45" t="s">
        <v>158</v>
      </c>
    </row>
    <row r="30" customFormat="false" ht="46.25" hidden="false" customHeight="false" outlineLevel="0" collapsed="false">
      <c r="A30" s="45" t="s">
        <v>212</v>
      </c>
      <c r="B30" s="45" t="s">
        <v>213</v>
      </c>
      <c r="C30" s="45"/>
      <c r="D30" s="45" t="s">
        <v>192</v>
      </c>
      <c r="E30" s="45" t="s">
        <v>207</v>
      </c>
      <c r="F30" s="46"/>
      <c r="G30" s="46"/>
      <c r="H30" s="45" t="s">
        <v>158</v>
      </c>
    </row>
    <row r="31" customFormat="false" ht="46.25" hidden="false" customHeight="false" outlineLevel="0" collapsed="false">
      <c r="A31" s="45" t="s">
        <v>214</v>
      </c>
      <c r="B31" s="45" t="s">
        <v>215</v>
      </c>
      <c r="C31" s="45"/>
      <c r="D31" s="45" t="s">
        <v>186</v>
      </c>
      <c r="E31" s="45" t="s">
        <v>207</v>
      </c>
      <c r="F31" s="46"/>
      <c r="G31" s="46"/>
      <c r="H31" s="45" t="s">
        <v>158</v>
      </c>
    </row>
    <row r="32" customFormat="false" ht="46.25" hidden="false" customHeight="false" outlineLevel="0" collapsed="false">
      <c r="A32" s="45" t="s">
        <v>216</v>
      </c>
      <c r="B32" s="45" t="s">
        <v>217</v>
      </c>
      <c r="C32" s="45"/>
      <c r="D32" s="45" t="s">
        <v>156</v>
      </c>
      <c r="E32" s="45" t="s">
        <v>207</v>
      </c>
      <c r="F32" s="46"/>
      <c r="G32" s="46"/>
      <c r="H32" s="45" t="s">
        <v>158</v>
      </c>
    </row>
    <row r="33" customFormat="false" ht="46.25" hidden="false" customHeight="false" outlineLevel="0" collapsed="false">
      <c r="A33" s="45" t="s">
        <v>218</v>
      </c>
      <c r="B33" s="45" t="s">
        <v>219</v>
      </c>
      <c r="C33" s="45"/>
      <c r="D33" s="45" t="s">
        <v>156</v>
      </c>
      <c r="E33" s="45" t="s">
        <v>207</v>
      </c>
      <c r="F33" s="46"/>
      <c r="G33" s="46"/>
      <c r="H33" s="45" t="s">
        <v>158</v>
      </c>
    </row>
    <row r="34" customFormat="false" ht="46.25" hidden="false" customHeight="false" outlineLevel="0" collapsed="false">
      <c r="A34" s="45" t="s">
        <v>220</v>
      </c>
      <c r="B34" s="45" t="s">
        <v>221</v>
      </c>
      <c r="C34" s="45"/>
      <c r="D34" s="45" t="s">
        <v>156</v>
      </c>
      <c r="E34" s="45" t="s">
        <v>207</v>
      </c>
      <c r="F34" s="46"/>
      <c r="G34" s="46"/>
      <c r="H34" s="45" t="s">
        <v>158</v>
      </c>
    </row>
    <row r="35" customFormat="false" ht="46.25" hidden="false" customHeight="false" outlineLevel="0" collapsed="false">
      <c r="A35" s="45" t="s">
        <v>222</v>
      </c>
      <c r="B35" s="45" t="s">
        <v>223</v>
      </c>
      <c r="C35" s="45"/>
      <c r="D35" s="45" t="s">
        <v>156</v>
      </c>
      <c r="E35" s="45" t="s">
        <v>207</v>
      </c>
      <c r="F35" s="46"/>
      <c r="G35" s="46"/>
      <c r="H35" s="45" t="s">
        <v>158</v>
      </c>
    </row>
    <row r="36" customFormat="false" ht="46.25" hidden="false" customHeight="false" outlineLevel="0" collapsed="false">
      <c r="A36" s="45" t="s">
        <v>224</v>
      </c>
      <c r="B36" s="45" t="s">
        <v>225</v>
      </c>
      <c r="C36" s="45"/>
      <c r="D36" s="45" t="s">
        <v>189</v>
      </c>
      <c r="E36" s="45" t="s">
        <v>207</v>
      </c>
      <c r="F36" s="46"/>
      <c r="G36" s="46"/>
      <c r="H36" s="45" t="s">
        <v>158</v>
      </c>
    </row>
    <row r="37" customFormat="false" ht="46.25" hidden="false" customHeight="false" outlineLevel="0" collapsed="false">
      <c r="A37" s="45" t="s">
        <v>226</v>
      </c>
      <c r="B37" s="45" t="s">
        <v>227</v>
      </c>
      <c r="C37" s="45"/>
      <c r="D37" s="45" t="s">
        <v>182</v>
      </c>
      <c r="E37" s="45" t="s">
        <v>228</v>
      </c>
      <c r="F37" s="46"/>
      <c r="G37" s="46"/>
      <c r="H37" s="45" t="s">
        <v>158</v>
      </c>
    </row>
    <row r="38" customFormat="false" ht="46.25" hidden="false" customHeight="false" outlineLevel="0" collapsed="false">
      <c r="A38" s="45" t="s">
        <v>229</v>
      </c>
      <c r="B38" s="45" t="s">
        <v>230</v>
      </c>
      <c r="C38" s="45"/>
      <c r="D38" s="45" t="s">
        <v>186</v>
      </c>
      <c r="E38" s="45" t="s">
        <v>228</v>
      </c>
      <c r="F38" s="46"/>
      <c r="G38" s="46"/>
      <c r="H38" s="45" t="s">
        <v>158</v>
      </c>
    </row>
    <row r="39" customFormat="false" ht="46.25" hidden="false" customHeight="false" outlineLevel="0" collapsed="false">
      <c r="A39" s="45" t="s">
        <v>231</v>
      </c>
      <c r="B39" s="45" t="s">
        <v>232</v>
      </c>
      <c r="C39" s="45"/>
      <c r="D39" s="45" t="s">
        <v>189</v>
      </c>
      <c r="E39" s="45" t="s">
        <v>228</v>
      </c>
      <c r="F39" s="46"/>
      <c r="G39" s="46"/>
      <c r="H39" s="45" t="s">
        <v>158</v>
      </c>
    </row>
    <row r="40" customFormat="false" ht="46.25" hidden="false" customHeight="false" outlineLevel="0" collapsed="false">
      <c r="A40" s="45" t="s">
        <v>233</v>
      </c>
      <c r="B40" s="45" t="s">
        <v>234</v>
      </c>
      <c r="C40" s="45"/>
      <c r="D40" s="45" t="s">
        <v>192</v>
      </c>
      <c r="E40" s="45" t="s">
        <v>228</v>
      </c>
      <c r="F40" s="46"/>
      <c r="G40" s="46"/>
      <c r="H40" s="45" t="s">
        <v>158</v>
      </c>
    </row>
    <row r="41" customFormat="false" ht="46.25" hidden="false" customHeight="false" outlineLevel="0" collapsed="false">
      <c r="A41" s="45" t="s">
        <v>235</v>
      </c>
      <c r="B41" s="45" t="s">
        <v>236</v>
      </c>
      <c r="C41" s="45"/>
      <c r="D41" s="45" t="s">
        <v>186</v>
      </c>
      <c r="E41" s="45" t="s">
        <v>228</v>
      </c>
      <c r="F41" s="46"/>
      <c r="G41" s="46"/>
      <c r="H41" s="45" t="s">
        <v>158</v>
      </c>
    </row>
    <row r="42" customFormat="false" ht="46.25" hidden="false" customHeight="false" outlineLevel="0" collapsed="false">
      <c r="A42" s="45" t="s">
        <v>237</v>
      </c>
      <c r="B42" s="45" t="s">
        <v>238</v>
      </c>
      <c r="C42" s="45"/>
      <c r="D42" s="45" t="s">
        <v>156</v>
      </c>
      <c r="E42" s="45" t="s">
        <v>228</v>
      </c>
      <c r="F42" s="46"/>
      <c r="G42" s="46"/>
      <c r="H42" s="45" t="s">
        <v>158</v>
      </c>
    </row>
    <row r="43" customFormat="false" ht="46.25" hidden="false" customHeight="false" outlineLevel="0" collapsed="false">
      <c r="A43" s="45" t="s">
        <v>239</v>
      </c>
      <c r="B43" s="45" t="s">
        <v>240</v>
      </c>
      <c r="C43" s="45"/>
      <c r="D43" s="45" t="s">
        <v>156</v>
      </c>
      <c r="E43" s="45" t="s">
        <v>228</v>
      </c>
      <c r="F43" s="46"/>
      <c r="G43" s="46"/>
      <c r="H43" s="45" t="s">
        <v>158</v>
      </c>
    </row>
    <row r="44" customFormat="false" ht="46.25" hidden="false" customHeight="false" outlineLevel="0" collapsed="false">
      <c r="A44" s="45" t="s">
        <v>241</v>
      </c>
      <c r="B44" s="45" t="s">
        <v>242</v>
      </c>
      <c r="C44" s="45"/>
      <c r="D44" s="45" t="s">
        <v>156</v>
      </c>
      <c r="E44" s="45" t="s">
        <v>228</v>
      </c>
      <c r="F44" s="46"/>
      <c r="G44" s="46"/>
      <c r="H44" s="45" t="s">
        <v>158</v>
      </c>
    </row>
    <row r="45" customFormat="false" ht="46.25" hidden="false" customHeight="false" outlineLevel="0" collapsed="false">
      <c r="A45" s="45" t="s">
        <v>243</v>
      </c>
      <c r="B45" s="45" t="s">
        <v>244</v>
      </c>
      <c r="C45" s="45"/>
      <c r="D45" s="45" t="s">
        <v>156</v>
      </c>
      <c r="E45" s="45" t="s">
        <v>228</v>
      </c>
      <c r="F45" s="46"/>
      <c r="G45" s="46"/>
      <c r="H45" s="45" t="s">
        <v>158</v>
      </c>
    </row>
    <row r="46" customFormat="false" ht="46.25" hidden="false" customHeight="false" outlineLevel="0" collapsed="false">
      <c r="A46" s="45" t="s">
        <v>245</v>
      </c>
      <c r="B46" s="45" t="s">
        <v>246</v>
      </c>
      <c r="C46" s="45"/>
      <c r="D46" s="45" t="s">
        <v>189</v>
      </c>
      <c r="E46" s="45" t="s">
        <v>228</v>
      </c>
      <c r="F46" s="46"/>
      <c r="G46" s="46"/>
      <c r="H46" s="45" t="s">
        <v>158</v>
      </c>
    </row>
    <row r="47" customFormat="false" ht="46.25" hidden="false" customHeight="false" outlineLevel="0" collapsed="false">
      <c r="A47" s="45" t="s">
        <v>247</v>
      </c>
      <c r="B47" s="45" t="s">
        <v>248</v>
      </c>
      <c r="C47" s="45"/>
      <c r="D47" s="45" t="s">
        <v>182</v>
      </c>
      <c r="E47" s="45" t="s">
        <v>249</v>
      </c>
      <c r="F47" s="46"/>
      <c r="G47" s="46"/>
      <c r="H47" s="45" t="s">
        <v>158</v>
      </c>
    </row>
    <row r="48" customFormat="false" ht="46.25" hidden="false" customHeight="false" outlineLevel="0" collapsed="false">
      <c r="A48" s="45" t="s">
        <v>250</v>
      </c>
      <c r="B48" s="45" t="s">
        <v>251</v>
      </c>
      <c r="C48" s="45"/>
      <c r="D48" s="45" t="s">
        <v>186</v>
      </c>
      <c r="E48" s="45" t="s">
        <v>249</v>
      </c>
      <c r="F48" s="46"/>
      <c r="G48" s="46"/>
      <c r="H48" s="45" t="s">
        <v>158</v>
      </c>
    </row>
    <row r="49" customFormat="false" ht="46.25" hidden="false" customHeight="false" outlineLevel="0" collapsed="false">
      <c r="A49" s="45" t="s">
        <v>252</v>
      </c>
      <c r="B49" s="45" t="s">
        <v>253</v>
      </c>
      <c r="C49" s="45"/>
      <c r="D49" s="45" t="s">
        <v>189</v>
      </c>
      <c r="E49" s="45" t="s">
        <v>249</v>
      </c>
      <c r="F49" s="46"/>
      <c r="G49" s="46"/>
      <c r="H49" s="45" t="s">
        <v>158</v>
      </c>
    </row>
    <row r="50" customFormat="false" ht="46.25" hidden="false" customHeight="false" outlineLevel="0" collapsed="false">
      <c r="A50" s="45" t="s">
        <v>254</v>
      </c>
      <c r="B50" s="45" t="s">
        <v>255</v>
      </c>
      <c r="C50" s="45"/>
      <c r="D50" s="45" t="s">
        <v>192</v>
      </c>
      <c r="E50" s="45" t="s">
        <v>249</v>
      </c>
      <c r="F50" s="46"/>
      <c r="G50" s="46"/>
      <c r="H50" s="45" t="s">
        <v>158</v>
      </c>
    </row>
    <row r="51" customFormat="false" ht="46.25" hidden="false" customHeight="false" outlineLevel="0" collapsed="false">
      <c r="A51" s="45" t="s">
        <v>256</v>
      </c>
      <c r="B51" s="45" t="s">
        <v>257</v>
      </c>
      <c r="C51" s="45"/>
      <c r="D51" s="45" t="s">
        <v>186</v>
      </c>
      <c r="E51" s="45" t="s">
        <v>249</v>
      </c>
      <c r="F51" s="46"/>
      <c r="G51" s="46"/>
      <c r="H51" s="45" t="s">
        <v>158</v>
      </c>
    </row>
    <row r="52" customFormat="false" ht="46.25" hidden="false" customHeight="false" outlineLevel="0" collapsed="false">
      <c r="A52" s="45" t="s">
        <v>258</v>
      </c>
      <c r="B52" s="45" t="s">
        <v>259</v>
      </c>
      <c r="C52" s="45"/>
      <c r="D52" s="45" t="s">
        <v>156</v>
      </c>
      <c r="E52" s="45" t="s">
        <v>249</v>
      </c>
      <c r="F52" s="46"/>
      <c r="G52" s="46"/>
      <c r="H52" s="45" t="s">
        <v>158</v>
      </c>
    </row>
    <row r="53" customFormat="false" ht="46.25" hidden="false" customHeight="false" outlineLevel="0" collapsed="false">
      <c r="A53" s="45" t="s">
        <v>260</v>
      </c>
      <c r="B53" s="45" t="s">
        <v>261</v>
      </c>
      <c r="C53" s="45"/>
      <c r="D53" s="45" t="s">
        <v>156</v>
      </c>
      <c r="E53" s="45" t="s">
        <v>249</v>
      </c>
      <c r="F53" s="46"/>
      <c r="G53" s="46"/>
      <c r="H53" s="45" t="s">
        <v>158</v>
      </c>
    </row>
    <row r="54" customFormat="false" ht="46.25" hidden="false" customHeight="false" outlineLevel="0" collapsed="false">
      <c r="A54" s="45" t="s">
        <v>262</v>
      </c>
      <c r="B54" s="45" t="s">
        <v>263</v>
      </c>
      <c r="C54" s="45"/>
      <c r="D54" s="45" t="s">
        <v>156</v>
      </c>
      <c r="E54" s="45" t="s">
        <v>249</v>
      </c>
      <c r="F54" s="46"/>
      <c r="G54" s="46"/>
      <c r="H54" s="45" t="s">
        <v>158</v>
      </c>
    </row>
    <row r="55" customFormat="false" ht="46.25" hidden="false" customHeight="false" outlineLevel="0" collapsed="false">
      <c r="A55" s="45" t="s">
        <v>264</v>
      </c>
      <c r="B55" s="45" t="s">
        <v>265</v>
      </c>
      <c r="C55" s="45"/>
      <c r="D55" s="45" t="s">
        <v>156</v>
      </c>
      <c r="E55" s="45" t="s">
        <v>249</v>
      </c>
      <c r="F55" s="46"/>
      <c r="G55" s="46"/>
      <c r="H55" s="45" t="s">
        <v>158</v>
      </c>
    </row>
    <row r="56" customFormat="false" ht="46.25" hidden="false" customHeight="false" outlineLevel="0" collapsed="false">
      <c r="A56" s="45" t="s">
        <v>266</v>
      </c>
      <c r="B56" s="45" t="s">
        <v>267</v>
      </c>
      <c r="C56" s="45"/>
      <c r="D56" s="45" t="s">
        <v>189</v>
      </c>
      <c r="E56" s="45" t="s">
        <v>249</v>
      </c>
      <c r="F56" s="46"/>
      <c r="G56" s="46"/>
      <c r="H56" s="45" t="s">
        <v>158</v>
      </c>
    </row>
    <row r="57" customFormat="false" ht="46.25" hidden="false" customHeight="false" outlineLevel="0" collapsed="false">
      <c r="A57" s="45" t="s">
        <v>268</v>
      </c>
      <c r="B57" s="45" t="s">
        <v>269</v>
      </c>
      <c r="C57" s="45"/>
      <c r="D57" s="45" t="s">
        <v>182</v>
      </c>
      <c r="E57" s="45" t="s">
        <v>270</v>
      </c>
      <c r="F57" s="46"/>
      <c r="G57" s="46"/>
      <c r="H57" s="45" t="s">
        <v>158</v>
      </c>
    </row>
    <row r="58" customFormat="false" ht="46.25" hidden="false" customHeight="false" outlineLevel="0" collapsed="false">
      <c r="A58" s="45" t="s">
        <v>271</v>
      </c>
      <c r="B58" s="45" t="s">
        <v>272</v>
      </c>
      <c r="C58" s="45"/>
      <c r="D58" s="45" t="s">
        <v>186</v>
      </c>
      <c r="E58" s="45" t="s">
        <v>270</v>
      </c>
      <c r="F58" s="46"/>
      <c r="G58" s="46"/>
      <c r="H58" s="45" t="s">
        <v>158</v>
      </c>
    </row>
    <row r="59" customFormat="false" ht="46.25" hidden="false" customHeight="false" outlineLevel="0" collapsed="false">
      <c r="A59" s="45" t="s">
        <v>273</v>
      </c>
      <c r="B59" s="45" t="s">
        <v>274</v>
      </c>
      <c r="C59" s="45"/>
      <c r="D59" s="45" t="s">
        <v>189</v>
      </c>
      <c r="E59" s="45" t="s">
        <v>270</v>
      </c>
      <c r="F59" s="46"/>
      <c r="G59" s="46"/>
      <c r="H59" s="45" t="s">
        <v>158</v>
      </c>
    </row>
    <row r="60" customFormat="false" ht="46.25" hidden="false" customHeight="false" outlineLevel="0" collapsed="false">
      <c r="A60" s="45" t="s">
        <v>275</v>
      </c>
      <c r="B60" s="45" t="s">
        <v>276</v>
      </c>
      <c r="C60" s="45"/>
      <c r="D60" s="45" t="s">
        <v>192</v>
      </c>
      <c r="E60" s="45" t="s">
        <v>270</v>
      </c>
      <c r="F60" s="46"/>
      <c r="G60" s="46"/>
      <c r="H60" s="45" t="s">
        <v>158</v>
      </c>
    </row>
    <row r="61" customFormat="false" ht="46.25" hidden="false" customHeight="false" outlineLevel="0" collapsed="false">
      <c r="A61" s="45" t="s">
        <v>277</v>
      </c>
      <c r="B61" s="45" t="s">
        <v>278</v>
      </c>
      <c r="C61" s="45"/>
      <c r="D61" s="45" t="s">
        <v>186</v>
      </c>
      <c r="E61" s="45" t="s">
        <v>270</v>
      </c>
      <c r="F61" s="46"/>
      <c r="G61" s="46"/>
      <c r="H61" s="45" t="s">
        <v>158</v>
      </c>
    </row>
    <row r="62" customFormat="false" ht="46.25" hidden="false" customHeight="false" outlineLevel="0" collapsed="false">
      <c r="A62" s="45" t="s">
        <v>279</v>
      </c>
      <c r="B62" s="45" t="s">
        <v>280</v>
      </c>
      <c r="C62" s="45"/>
      <c r="D62" s="45" t="s">
        <v>156</v>
      </c>
      <c r="E62" s="45" t="s">
        <v>270</v>
      </c>
      <c r="F62" s="46"/>
      <c r="G62" s="46"/>
      <c r="H62" s="45" t="s">
        <v>158</v>
      </c>
    </row>
    <row r="63" customFormat="false" ht="46.25" hidden="false" customHeight="false" outlineLevel="0" collapsed="false">
      <c r="A63" s="45" t="s">
        <v>281</v>
      </c>
      <c r="B63" s="45" t="s">
        <v>282</v>
      </c>
      <c r="C63" s="45"/>
      <c r="D63" s="45" t="s">
        <v>156</v>
      </c>
      <c r="E63" s="45" t="s">
        <v>270</v>
      </c>
      <c r="F63" s="46"/>
      <c r="G63" s="46"/>
      <c r="H63" s="45" t="s">
        <v>158</v>
      </c>
    </row>
    <row r="64" customFormat="false" ht="46.25" hidden="false" customHeight="false" outlineLevel="0" collapsed="false">
      <c r="A64" s="45" t="s">
        <v>283</v>
      </c>
      <c r="B64" s="45" t="s">
        <v>284</v>
      </c>
      <c r="C64" s="45"/>
      <c r="D64" s="45" t="s">
        <v>156</v>
      </c>
      <c r="E64" s="45" t="s">
        <v>270</v>
      </c>
      <c r="F64" s="46"/>
      <c r="G64" s="46"/>
      <c r="H64" s="45" t="s">
        <v>158</v>
      </c>
    </row>
    <row r="65" customFormat="false" ht="46.25" hidden="false" customHeight="false" outlineLevel="0" collapsed="false">
      <c r="A65" s="45" t="s">
        <v>285</v>
      </c>
      <c r="B65" s="45" t="s">
        <v>286</v>
      </c>
      <c r="C65" s="45"/>
      <c r="D65" s="45" t="s">
        <v>156</v>
      </c>
      <c r="E65" s="45" t="s">
        <v>270</v>
      </c>
      <c r="F65" s="46"/>
      <c r="G65" s="46"/>
      <c r="H65" s="45" t="s">
        <v>158</v>
      </c>
    </row>
    <row r="66" customFormat="false" ht="46.25" hidden="false" customHeight="false" outlineLevel="0" collapsed="false">
      <c r="A66" s="45" t="s">
        <v>287</v>
      </c>
      <c r="B66" s="45" t="s">
        <v>288</v>
      </c>
      <c r="C66" s="45"/>
      <c r="D66" s="45" t="s">
        <v>189</v>
      </c>
      <c r="E66" s="45" t="s">
        <v>270</v>
      </c>
      <c r="F66" s="46"/>
      <c r="G66" s="46"/>
      <c r="H66" s="45" t="s">
        <v>158</v>
      </c>
    </row>
    <row r="67" customFormat="false" ht="57.45" hidden="false" customHeight="false" outlineLevel="0" collapsed="false">
      <c r="A67" s="45" t="s">
        <v>289</v>
      </c>
      <c r="B67" s="45" t="s">
        <v>290</v>
      </c>
      <c r="C67" s="45"/>
      <c r="D67" s="45" t="s">
        <v>182</v>
      </c>
      <c r="E67" s="45" t="s">
        <v>291</v>
      </c>
      <c r="F67" s="46"/>
      <c r="G67" s="46"/>
      <c r="H67" s="45" t="s">
        <v>158</v>
      </c>
    </row>
    <row r="68" customFormat="false" ht="57.45" hidden="false" customHeight="false" outlineLevel="0" collapsed="false">
      <c r="A68" s="45" t="s">
        <v>292</v>
      </c>
      <c r="B68" s="45" t="s">
        <v>293</v>
      </c>
      <c r="C68" s="45"/>
      <c r="D68" s="45" t="s">
        <v>186</v>
      </c>
      <c r="E68" s="45" t="s">
        <v>291</v>
      </c>
      <c r="F68" s="46"/>
      <c r="G68" s="46"/>
      <c r="H68" s="45" t="s">
        <v>158</v>
      </c>
    </row>
    <row r="69" customFormat="false" ht="57.45" hidden="false" customHeight="false" outlineLevel="0" collapsed="false">
      <c r="A69" s="45" t="s">
        <v>294</v>
      </c>
      <c r="B69" s="45" t="s">
        <v>295</v>
      </c>
      <c r="C69" s="45"/>
      <c r="D69" s="45" t="s">
        <v>189</v>
      </c>
      <c r="E69" s="45" t="s">
        <v>291</v>
      </c>
      <c r="F69" s="46"/>
      <c r="G69" s="46"/>
      <c r="H69" s="45" t="s">
        <v>158</v>
      </c>
    </row>
    <row r="70" customFormat="false" ht="57.45" hidden="false" customHeight="false" outlineLevel="0" collapsed="false">
      <c r="A70" s="45" t="s">
        <v>296</v>
      </c>
      <c r="B70" s="45" t="s">
        <v>297</v>
      </c>
      <c r="C70" s="45"/>
      <c r="D70" s="45" t="s">
        <v>192</v>
      </c>
      <c r="E70" s="45" t="s">
        <v>291</v>
      </c>
      <c r="F70" s="46"/>
      <c r="G70" s="46"/>
      <c r="H70" s="45" t="s">
        <v>158</v>
      </c>
    </row>
    <row r="71" customFormat="false" ht="57.45" hidden="false" customHeight="false" outlineLevel="0" collapsed="false">
      <c r="A71" s="45" t="s">
        <v>298</v>
      </c>
      <c r="B71" s="45" t="s">
        <v>299</v>
      </c>
      <c r="C71" s="45"/>
      <c r="D71" s="45" t="s">
        <v>186</v>
      </c>
      <c r="E71" s="45" t="s">
        <v>291</v>
      </c>
      <c r="F71" s="46"/>
      <c r="G71" s="46"/>
      <c r="H71" s="45" t="s">
        <v>158</v>
      </c>
    </row>
    <row r="72" customFormat="false" ht="57.45" hidden="false" customHeight="false" outlineLevel="0" collapsed="false">
      <c r="A72" s="45" t="s">
        <v>300</v>
      </c>
      <c r="B72" s="45" t="s">
        <v>301</v>
      </c>
      <c r="C72" s="45"/>
      <c r="D72" s="45" t="s">
        <v>156</v>
      </c>
      <c r="E72" s="45" t="s">
        <v>291</v>
      </c>
      <c r="F72" s="46"/>
      <c r="G72" s="46"/>
      <c r="H72" s="45" t="s">
        <v>158</v>
      </c>
    </row>
    <row r="73" customFormat="false" ht="57.45" hidden="false" customHeight="false" outlineLevel="0" collapsed="false">
      <c r="A73" s="45" t="s">
        <v>302</v>
      </c>
      <c r="B73" s="45" t="s">
        <v>303</v>
      </c>
      <c r="C73" s="45"/>
      <c r="D73" s="45" t="s">
        <v>156</v>
      </c>
      <c r="E73" s="45" t="s">
        <v>291</v>
      </c>
      <c r="F73" s="46"/>
      <c r="G73" s="46"/>
      <c r="H73" s="45" t="s">
        <v>158</v>
      </c>
    </row>
    <row r="74" customFormat="false" ht="57.45" hidden="false" customHeight="false" outlineLevel="0" collapsed="false">
      <c r="A74" s="45" t="s">
        <v>304</v>
      </c>
      <c r="B74" s="45" t="s">
        <v>305</v>
      </c>
      <c r="C74" s="45"/>
      <c r="D74" s="45" t="s">
        <v>156</v>
      </c>
      <c r="E74" s="45" t="s">
        <v>291</v>
      </c>
      <c r="F74" s="46"/>
      <c r="G74" s="46"/>
      <c r="H74" s="45" t="s">
        <v>158</v>
      </c>
    </row>
    <row r="75" customFormat="false" ht="57.45" hidden="false" customHeight="false" outlineLevel="0" collapsed="false">
      <c r="A75" s="45" t="s">
        <v>306</v>
      </c>
      <c r="B75" s="45" t="s">
        <v>307</v>
      </c>
      <c r="C75" s="45"/>
      <c r="D75" s="45" t="s">
        <v>156</v>
      </c>
      <c r="E75" s="45" t="s">
        <v>291</v>
      </c>
      <c r="F75" s="46"/>
      <c r="G75" s="46"/>
      <c r="H75" s="45" t="s">
        <v>158</v>
      </c>
    </row>
    <row r="76" customFormat="false" ht="57.45" hidden="false" customHeight="false" outlineLevel="0" collapsed="false">
      <c r="A76" s="45" t="s">
        <v>308</v>
      </c>
      <c r="B76" s="45" t="s">
        <v>309</v>
      </c>
      <c r="C76" s="45"/>
      <c r="D76" s="45" t="s">
        <v>189</v>
      </c>
      <c r="E76" s="45" t="s">
        <v>291</v>
      </c>
      <c r="F76" s="46"/>
      <c r="G76" s="46"/>
      <c r="H76" s="45" t="s">
        <v>158</v>
      </c>
    </row>
    <row r="77" customFormat="false" ht="57.45" hidden="false" customHeight="false" outlineLevel="0" collapsed="false">
      <c r="A77" s="45" t="s">
        <v>310</v>
      </c>
      <c r="B77" s="45" t="s">
        <v>311</v>
      </c>
      <c r="C77" s="45"/>
      <c r="D77" s="45" t="s">
        <v>182</v>
      </c>
      <c r="E77" s="45" t="s">
        <v>312</v>
      </c>
      <c r="F77" s="46"/>
      <c r="G77" s="46"/>
      <c r="H77" s="45" t="s">
        <v>158</v>
      </c>
    </row>
    <row r="78" customFormat="false" ht="57.45" hidden="false" customHeight="false" outlineLevel="0" collapsed="false">
      <c r="A78" s="45" t="s">
        <v>313</v>
      </c>
      <c r="B78" s="45" t="s">
        <v>314</v>
      </c>
      <c r="C78" s="45"/>
      <c r="D78" s="45" t="s">
        <v>186</v>
      </c>
      <c r="E78" s="45" t="s">
        <v>312</v>
      </c>
      <c r="F78" s="46"/>
      <c r="G78" s="46"/>
      <c r="H78" s="45" t="s">
        <v>158</v>
      </c>
    </row>
    <row r="79" customFormat="false" ht="57.45" hidden="false" customHeight="false" outlineLevel="0" collapsed="false">
      <c r="A79" s="45" t="s">
        <v>315</v>
      </c>
      <c r="B79" s="45" t="s">
        <v>316</v>
      </c>
      <c r="C79" s="45"/>
      <c r="D79" s="45" t="s">
        <v>189</v>
      </c>
      <c r="E79" s="45" t="s">
        <v>312</v>
      </c>
      <c r="F79" s="46"/>
      <c r="G79" s="46"/>
      <c r="H79" s="45" t="s">
        <v>158</v>
      </c>
    </row>
    <row r="80" customFormat="false" ht="57.45" hidden="false" customHeight="false" outlineLevel="0" collapsed="false">
      <c r="A80" s="45" t="s">
        <v>317</v>
      </c>
      <c r="B80" s="45" t="s">
        <v>318</v>
      </c>
      <c r="C80" s="45"/>
      <c r="D80" s="45" t="s">
        <v>192</v>
      </c>
      <c r="E80" s="45" t="s">
        <v>312</v>
      </c>
      <c r="F80" s="46"/>
      <c r="G80" s="46"/>
      <c r="H80" s="45" t="s">
        <v>158</v>
      </c>
    </row>
    <row r="81" customFormat="false" ht="57.45" hidden="false" customHeight="false" outlineLevel="0" collapsed="false">
      <c r="A81" s="45" t="s">
        <v>319</v>
      </c>
      <c r="B81" s="45" t="s">
        <v>320</v>
      </c>
      <c r="C81" s="45"/>
      <c r="D81" s="45" t="s">
        <v>186</v>
      </c>
      <c r="E81" s="45" t="s">
        <v>312</v>
      </c>
      <c r="F81" s="46"/>
      <c r="G81" s="46"/>
      <c r="H81" s="45" t="s">
        <v>158</v>
      </c>
    </row>
    <row r="82" customFormat="false" ht="57.45" hidden="false" customHeight="false" outlineLevel="0" collapsed="false">
      <c r="A82" s="45" t="s">
        <v>321</v>
      </c>
      <c r="B82" s="45" t="s">
        <v>322</v>
      </c>
      <c r="C82" s="45"/>
      <c r="D82" s="45" t="s">
        <v>156</v>
      </c>
      <c r="E82" s="45" t="s">
        <v>312</v>
      </c>
      <c r="F82" s="46"/>
      <c r="G82" s="46"/>
      <c r="H82" s="45" t="s">
        <v>158</v>
      </c>
    </row>
    <row r="83" customFormat="false" ht="57.45" hidden="false" customHeight="false" outlineLevel="0" collapsed="false">
      <c r="A83" s="45" t="s">
        <v>323</v>
      </c>
      <c r="B83" s="45" t="s">
        <v>324</v>
      </c>
      <c r="C83" s="45"/>
      <c r="D83" s="45" t="s">
        <v>156</v>
      </c>
      <c r="E83" s="45" t="s">
        <v>312</v>
      </c>
      <c r="F83" s="46"/>
      <c r="G83" s="46"/>
      <c r="H83" s="45" t="s">
        <v>158</v>
      </c>
    </row>
    <row r="84" customFormat="false" ht="57.45" hidden="false" customHeight="false" outlineLevel="0" collapsed="false">
      <c r="A84" s="45" t="s">
        <v>325</v>
      </c>
      <c r="B84" s="45" t="s">
        <v>326</v>
      </c>
      <c r="C84" s="45"/>
      <c r="D84" s="45" t="s">
        <v>156</v>
      </c>
      <c r="E84" s="45" t="s">
        <v>312</v>
      </c>
      <c r="F84" s="46"/>
      <c r="G84" s="46"/>
      <c r="H84" s="45" t="s">
        <v>158</v>
      </c>
    </row>
    <row r="85" customFormat="false" ht="57.45" hidden="false" customHeight="false" outlineLevel="0" collapsed="false">
      <c r="A85" s="45" t="s">
        <v>327</v>
      </c>
      <c r="B85" s="45" t="s">
        <v>328</v>
      </c>
      <c r="C85" s="45"/>
      <c r="D85" s="45" t="s">
        <v>156</v>
      </c>
      <c r="E85" s="45" t="s">
        <v>312</v>
      </c>
      <c r="F85" s="46"/>
      <c r="G85" s="46"/>
      <c r="H85" s="45" t="s">
        <v>158</v>
      </c>
    </row>
    <row r="86" customFormat="false" ht="57.45" hidden="false" customHeight="false" outlineLevel="0" collapsed="false">
      <c r="A86" s="45" t="s">
        <v>329</v>
      </c>
      <c r="B86" s="45" t="s">
        <v>330</v>
      </c>
      <c r="C86" s="45"/>
      <c r="D86" s="45" t="s">
        <v>189</v>
      </c>
      <c r="E86" s="45" t="s">
        <v>312</v>
      </c>
      <c r="F86" s="46"/>
      <c r="G86" s="46"/>
      <c r="H86" s="45" t="s">
        <v>158</v>
      </c>
    </row>
    <row r="87" customFormat="false" ht="46.25" hidden="false" customHeight="false" outlineLevel="0" collapsed="false">
      <c r="A87" s="45" t="s">
        <v>331</v>
      </c>
      <c r="B87" s="45" t="s">
        <v>332</v>
      </c>
      <c r="C87" s="45"/>
      <c r="D87" s="45" t="s">
        <v>182</v>
      </c>
      <c r="E87" s="45" t="s">
        <v>333</v>
      </c>
      <c r="F87" s="46"/>
      <c r="G87" s="46"/>
      <c r="H87" s="45" t="s">
        <v>158</v>
      </c>
    </row>
    <row r="88" customFormat="false" ht="46.25" hidden="false" customHeight="false" outlineLevel="0" collapsed="false">
      <c r="A88" s="45" t="s">
        <v>334</v>
      </c>
      <c r="B88" s="45" t="s">
        <v>335</v>
      </c>
      <c r="C88" s="45"/>
      <c r="D88" s="45" t="s">
        <v>186</v>
      </c>
      <c r="E88" s="45" t="s">
        <v>333</v>
      </c>
      <c r="F88" s="46"/>
      <c r="G88" s="46"/>
      <c r="H88" s="45" t="s">
        <v>158</v>
      </c>
    </row>
    <row r="89" customFormat="false" ht="46.25" hidden="false" customHeight="false" outlineLevel="0" collapsed="false">
      <c r="A89" s="45" t="s">
        <v>336</v>
      </c>
      <c r="B89" s="45" t="s">
        <v>337</v>
      </c>
      <c r="C89" s="45"/>
      <c r="D89" s="45" t="s">
        <v>189</v>
      </c>
      <c r="E89" s="45" t="s">
        <v>333</v>
      </c>
      <c r="F89" s="46"/>
      <c r="G89" s="46"/>
      <c r="H89" s="45" t="s">
        <v>158</v>
      </c>
    </row>
    <row r="90" customFormat="false" ht="46.25" hidden="false" customHeight="false" outlineLevel="0" collapsed="false">
      <c r="A90" s="45" t="s">
        <v>338</v>
      </c>
      <c r="B90" s="45" t="s">
        <v>339</v>
      </c>
      <c r="C90" s="45"/>
      <c r="D90" s="45" t="s">
        <v>192</v>
      </c>
      <c r="E90" s="45" t="s">
        <v>333</v>
      </c>
      <c r="F90" s="46"/>
      <c r="G90" s="46"/>
      <c r="H90" s="45" t="s">
        <v>158</v>
      </c>
    </row>
    <row r="91" customFormat="false" ht="46.25" hidden="false" customHeight="false" outlineLevel="0" collapsed="false">
      <c r="A91" s="45" t="s">
        <v>340</v>
      </c>
      <c r="B91" s="45" t="s">
        <v>341</v>
      </c>
      <c r="C91" s="45"/>
      <c r="D91" s="45" t="s">
        <v>186</v>
      </c>
      <c r="E91" s="45" t="s">
        <v>333</v>
      </c>
      <c r="F91" s="46"/>
      <c r="G91" s="46"/>
      <c r="H91" s="45" t="s">
        <v>158</v>
      </c>
    </row>
    <row r="92" customFormat="false" ht="46.25" hidden="false" customHeight="false" outlineLevel="0" collapsed="false">
      <c r="A92" s="45" t="s">
        <v>342</v>
      </c>
      <c r="B92" s="45" t="s">
        <v>343</v>
      </c>
      <c r="C92" s="45"/>
      <c r="D92" s="45" t="s">
        <v>156</v>
      </c>
      <c r="E92" s="45" t="s">
        <v>333</v>
      </c>
      <c r="F92" s="46"/>
      <c r="G92" s="46"/>
      <c r="H92" s="45" t="s">
        <v>158</v>
      </c>
    </row>
    <row r="93" customFormat="false" ht="46.25" hidden="false" customHeight="false" outlineLevel="0" collapsed="false">
      <c r="A93" s="45" t="s">
        <v>344</v>
      </c>
      <c r="B93" s="45" t="s">
        <v>345</v>
      </c>
      <c r="C93" s="45"/>
      <c r="D93" s="45" t="s">
        <v>156</v>
      </c>
      <c r="E93" s="45" t="s">
        <v>333</v>
      </c>
      <c r="F93" s="46"/>
      <c r="G93" s="46"/>
      <c r="H93" s="45" t="s">
        <v>158</v>
      </c>
    </row>
    <row r="94" customFormat="false" ht="46.25" hidden="false" customHeight="false" outlineLevel="0" collapsed="false">
      <c r="A94" s="45" t="s">
        <v>346</v>
      </c>
      <c r="B94" s="45" t="s">
        <v>347</v>
      </c>
      <c r="C94" s="45"/>
      <c r="D94" s="45" t="s">
        <v>156</v>
      </c>
      <c r="E94" s="45" t="s">
        <v>333</v>
      </c>
      <c r="F94" s="46"/>
      <c r="G94" s="46"/>
      <c r="H94" s="45" t="s">
        <v>158</v>
      </c>
    </row>
    <row r="95" customFormat="false" ht="46.25" hidden="false" customHeight="false" outlineLevel="0" collapsed="false">
      <c r="A95" s="45" t="s">
        <v>348</v>
      </c>
      <c r="B95" s="45" t="s">
        <v>349</v>
      </c>
      <c r="C95" s="45"/>
      <c r="D95" s="45" t="s">
        <v>156</v>
      </c>
      <c r="E95" s="45" t="s">
        <v>333</v>
      </c>
      <c r="F95" s="46"/>
      <c r="G95" s="46"/>
      <c r="H95" s="45" t="s">
        <v>158</v>
      </c>
    </row>
    <row r="96" customFormat="false" ht="46.25" hidden="false" customHeight="false" outlineLevel="0" collapsed="false">
      <c r="A96" s="45" t="s">
        <v>350</v>
      </c>
      <c r="B96" s="45" t="s">
        <v>351</v>
      </c>
      <c r="C96" s="45"/>
      <c r="D96" s="45" t="s">
        <v>189</v>
      </c>
      <c r="E96" s="45" t="s">
        <v>333</v>
      </c>
      <c r="F96" s="46"/>
      <c r="G96" s="46"/>
      <c r="H96" s="45" t="s">
        <v>158</v>
      </c>
    </row>
    <row r="97" customFormat="false" ht="46.25" hidden="false" customHeight="false" outlineLevel="0" collapsed="false">
      <c r="A97" s="45" t="s">
        <v>352</v>
      </c>
      <c r="B97" s="45" t="s">
        <v>353</v>
      </c>
      <c r="C97" s="45"/>
      <c r="D97" s="45" t="s">
        <v>182</v>
      </c>
      <c r="E97" s="45" t="s">
        <v>354</v>
      </c>
      <c r="F97" s="46"/>
      <c r="G97" s="46"/>
      <c r="H97" s="45" t="s">
        <v>158</v>
      </c>
    </row>
    <row r="98" customFormat="false" ht="46.25" hidden="false" customHeight="false" outlineLevel="0" collapsed="false">
      <c r="A98" s="45" t="s">
        <v>355</v>
      </c>
      <c r="B98" s="45" t="s">
        <v>356</v>
      </c>
      <c r="C98" s="45"/>
      <c r="D98" s="45" t="s">
        <v>186</v>
      </c>
      <c r="E98" s="45" t="s">
        <v>354</v>
      </c>
      <c r="F98" s="46"/>
      <c r="G98" s="46"/>
      <c r="H98" s="45" t="s">
        <v>158</v>
      </c>
    </row>
    <row r="99" customFormat="false" ht="46.25" hidden="false" customHeight="false" outlineLevel="0" collapsed="false">
      <c r="A99" s="45" t="s">
        <v>357</v>
      </c>
      <c r="B99" s="45" t="s">
        <v>358</v>
      </c>
      <c r="C99" s="45"/>
      <c r="D99" s="45" t="s">
        <v>189</v>
      </c>
      <c r="E99" s="45" t="s">
        <v>354</v>
      </c>
      <c r="F99" s="46"/>
      <c r="G99" s="46"/>
      <c r="H99" s="45" t="s">
        <v>158</v>
      </c>
    </row>
    <row r="100" customFormat="false" ht="46.25" hidden="false" customHeight="false" outlineLevel="0" collapsed="false">
      <c r="A100" s="45" t="s">
        <v>359</v>
      </c>
      <c r="B100" s="45" t="s">
        <v>360</v>
      </c>
      <c r="C100" s="45"/>
      <c r="D100" s="45" t="s">
        <v>192</v>
      </c>
      <c r="E100" s="45" t="s">
        <v>354</v>
      </c>
      <c r="F100" s="46"/>
      <c r="G100" s="46"/>
      <c r="H100" s="45" t="s">
        <v>158</v>
      </c>
    </row>
    <row r="101" customFormat="false" ht="46.25" hidden="false" customHeight="false" outlineLevel="0" collapsed="false">
      <c r="A101" s="45" t="s">
        <v>361</v>
      </c>
      <c r="B101" s="45" t="s">
        <v>362</v>
      </c>
      <c r="C101" s="45"/>
      <c r="D101" s="45" t="s">
        <v>186</v>
      </c>
      <c r="E101" s="45" t="s">
        <v>354</v>
      </c>
      <c r="F101" s="46"/>
      <c r="G101" s="46"/>
      <c r="H101" s="45" t="s">
        <v>158</v>
      </c>
    </row>
    <row r="102" customFormat="false" ht="46.25" hidden="false" customHeight="false" outlineLevel="0" collapsed="false">
      <c r="A102" s="45" t="s">
        <v>363</v>
      </c>
      <c r="B102" s="45" t="s">
        <v>364</v>
      </c>
      <c r="C102" s="45"/>
      <c r="D102" s="45" t="s">
        <v>156</v>
      </c>
      <c r="E102" s="45" t="s">
        <v>354</v>
      </c>
      <c r="F102" s="46"/>
      <c r="G102" s="46"/>
      <c r="H102" s="45" t="s">
        <v>158</v>
      </c>
    </row>
    <row r="103" customFormat="false" ht="46.25" hidden="false" customHeight="false" outlineLevel="0" collapsed="false">
      <c r="A103" s="45" t="s">
        <v>365</v>
      </c>
      <c r="B103" s="45" t="s">
        <v>366</v>
      </c>
      <c r="C103" s="45"/>
      <c r="D103" s="45" t="s">
        <v>156</v>
      </c>
      <c r="E103" s="45" t="s">
        <v>354</v>
      </c>
      <c r="F103" s="46"/>
      <c r="G103" s="46"/>
      <c r="H103" s="45" t="s">
        <v>158</v>
      </c>
    </row>
    <row r="104" customFormat="false" ht="46.25" hidden="false" customHeight="false" outlineLevel="0" collapsed="false">
      <c r="A104" s="45" t="s">
        <v>367</v>
      </c>
      <c r="B104" s="45" t="s">
        <v>368</v>
      </c>
      <c r="C104" s="45"/>
      <c r="D104" s="45" t="s">
        <v>156</v>
      </c>
      <c r="E104" s="45" t="s">
        <v>354</v>
      </c>
      <c r="F104" s="46"/>
      <c r="G104" s="46"/>
      <c r="H104" s="45" t="s">
        <v>158</v>
      </c>
    </row>
    <row r="105" customFormat="false" ht="46.25" hidden="false" customHeight="false" outlineLevel="0" collapsed="false">
      <c r="A105" s="45" t="s">
        <v>369</v>
      </c>
      <c r="B105" s="45" t="s">
        <v>370</v>
      </c>
      <c r="C105" s="45"/>
      <c r="D105" s="45" t="s">
        <v>156</v>
      </c>
      <c r="E105" s="45" t="s">
        <v>354</v>
      </c>
      <c r="F105" s="46"/>
      <c r="G105" s="46"/>
      <c r="H105" s="45" t="s">
        <v>158</v>
      </c>
    </row>
    <row r="106" customFormat="false" ht="46.25" hidden="false" customHeight="false" outlineLevel="0" collapsed="false">
      <c r="A106" s="45" t="s">
        <v>371</v>
      </c>
      <c r="B106" s="45" t="s">
        <v>372</v>
      </c>
      <c r="C106" s="45"/>
      <c r="D106" s="45" t="s">
        <v>189</v>
      </c>
      <c r="E106" s="45" t="s">
        <v>354</v>
      </c>
      <c r="F106" s="46"/>
      <c r="G106" s="46"/>
      <c r="H106" s="45" t="s">
        <v>158</v>
      </c>
    </row>
    <row r="107" customFormat="false" ht="46.25" hidden="false" customHeight="false" outlineLevel="0" collapsed="false">
      <c r="A107" s="45" t="s">
        <v>373</v>
      </c>
      <c r="B107" s="45" t="s">
        <v>374</v>
      </c>
      <c r="C107" s="45"/>
      <c r="D107" s="45" t="s">
        <v>182</v>
      </c>
      <c r="E107" s="45" t="s">
        <v>375</v>
      </c>
      <c r="F107" s="46"/>
      <c r="G107" s="46"/>
      <c r="H107" s="45" t="s">
        <v>158</v>
      </c>
    </row>
    <row r="108" customFormat="false" ht="46.25" hidden="false" customHeight="false" outlineLevel="0" collapsed="false">
      <c r="A108" s="45" t="s">
        <v>376</v>
      </c>
      <c r="B108" s="45" t="s">
        <v>377</v>
      </c>
      <c r="C108" s="45"/>
      <c r="D108" s="45" t="s">
        <v>186</v>
      </c>
      <c r="E108" s="45" t="s">
        <v>375</v>
      </c>
      <c r="F108" s="46"/>
      <c r="G108" s="46"/>
      <c r="H108" s="45" t="s">
        <v>158</v>
      </c>
    </row>
    <row r="109" customFormat="false" ht="46.25" hidden="false" customHeight="false" outlineLevel="0" collapsed="false">
      <c r="A109" s="45" t="s">
        <v>378</v>
      </c>
      <c r="B109" s="45" t="s">
        <v>379</v>
      </c>
      <c r="C109" s="45"/>
      <c r="D109" s="45" t="s">
        <v>189</v>
      </c>
      <c r="E109" s="45" t="s">
        <v>375</v>
      </c>
      <c r="F109" s="46"/>
      <c r="G109" s="46"/>
      <c r="H109" s="45" t="s">
        <v>158</v>
      </c>
    </row>
    <row r="110" customFormat="false" ht="46.25" hidden="false" customHeight="false" outlineLevel="0" collapsed="false">
      <c r="A110" s="45" t="s">
        <v>380</v>
      </c>
      <c r="B110" s="45" t="s">
        <v>381</v>
      </c>
      <c r="C110" s="45"/>
      <c r="D110" s="45" t="s">
        <v>192</v>
      </c>
      <c r="E110" s="45" t="s">
        <v>375</v>
      </c>
      <c r="F110" s="46"/>
      <c r="G110" s="46"/>
      <c r="H110" s="45" t="s">
        <v>158</v>
      </c>
    </row>
    <row r="111" customFormat="false" ht="46.25" hidden="false" customHeight="false" outlineLevel="0" collapsed="false">
      <c r="A111" s="45" t="s">
        <v>382</v>
      </c>
      <c r="B111" s="45" t="s">
        <v>383</v>
      </c>
      <c r="C111" s="45"/>
      <c r="D111" s="45" t="s">
        <v>186</v>
      </c>
      <c r="E111" s="45" t="s">
        <v>375</v>
      </c>
      <c r="F111" s="46"/>
      <c r="G111" s="46"/>
      <c r="H111" s="45" t="s">
        <v>158</v>
      </c>
    </row>
    <row r="112" customFormat="false" ht="46.25" hidden="false" customHeight="false" outlineLevel="0" collapsed="false">
      <c r="A112" s="45" t="s">
        <v>384</v>
      </c>
      <c r="B112" s="45" t="s">
        <v>385</v>
      </c>
      <c r="C112" s="45"/>
      <c r="D112" s="45" t="s">
        <v>156</v>
      </c>
      <c r="E112" s="45" t="s">
        <v>375</v>
      </c>
      <c r="F112" s="46"/>
      <c r="G112" s="46"/>
      <c r="H112" s="45" t="s">
        <v>158</v>
      </c>
    </row>
    <row r="113" customFormat="false" ht="46.25" hidden="false" customHeight="false" outlineLevel="0" collapsed="false">
      <c r="A113" s="45" t="s">
        <v>386</v>
      </c>
      <c r="B113" s="45" t="s">
        <v>387</v>
      </c>
      <c r="C113" s="45"/>
      <c r="D113" s="45" t="s">
        <v>156</v>
      </c>
      <c r="E113" s="45" t="s">
        <v>375</v>
      </c>
      <c r="F113" s="46"/>
      <c r="G113" s="46"/>
      <c r="H113" s="45" t="s">
        <v>158</v>
      </c>
    </row>
    <row r="114" customFormat="false" ht="46.25" hidden="false" customHeight="false" outlineLevel="0" collapsed="false">
      <c r="A114" s="45" t="s">
        <v>388</v>
      </c>
      <c r="B114" s="45" t="s">
        <v>389</v>
      </c>
      <c r="C114" s="45"/>
      <c r="D114" s="45" t="s">
        <v>156</v>
      </c>
      <c r="E114" s="45" t="s">
        <v>375</v>
      </c>
      <c r="F114" s="46"/>
      <c r="G114" s="46"/>
      <c r="H114" s="45" t="s">
        <v>158</v>
      </c>
    </row>
    <row r="115" customFormat="false" ht="46.25" hidden="false" customHeight="false" outlineLevel="0" collapsed="false">
      <c r="A115" s="45" t="s">
        <v>390</v>
      </c>
      <c r="B115" s="45" t="s">
        <v>391</v>
      </c>
      <c r="C115" s="45"/>
      <c r="D115" s="45" t="s">
        <v>156</v>
      </c>
      <c r="E115" s="45" t="s">
        <v>375</v>
      </c>
      <c r="F115" s="46"/>
      <c r="G115" s="46"/>
      <c r="H115" s="45" t="s">
        <v>158</v>
      </c>
    </row>
    <row r="116" customFormat="false" ht="46.25" hidden="false" customHeight="false" outlineLevel="0" collapsed="false">
      <c r="A116" s="45" t="s">
        <v>392</v>
      </c>
      <c r="B116" s="45" t="s">
        <v>393</v>
      </c>
      <c r="C116" s="45"/>
      <c r="D116" s="45" t="s">
        <v>189</v>
      </c>
      <c r="E116" s="45" t="s">
        <v>375</v>
      </c>
      <c r="F116" s="46"/>
      <c r="G116" s="46"/>
      <c r="H116" s="45" t="s">
        <v>158</v>
      </c>
    </row>
    <row r="117" customFormat="false" ht="46.25" hidden="false" customHeight="false" outlineLevel="0" collapsed="false">
      <c r="A117" s="45" t="s">
        <v>394</v>
      </c>
      <c r="B117" s="45" t="s">
        <v>395</v>
      </c>
      <c r="C117" s="45"/>
      <c r="D117" s="45" t="s">
        <v>182</v>
      </c>
      <c r="E117" s="45" t="s">
        <v>396</v>
      </c>
      <c r="F117" s="46"/>
      <c r="G117" s="46"/>
      <c r="H117" s="45" t="s">
        <v>158</v>
      </c>
    </row>
    <row r="118" customFormat="false" ht="46.25" hidden="false" customHeight="false" outlineLevel="0" collapsed="false">
      <c r="A118" s="45" t="s">
        <v>397</v>
      </c>
      <c r="B118" s="45" t="s">
        <v>398</v>
      </c>
      <c r="C118" s="45"/>
      <c r="D118" s="45" t="s">
        <v>186</v>
      </c>
      <c r="E118" s="45" t="s">
        <v>396</v>
      </c>
      <c r="F118" s="46"/>
      <c r="G118" s="46"/>
      <c r="H118" s="45" t="s">
        <v>158</v>
      </c>
    </row>
    <row r="119" customFormat="false" ht="46.25" hidden="false" customHeight="false" outlineLevel="0" collapsed="false">
      <c r="A119" s="45" t="s">
        <v>399</v>
      </c>
      <c r="B119" s="45" t="s">
        <v>400</v>
      </c>
      <c r="C119" s="45"/>
      <c r="D119" s="45" t="s">
        <v>189</v>
      </c>
      <c r="E119" s="45" t="s">
        <v>396</v>
      </c>
      <c r="F119" s="46"/>
      <c r="G119" s="46"/>
      <c r="H119" s="45" t="s">
        <v>158</v>
      </c>
    </row>
    <row r="120" customFormat="false" ht="46.25" hidden="false" customHeight="false" outlineLevel="0" collapsed="false">
      <c r="A120" s="45" t="s">
        <v>401</v>
      </c>
      <c r="B120" s="45" t="s">
        <v>402</v>
      </c>
      <c r="C120" s="45"/>
      <c r="D120" s="45" t="s">
        <v>192</v>
      </c>
      <c r="E120" s="45" t="s">
        <v>396</v>
      </c>
      <c r="F120" s="46"/>
      <c r="G120" s="46"/>
      <c r="H120" s="45" t="s">
        <v>158</v>
      </c>
    </row>
    <row r="121" customFormat="false" ht="46.25" hidden="false" customHeight="false" outlineLevel="0" collapsed="false">
      <c r="A121" s="45" t="s">
        <v>403</v>
      </c>
      <c r="B121" s="45" t="s">
        <v>404</v>
      </c>
      <c r="C121" s="45"/>
      <c r="D121" s="45" t="s">
        <v>186</v>
      </c>
      <c r="E121" s="45" t="s">
        <v>396</v>
      </c>
      <c r="F121" s="46"/>
      <c r="G121" s="46"/>
      <c r="H121" s="45" t="s">
        <v>158</v>
      </c>
    </row>
    <row r="122" customFormat="false" ht="46.25" hidden="false" customHeight="false" outlineLevel="0" collapsed="false">
      <c r="A122" s="45" t="s">
        <v>405</v>
      </c>
      <c r="B122" s="45" t="s">
        <v>406</v>
      </c>
      <c r="C122" s="45"/>
      <c r="D122" s="45" t="s">
        <v>156</v>
      </c>
      <c r="E122" s="45" t="s">
        <v>396</v>
      </c>
      <c r="F122" s="46"/>
      <c r="G122" s="46"/>
      <c r="H122" s="45" t="s">
        <v>158</v>
      </c>
    </row>
    <row r="123" customFormat="false" ht="46.25" hidden="false" customHeight="false" outlineLevel="0" collapsed="false">
      <c r="A123" s="45" t="s">
        <v>407</v>
      </c>
      <c r="B123" s="45" t="s">
        <v>408</v>
      </c>
      <c r="C123" s="45"/>
      <c r="D123" s="45" t="s">
        <v>156</v>
      </c>
      <c r="E123" s="45" t="s">
        <v>396</v>
      </c>
      <c r="F123" s="46"/>
      <c r="G123" s="46"/>
      <c r="H123" s="45" t="s">
        <v>158</v>
      </c>
    </row>
    <row r="124" customFormat="false" ht="46.25" hidden="false" customHeight="false" outlineLevel="0" collapsed="false">
      <c r="A124" s="45" t="s">
        <v>409</v>
      </c>
      <c r="B124" s="45" t="s">
        <v>410</v>
      </c>
      <c r="C124" s="45"/>
      <c r="D124" s="45" t="s">
        <v>156</v>
      </c>
      <c r="E124" s="45" t="s">
        <v>396</v>
      </c>
      <c r="F124" s="46"/>
      <c r="G124" s="46"/>
      <c r="H124" s="45" t="s">
        <v>158</v>
      </c>
    </row>
    <row r="125" customFormat="false" ht="46.25" hidden="false" customHeight="false" outlineLevel="0" collapsed="false">
      <c r="A125" s="45" t="s">
        <v>411</v>
      </c>
      <c r="B125" s="45" t="s">
        <v>412</v>
      </c>
      <c r="C125" s="45"/>
      <c r="D125" s="45" t="s">
        <v>156</v>
      </c>
      <c r="E125" s="45" t="s">
        <v>396</v>
      </c>
      <c r="F125" s="46"/>
      <c r="G125" s="46"/>
      <c r="H125" s="45" t="s">
        <v>158</v>
      </c>
    </row>
    <row r="126" customFormat="false" ht="46.25" hidden="false" customHeight="false" outlineLevel="0" collapsed="false">
      <c r="A126" s="45" t="s">
        <v>413</v>
      </c>
      <c r="B126" s="45" t="s">
        <v>414</v>
      </c>
      <c r="C126" s="45"/>
      <c r="D126" s="45" t="s">
        <v>189</v>
      </c>
      <c r="E126" s="45" t="s">
        <v>396</v>
      </c>
      <c r="F126" s="46"/>
      <c r="G126" s="46"/>
      <c r="H126" s="45" t="s">
        <v>158</v>
      </c>
    </row>
    <row r="127" customFormat="false" ht="46.25" hidden="false" customHeight="false" outlineLevel="0" collapsed="false">
      <c r="A127" s="45" t="s">
        <v>415</v>
      </c>
      <c r="B127" s="45" t="s">
        <v>416</v>
      </c>
      <c r="C127" s="45"/>
      <c r="D127" s="45" t="s">
        <v>182</v>
      </c>
      <c r="E127" s="45" t="s">
        <v>417</v>
      </c>
      <c r="F127" s="46"/>
      <c r="G127" s="46"/>
      <c r="H127" s="45" t="s">
        <v>158</v>
      </c>
    </row>
    <row r="128" customFormat="false" ht="46.25" hidden="false" customHeight="false" outlineLevel="0" collapsed="false">
      <c r="A128" s="45" t="s">
        <v>418</v>
      </c>
      <c r="B128" s="45" t="s">
        <v>419</v>
      </c>
      <c r="C128" s="45"/>
      <c r="D128" s="45" t="s">
        <v>186</v>
      </c>
      <c r="E128" s="45" t="s">
        <v>417</v>
      </c>
      <c r="F128" s="46"/>
      <c r="G128" s="46"/>
      <c r="H128" s="45" t="s">
        <v>158</v>
      </c>
    </row>
    <row r="129" customFormat="false" ht="46.25" hidden="false" customHeight="false" outlineLevel="0" collapsed="false">
      <c r="A129" s="45" t="s">
        <v>420</v>
      </c>
      <c r="B129" s="45" t="s">
        <v>421</v>
      </c>
      <c r="C129" s="45"/>
      <c r="D129" s="45" t="s">
        <v>189</v>
      </c>
      <c r="E129" s="45" t="s">
        <v>417</v>
      </c>
      <c r="F129" s="46"/>
      <c r="G129" s="46"/>
      <c r="H129" s="45" t="s">
        <v>158</v>
      </c>
    </row>
    <row r="130" customFormat="false" ht="46.25" hidden="false" customHeight="false" outlineLevel="0" collapsed="false">
      <c r="A130" s="45" t="s">
        <v>422</v>
      </c>
      <c r="B130" s="45" t="s">
        <v>423</v>
      </c>
      <c r="C130" s="45"/>
      <c r="D130" s="45" t="s">
        <v>192</v>
      </c>
      <c r="E130" s="45" t="s">
        <v>417</v>
      </c>
      <c r="F130" s="46"/>
      <c r="G130" s="46"/>
      <c r="H130" s="45" t="s">
        <v>158</v>
      </c>
    </row>
    <row r="131" customFormat="false" ht="46.25" hidden="false" customHeight="false" outlineLevel="0" collapsed="false">
      <c r="A131" s="45" t="s">
        <v>424</v>
      </c>
      <c r="B131" s="45" t="s">
        <v>425</v>
      </c>
      <c r="C131" s="45"/>
      <c r="D131" s="45" t="s">
        <v>186</v>
      </c>
      <c r="E131" s="45" t="s">
        <v>417</v>
      </c>
      <c r="F131" s="46"/>
      <c r="G131" s="46"/>
      <c r="H131" s="45" t="s">
        <v>158</v>
      </c>
    </row>
    <row r="132" customFormat="false" ht="46.25" hidden="false" customHeight="false" outlineLevel="0" collapsed="false">
      <c r="A132" s="45" t="s">
        <v>426</v>
      </c>
      <c r="B132" s="45" t="s">
        <v>427</v>
      </c>
      <c r="C132" s="45"/>
      <c r="D132" s="45" t="s">
        <v>156</v>
      </c>
      <c r="E132" s="45" t="s">
        <v>417</v>
      </c>
      <c r="F132" s="46"/>
      <c r="G132" s="46"/>
      <c r="H132" s="45" t="s">
        <v>158</v>
      </c>
    </row>
    <row r="133" customFormat="false" ht="46.25" hidden="false" customHeight="false" outlineLevel="0" collapsed="false">
      <c r="A133" s="45" t="s">
        <v>428</v>
      </c>
      <c r="B133" s="45" t="s">
        <v>429</v>
      </c>
      <c r="C133" s="45"/>
      <c r="D133" s="45" t="s">
        <v>156</v>
      </c>
      <c r="E133" s="45" t="s">
        <v>417</v>
      </c>
      <c r="F133" s="46"/>
      <c r="G133" s="46"/>
      <c r="H133" s="45" t="s">
        <v>158</v>
      </c>
    </row>
    <row r="134" customFormat="false" ht="46.25" hidden="false" customHeight="false" outlineLevel="0" collapsed="false">
      <c r="A134" s="45" t="s">
        <v>430</v>
      </c>
      <c r="B134" s="45" t="s">
        <v>431</v>
      </c>
      <c r="C134" s="45"/>
      <c r="D134" s="45" t="s">
        <v>156</v>
      </c>
      <c r="E134" s="45" t="s">
        <v>417</v>
      </c>
      <c r="F134" s="46"/>
      <c r="G134" s="46"/>
      <c r="H134" s="45" t="s">
        <v>158</v>
      </c>
    </row>
    <row r="135" customFormat="false" ht="46.25" hidden="false" customHeight="false" outlineLevel="0" collapsed="false">
      <c r="A135" s="45" t="s">
        <v>432</v>
      </c>
      <c r="B135" s="45" t="s">
        <v>433</v>
      </c>
      <c r="C135" s="45"/>
      <c r="D135" s="45" t="s">
        <v>156</v>
      </c>
      <c r="E135" s="45" t="s">
        <v>417</v>
      </c>
      <c r="F135" s="46"/>
      <c r="G135" s="46"/>
      <c r="H135" s="45" t="s">
        <v>158</v>
      </c>
    </row>
    <row r="136" customFormat="false" ht="46.25" hidden="false" customHeight="false" outlineLevel="0" collapsed="false">
      <c r="A136" s="45" t="s">
        <v>434</v>
      </c>
      <c r="B136" s="45" t="s">
        <v>435</v>
      </c>
      <c r="C136" s="45"/>
      <c r="D136" s="45" t="s">
        <v>189</v>
      </c>
      <c r="E136" s="45" t="s">
        <v>417</v>
      </c>
      <c r="F136" s="46"/>
      <c r="G136" s="46"/>
      <c r="H136" s="45" t="s">
        <v>158</v>
      </c>
    </row>
    <row r="137" customFormat="false" ht="46.25" hidden="false" customHeight="false" outlineLevel="0" collapsed="false">
      <c r="A137" s="45" t="s">
        <v>436</v>
      </c>
      <c r="B137" s="45" t="s">
        <v>437</v>
      </c>
      <c r="C137" s="45"/>
      <c r="D137" s="45" t="s">
        <v>182</v>
      </c>
      <c r="E137" s="45" t="s">
        <v>438</v>
      </c>
      <c r="F137" s="46"/>
      <c r="G137" s="46"/>
      <c r="H137" s="45" t="s">
        <v>158</v>
      </c>
    </row>
    <row r="138" customFormat="false" ht="46.25" hidden="false" customHeight="false" outlineLevel="0" collapsed="false">
      <c r="A138" s="45" t="s">
        <v>439</v>
      </c>
      <c r="B138" s="45" t="s">
        <v>440</v>
      </c>
      <c r="C138" s="45"/>
      <c r="D138" s="45" t="s">
        <v>186</v>
      </c>
      <c r="E138" s="45" t="s">
        <v>438</v>
      </c>
      <c r="F138" s="46"/>
      <c r="G138" s="46"/>
      <c r="H138" s="45" t="s">
        <v>158</v>
      </c>
    </row>
    <row r="139" customFormat="false" ht="46.25" hidden="false" customHeight="false" outlineLevel="0" collapsed="false">
      <c r="A139" s="45" t="s">
        <v>441</v>
      </c>
      <c r="B139" s="45" t="s">
        <v>442</v>
      </c>
      <c r="C139" s="45"/>
      <c r="D139" s="45" t="s">
        <v>189</v>
      </c>
      <c r="E139" s="45" t="s">
        <v>438</v>
      </c>
      <c r="F139" s="46"/>
      <c r="G139" s="46"/>
      <c r="H139" s="45" t="s">
        <v>158</v>
      </c>
    </row>
    <row r="140" customFormat="false" ht="46.25" hidden="false" customHeight="false" outlineLevel="0" collapsed="false">
      <c r="A140" s="45" t="s">
        <v>443</v>
      </c>
      <c r="B140" s="45" t="s">
        <v>444</v>
      </c>
      <c r="C140" s="45"/>
      <c r="D140" s="45" t="s">
        <v>192</v>
      </c>
      <c r="E140" s="45" t="s">
        <v>438</v>
      </c>
      <c r="F140" s="46"/>
      <c r="G140" s="46"/>
      <c r="H140" s="45" t="s">
        <v>158</v>
      </c>
    </row>
    <row r="141" customFormat="false" ht="46.25" hidden="false" customHeight="false" outlineLevel="0" collapsed="false">
      <c r="A141" s="45" t="s">
        <v>445</v>
      </c>
      <c r="B141" s="45" t="s">
        <v>446</v>
      </c>
      <c r="C141" s="45"/>
      <c r="D141" s="45" t="s">
        <v>186</v>
      </c>
      <c r="E141" s="45" t="s">
        <v>438</v>
      </c>
      <c r="F141" s="46"/>
      <c r="G141" s="46"/>
      <c r="H141" s="45" t="s">
        <v>158</v>
      </c>
    </row>
    <row r="142" customFormat="false" ht="46.25" hidden="false" customHeight="false" outlineLevel="0" collapsed="false">
      <c r="A142" s="45" t="s">
        <v>447</v>
      </c>
      <c r="B142" s="45" t="s">
        <v>448</v>
      </c>
      <c r="C142" s="45"/>
      <c r="D142" s="45" t="s">
        <v>156</v>
      </c>
      <c r="E142" s="45" t="s">
        <v>438</v>
      </c>
      <c r="F142" s="46"/>
      <c r="G142" s="46"/>
      <c r="H142" s="45" t="s">
        <v>158</v>
      </c>
    </row>
    <row r="143" customFormat="false" ht="46.25" hidden="false" customHeight="false" outlineLevel="0" collapsed="false">
      <c r="A143" s="45" t="s">
        <v>449</v>
      </c>
      <c r="B143" s="45" t="s">
        <v>450</v>
      </c>
      <c r="C143" s="45"/>
      <c r="D143" s="45" t="s">
        <v>156</v>
      </c>
      <c r="E143" s="45" t="s">
        <v>438</v>
      </c>
      <c r="F143" s="46"/>
      <c r="G143" s="46"/>
      <c r="H143" s="45" t="s">
        <v>158</v>
      </c>
    </row>
    <row r="144" customFormat="false" ht="46.25" hidden="false" customHeight="false" outlineLevel="0" collapsed="false">
      <c r="A144" s="45" t="s">
        <v>451</v>
      </c>
      <c r="B144" s="45" t="s">
        <v>452</v>
      </c>
      <c r="C144" s="45"/>
      <c r="D144" s="45" t="s">
        <v>156</v>
      </c>
      <c r="E144" s="45" t="s">
        <v>438</v>
      </c>
      <c r="F144" s="46"/>
      <c r="G144" s="46"/>
      <c r="H144" s="45" t="s">
        <v>158</v>
      </c>
    </row>
    <row r="145" customFormat="false" ht="46.25" hidden="false" customHeight="false" outlineLevel="0" collapsed="false">
      <c r="A145" s="45" t="s">
        <v>453</v>
      </c>
      <c r="B145" s="45" t="s">
        <v>454</v>
      </c>
      <c r="C145" s="45"/>
      <c r="D145" s="45" t="s">
        <v>156</v>
      </c>
      <c r="E145" s="45" t="s">
        <v>438</v>
      </c>
      <c r="F145" s="46"/>
      <c r="G145" s="46"/>
      <c r="H145" s="45" t="s">
        <v>158</v>
      </c>
    </row>
    <row r="146" customFormat="false" ht="46.25" hidden="false" customHeight="false" outlineLevel="0" collapsed="false">
      <c r="A146" s="45" t="s">
        <v>455</v>
      </c>
      <c r="B146" s="45" t="s">
        <v>456</v>
      </c>
      <c r="C146" s="45"/>
      <c r="D146" s="45" t="s">
        <v>189</v>
      </c>
      <c r="E146" s="45" t="s">
        <v>438</v>
      </c>
      <c r="F146" s="46"/>
      <c r="G146" s="46"/>
      <c r="H146" s="45" t="s">
        <v>158</v>
      </c>
    </row>
    <row r="147" customFormat="false" ht="46.25" hidden="false" customHeight="false" outlineLevel="0" collapsed="false">
      <c r="A147" s="45" t="s">
        <v>457</v>
      </c>
      <c r="B147" s="45" t="s">
        <v>458</v>
      </c>
      <c r="C147" s="45"/>
      <c r="D147" s="45" t="s">
        <v>182</v>
      </c>
      <c r="E147" s="45" t="s">
        <v>459</v>
      </c>
      <c r="F147" s="46"/>
      <c r="G147" s="46"/>
      <c r="H147" s="45" t="s">
        <v>158</v>
      </c>
    </row>
    <row r="148" customFormat="false" ht="46.25" hidden="false" customHeight="false" outlineLevel="0" collapsed="false">
      <c r="A148" s="45" t="s">
        <v>460</v>
      </c>
      <c r="B148" s="45" t="s">
        <v>461</v>
      </c>
      <c r="C148" s="45"/>
      <c r="D148" s="45" t="s">
        <v>186</v>
      </c>
      <c r="E148" s="45" t="s">
        <v>459</v>
      </c>
      <c r="F148" s="46"/>
      <c r="G148" s="46"/>
      <c r="H148" s="45" t="s">
        <v>158</v>
      </c>
    </row>
    <row r="149" customFormat="false" ht="46.25" hidden="false" customHeight="false" outlineLevel="0" collapsed="false">
      <c r="A149" s="45" t="s">
        <v>462</v>
      </c>
      <c r="B149" s="45" t="s">
        <v>463</v>
      </c>
      <c r="C149" s="45"/>
      <c r="D149" s="45" t="s">
        <v>189</v>
      </c>
      <c r="E149" s="45" t="s">
        <v>459</v>
      </c>
      <c r="F149" s="46"/>
      <c r="G149" s="46"/>
      <c r="H149" s="45" t="s">
        <v>158</v>
      </c>
    </row>
    <row r="150" customFormat="false" ht="46.25" hidden="false" customHeight="false" outlineLevel="0" collapsed="false">
      <c r="A150" s="45" t="s">
        <v>464</v>
      </c>
      <c r="B150" s="45" t="s">
        <v>465</v>
      </c>
      <c r="C150" s="45"/>
      <c r="D150" s="45" t="s">
        <v>192</v>
      </c>
      <c r="E150" s="45" t="s">
        <v>459</v>
      </c>
      <c r="F150" s="46"/>
      <c r="G150" s="46"/>
      <c r="H150" s="45" t="s">
        <v>158</v>
      </c>
    </row>
    <row r="151" customFormat="false" ht="46.25" hidden="false" customHeight="false" outlineLevel="0" collapsed="false">
      <c r="A151" s="45" t="s">
        <v>466</v>
      </c>
      <c r="B151" s="45" t="s">
        <v>467</v>
      </c>
      <c r="C151" s="45"/>
      <c r="D151" s="45" t="s">
        <v>186</v>
      </c>
      <c r="E151" s="45" t="s">
        <v>459</v>
      </c>
      <c r="F151" s="46"/>
      <c r="G151" s="46"/>
      <c r="H151" s="45" t="s">
        <v>158</v>
      </c>
    </row>
    <row r="152" customFormat="false" ht="46.25" hidden="false" customHeight="false" outlineLevel="0" collapsed="false">
      <c r="A152" s="45" t="s">
        <v>468</v>
      </c>
      <c r="B152" s="45" t="s">
        <v>469</v>
      </c>
      <c r="C152" s="45"/>
      <c r="D152" s="45" t="s">
        <v>156</v>
      </c>
      <c r="E152" s="45" t="s">
        <v>459</v>
      </c>
      <c r="F152" s="46"/>
      <c r="G152" s="46"/>
      <c r="H152" s="45" t="s">
        <v>158</v>
      </c>
    </row>
    <row r="153" customFormat="false" ht="46.25" hidden="false" customHeight="false" outlineLevel="0" collapsed="false">
      <c r="A153" s="45" t="s">
        <v>470</v>
      </c>
      <c r="B153" s="45" t="s">
        <v>471</v>
      </c>
      <c r="C153" s="45"/>
      <c r="D153" s="45" t="s">
        <v>156</v>
      </c>
      <c r="E153" s="45" t="s">
        <v>459</v>
      </c>
      <c r="F153" s="46"/>
      <c r="G153" s="46"/>
      <c r="H153" s="45" t="s">
        <v>158</v>
      </c>
    </row>
    <row r="154" customFormat="false" ht="46.25" hidden="false" customHeight="false" outlineLevel="0" collapsed="false">
      <c r="A154" s="45" t="s">
        <v>472</v>
      </c>
      <c r="B154" s="45" t="s">
        <v>473</v>
      </c>
      <c r="C154" s="45"/>
      <c r="D154" s="45" t="s">
        <v>156</v>
      </c>
      <c r="E154" s="45" t="s">
        <v>459</v>
      </c>
      <c r="F154" s="46"/>
      <c r="G154" s="46"/>
      <c r="H154" s="45" t="s">
        <v>158</v>
      </c>
    </row>
    <row r="155" customFormat="false" ht="46.25" hidden="false" customHeight="false" outlineLevel="0" collapsed="false">
      <c r="A155" s="45" t="s">
        <v>474</v>
      </c>
      <c r="B155" s="45" t="s">
        <v>475</v>
      </c>
      <c r="C155" s="45"/>
      <c r="D155" s="45" t="s">
        <v>156</v>
      </c>
      <c r="E155" s="45" t="s">
        <v>459</v>
      </c>
      <c r="F155" s="46"/>
      <c r="G155" s="46"/>
      <c r="H155" s="45" t="s">
        <v>158</v>
      </c>
    </row>
    <row r="156" customFormat="false" ht="46.25" hidden="false" customHeight="false" outlineLevel="0" collapsed="false">
      <c r="A156" s="45" t="s">
        <v>476</v>
      </c>
      <c r="B156" s="45" t="s">
        <v>477</v>
      </c>
      <c r="C156" s="45"/>
      <c r="D156" s="45" t="s">
        <v>189</v>
      </c>
      <c r="E156" s="45" t="s">
        <v>459</v>
      </c>
      <c r="F156" s="46"/>
      <c r="G156" s="46"/>
      <c r="H156" s="45" t="s">
        <v>158</v>
      </c>
    </row>
    <row r="157" customFormat="false" ht="68.65" hidden="false" customHeight="false" outlineLevel="0" collapsed="false">
      <c r="A157" s="45" t="s">
        <v>478</v>
      </c>
      <c r="B157" s="45" t="s">
        <v>479</v>
      </c>
      <c r="C157" s="45"/>
      <c r="D157" s="45" t="s">
        <v>182</v>
      </c>
      <c r="E157" s="45" t="s">
        <v>480</v>
      </c>
      <c r="F157" s="46"/>
      <c r="G157" s="46"/>
      <c r="H157" s="45" t="s">
        <v>158</v>
      </c>
    </row>
    <row r="158" customFormat="false" ht="68.65" hidden="false" customHeight="false" outlineLevel="0" collapsed="false">
      <c r="A158" s="45" t="s">
        <v>481</v>
      </c>
      <c r="B158" s="45" t="s">
        <v>482</v>
      </c>
      <c r="C158" s="45"/>
      <c r="D158" s="45" t="s">
        <v>189</v>
      </c>
      <c r="E158" s="45" t="s">
        <v>480</v>
      </c>
      <c r="F158" s="46"/>
      <c r="G158" s="46"/>
      <c r="H158" s="45" t="s">
        <v>158</v>
      </c>
    </row>
    <row r="159" customFormat="false" ht="68.65" hidden="false" customHeight="false" outlineLevel="0" collapsed="false">
      <c r="A159" s="45" t="s">
        <v>483</v>
      </c>
      <c r="B159" s="45" t="s">
        <v>484</v>
      </c>
      <c r="C159" s="45"/>
      <c r="D159" s="45" t="s">
        <v>182</v>
      </c>
      <c r="E159" s="45" t="s">
        <v>480</v>
      </c>
      <c r="F159" s="46"/>
      <c r="G159" s="46"/>
      <c r="H159" s="45" t="s">
        <v>158</v>
      </c>
    </row>
    <row r="160" customFormat="false" ht="68.65" hidden="false" customHeight="false" outlineLevel="0" collapsed="false">
      <c r="A160" s="45" t="s">
        <v>485</v>
      </c>
      <c r="B160" s="45" t="s">
        <v>486</v>
      </c>
      <c r="C160" s="45"/>
      <c r="D160" s="45" t="s">
        <v>189</v>
      </c>
      <c r="E160" s="45" t="s">
        <v>480</v>
      </c>
      <c r="F160" s="46"/>
      <c r="G160" s="46"/>
      <c r="H160" s="45" t="s">
        <v>158</v>
      </c>
    </row>
    <row r="161" customFormat="false" ht="68.65" hidden="false" customHeight="false" outlineLevel="0" collapsed="false">
      <c r="A161" s="45" t="s">
        <v>487</v>
      </c>
      <c r="B161" s="45" t="s">
        <v>488</v>
      </c>
      <c r="C161" s="45"/>
      <c r="D161" s="45" t="s">
        <v>182</v>
      </c>
      <c r="E161" s="45" t="s">
        <v>480</v>
      </c>
      <c r="F161" s="46"/>
      <c r="G161" s="46"/>
      <c r="H161" s="45" t="s">
        <v>158</v>
      </c>
    </row>
    <row r="162" customFormat="false" ht="68.65" hidden="false" customHeight="false" outlineLevel="0" collapsed="false">
      <c r="A162" s="45" t="s">
        <v>489</v>
      </c>
      <c r="B162" s="45" t="s">
        <v>490</v>
      </c>
      <c r="C162" s="45"/>
      <c r="D162" s="45" t="s">
        <v>189</v>
      </c>
      <c r="E162" s="45" t="s">
        <v>480</v>
      </c>
      <c r="F162" s="46"/>
      <c r="G162" s="46"/>
      <c r="H162" s="45" t="s">
        <v>158</v>
      </c>
    </row>
    <row r="163" customFormat="false" ht="68.65" hidden="false" customHeight="false" outlineLevel="0" collapsed="false">
      <c r="A163" s="45" t="s">
        <v>491</v>
      </c>
      <c r="B163" s="45" t="s">
        <v>492</v>
      </c>
      <c r="C163" s="45"/>
      <c r="D163" s="45" t="s">
        <v>182</v>
      </c>
      <c r="E163" s="45" t="s">
        <v>480</v>
      </c>
      <c r="F163" s="46"/>
      <c r="G163" s="46"/>
      <c r="H163" s="45" t="s">
        <v>158</v>
      </c>
    </row>
    <row r="164" customFormat="false" ht="68.65" hidden="false" customHeight="false" outlineLevel="0" collapsed="false">
      <c r="A164" s="45" t="s">
        <v>493</v>
      </c>
      <c r="B164" s="45" t="s">
        <v>494</v>
      </c>
      <c r="C164" s="45"/>
      <c r="D164" s="45" t="s">
        <v>189</v>
      </c>
      <c r="E164" s="45" t="s">
        <v>480</v>
      </c>
      <c r="F164" s="46"/>
      <c r="G164" s="46"/>
      <c r="H164" s="45" t="s">
        <v>158</v>
      </c>
    </row>
    <row r="165" customFormat="false" ht="68.65" hidden="false" customHeight="false" outlineLevel="0" collapsed="false">
      <c r="A165" s="45" t="s">
        <v>495</v>
      </c>
      <c r="B165" s="45" t="s">
        <v>496</v>
      </c>
      <c r="C165" s="45"/>
      <c r="D165" s="45" t="s">
        <v>182</v>
      </c>
      <c r="E165" s="45" t="s">
        <v>497</v>
      </c>
      <c r="F165" s="46"/>
      <c r="G165" s="46"/>
      <c r="H165" s="45" t="s">
        <v>158</v>
      </c>
    </row>
    <row r="166" customFormat="false" ht="68.65" hidden="false" customHeight="false" outlineLevel="0" collapsed="false">
      <c r="A166" s="45" t="s">
        <v>498</v>
      </c>
      <c r="B166" s="45" t="s">
        <v>499</v>
      </c>
      <c r="C166" s="45"/>
      <c r="D166" s="45" t="s">
        <v>189</v>
      </c>
      <c r="E166" s="45" t="s">
        <v>497</v>
      </c>
      <c r="F166" s="46"/>
      <c r="G166" s="46"/>
      <c r="H166" s="45" t="s">
        <v>158</v>
      </c>
    </row>
    <row r="167" customFormat="false" ht="79.85" hidden="false" customHeight="false" outlineLevel="0" collapsed="false">
      <c r="A167" s="45" t="s">
        <v>500</v>
      </c>
      <c r="B167" s="45" t="s">
        <v>501</v>
      </c>
      <c r="C167" s="45"/>
      <c r="D167" s="45" t="s">
        <v>182</v>
      </c>
      <c r="E167" s="45" t="s">
        <v>502</v>
      </c>
      <c r="F167" s="46"/>
      <c r="G167" s="46"/>
      <c r="H167" s="45" t="s">
        <v>158</v>
      </c>
    </row>
    <row r="168" customFormat="false" ht="79.85" hidden="false" customHeight="false" outlineLevel="0" collapsed="false">
      <c r="A168" s="45" t="s">
        <v>503</v>
      </c>
      <c r="B168" s="45" t="s">
        <v>504</v>
      </c>
      <c r="C168" s="45"/>
      <c r="D168" s="45" t="s">
        <v>189</v>
      </c>
      <c r="E168" s="45" t="s">
        <v>502</v>
      </c>
      <c r="F168" s="46"/>
      <c r="G168" s="46"/>
      <c r="H168" s="45" t="s">
        <v>158</v>
      </c>
    </row>
    <row r="169" customFormat="false" ht="68.65" hidden="false" customHeight="false" outlineLevel="0" collapsed="false">
      <c r="A169" s="45" t="s">
        <v>505</v>
      </c>
      <c r="B169" s="45" t="s">
        <v>506</v>
      </c>
      <c r="C169" s="45"/>
      <c r="D169" s="45" t="s">
        <v>182</v>
      </c>
      <c r="E169" s="45" t="s">
        <v>497</v>
      </c>
      <c r="F169" s="46"/>
      <c r="G169" s="46"/>
      <c r="H169" s="45" t="s">
        <v>158</v>
      </c>
    </row>
    <row r="170" customFormat="false" ht="68.65" hidden="false" customHeight="false" outlineLevel="0" collapsed="false">
      <c r="A170" s="45" t="s">
        <v>507</v>
      </c>
      <c r="B170" s="45" t="s">
        <v>508</v>
      </c>
      <c r="C170" s="45"/>
      <c r="D170" s="45" t="s">
        <v>189</v>
      </c>
      <c r="E170" s="45" t="s">
        <v>497</v>
      </c>
      <c r="F170" s="46"/>
      <c r="G170" s="46"/>
      <c r="H170" s="45" t="s">
        <v>158</v>
      </c>
    </row>
    <row r="171" customFormat="false" ht="68.65" hidden="false" customHeight="false" outlineLevel="0" collapsed="false">
      <c r="A171" s="45" t="s">
        <v>509</v>
      </c>
      <c r="B171" s="45" t="s">
        <v>510</v>
      </c>
      <c r="C171" s="45"/>
      <c r="D171" s="45" t="s">
        <v>182</v>
      </c>
      <c r="E171" s="45" t="s">
        <v>497</v>
      </c>
      <c r="F171" s="46"/>
      <c r="G171" s="46"/>
      <c r="H171" s="45" t="s">
        <v>158</v>
      </c>
    </row>
    <row r="172" customFormat="false" ht="68.65" hidden="false" customHeight="false" outlineLevel="0" collapsed="false">
      <c r="A172" s="45" t="s">
        <v>511</v>
      </c>
      <c r="B172" s="45" t="s">
        <v>512</v>
      </c>
      <c r="C172" s="45"/>
      <c r="D172" s="45" t="s">
        <v>189</v>
      </c>
      <c r="E172" s="45" t="s">
        <v>497</v>
      </c>
      <c r="F172" s="46"/>
      <c r="G172" s="46"/>
      <c r="H172" s="45" t="s">
        <v>158</v>
      </c>
    </row>
    <row r="173" customFormat="false" ht="68.65" hidden="false" customHeight="false" outlineLevel="0" collapsed="false">
      <c r="A173" s="45" t="s">
        <v>513</v>
      </c>
      <c r="B173" s="45" t="s">
        <v>514</v>
      </c>
      <c r="C173" s="45"/>
      <c r="D173" s="45" t="s">
        <v>182</v>
      </c>
      <c r="E173" s="45" t="s">
        <v>515</v>
      </c>
      <c r="F173" s="46"/>
      <c r="G173" s="46"/>
      <c r="H173" s="45" t="s">
        <v>158</v>
      </c>
    </row>
    <row r="174" customFormat="false" ht="68.65" hidden="false" customHeight="false" outlineLevel="0" collapsed="false">
      <c r="A174" s="45" t="s">
        <v>516</v>
      </c>
      <c r="B174" s="45" t="s">
        <v>517</v>
      </c>
      <c r="C174" s="45"/>
      <c r="D174" s="45" t="s">
        <v>189</v>
      </c>
      <c r="E174" s="45" t="s">
        <v>515</v>
      </c>
      <c r="F174" s="46"/>
      <c r="G174" s="46"/>
      <c r="H174" s="45" t="s">
        <v>158</v>
      </c>
    </row>
    <row r="175" customFormat="false" ht="68.65" hidden="false" customHeight="false" outlineLevel="0" collapsed="false">
      <c r="A175" s="45" t="s">
        <v>518</v>
      </c>
      <c r="B175" s="45" t="s">
        <v>519</v>
      </c>
      <c r="C175" s="45"/>
      <c r="D175" s="45" t="s">
        <v>182</v>
      </c>
      <c r="E175" s="45" t="s">
        <v>515</v>
      </c>
      <c r="F175" s="46"/>
      <c r="G175" s="46"/>
      <c r="H175" s="45" t="s">
        <v>158</v>
      </c>
    </row>
    <row r="176" customFormat="false" ht="68.65" hidden="false" customHeight="false" outlineLevel="0" collapsed="false">
      <c r="A176" s="45" t="s">
        <v>520</v>
      </c>
      <c r="B176" s="45" t="s">
        <v>521</v>
      </c>
      <c r="C176" s="45"/>
      <c r="D176" s="45" t="s">
        <v>189</v>
      </c>
      <c r="E176" s="45" t="s">
        <v>515</v>
      </c>
      <c r="F176" s="46"/>
      <c r="G176" s="46"/>
      <c r="H176" s="45" t="s">
        <v>158</v>
      </c>
    </row>
    <row r="177" customFormat="false" ht="68.65" hidden="false" customHeight="false" outlineLevel="0" collapsed="false">
      <c r="A177" s="45" t="s">
        <v>522</v>
      </c>
      <c r="B177" s="45" t="s">
        <v>523</v>
      </c>
      <c r="C177" s="45"/>
      <c r="D177" s="45" t="s">
        <v>182</v>
      </c>
      <c r="E177" s="45" t="s">
        <v>497</v>
      </c>
      <c r="F177" s="46"/>
      <c r="G177" s="46"/>
      <c r="H177" s="45" t="s">
        <v>158</v>
      </c>
    </row>
    <row r="178" customFormat="false" ht="68.65" hidden="false" customHeight="false" outlineLevel="0" collapsed="false">
      <c r="A178" s="45" t="s">
        <v>524</v>
      </c>
      <c r="B178" s="45" t="s">
        <v>525</v>
      </c>
      <c r="C178" s="45"/>
      <c r="D178" s="45" t="s">
        <v>189</v>
      </c>
      <c r="E178" s="45" t="s">
        <v>497</v>
      </c>
      <c r="F178" s="46"/>
      <c r="G178" s="46"/>
      <c r="H178" s="45" t="s">
        <v>158</v>
      </c>
    </row>
    <row r="179" customFormat="false" ht="68.65" hidden="false" customHeight="false" outlineLevel="0" collapsed="false">
      <c r="A179" s="45" t="s">
        <v>526</v>
      </c>
      <c r="B179" s="45" t="s">
        <v>527</v>
      </c>
      <c r="C179" s="45"/>
      <c r="D179" s="45" t="s">
        <v>182</v>
      </c>
      <c r="E179" s="45" t="s">
        <v>515</v>
      </c>
      <c r="F179" s="46"/>
      <c r="G179" s="46"/>
      <c r="H179" s="45" t="s">
        <v>158</v>
      </c>
    </row>
    <row r="180" customFormat="false" ht="68.65" hidden="false" customHeight="false" outlineLevel="0" collapsed="false">
      <c r="A180" s="45" t="s">
        <v>528</v>
      </c>
      <c r="B180" s="45" t="s">
        <v>529</v>
      </c>
      <c r="C180" s="45"/>
      <c r="D180" s="45" t="s">
        <v>189</v>
      </c>
      <c r="E180" s="45" t="s">
        <v>515</v>
      </c>
      <c r="F180" s="46"/>
      <c r="G180" s="46"/>
      <c r="H180" s="45" t="s">
        <v>158</v>
      </c>
    </row>
    <row r="181" customFormat="false" ht="68.65" hidden="false" customHeight="false" outlineLevel="0" collapsed="false">
      <c r="A181" s="45" t="s">
        <v>530</v>
      </c>
      <c r="B181" s="45" t="s">
        <v>531</v>
      </c>
      <c r="C181" s="45"/>
      <c r="D181" s="45" t="s">
        <v>182</v>
      </c>
      <c r="E181" s="45" t="s">
        <v>515</v>
      </c>
      <c r="F181" s="46"/>
      <c r="G181" s="46"/>
      <c r="H181" s="45" t="s">
        <v>158</v>
      </c>
    </row>
    <row r="182" customFormat="false" ht="68.65" hidden="false" customHeight="false" outlineLevel="0" collapsed="false">
      <c r="A182" s="45" t="s">
        <v>532</v>
      </c>
      <c r="B182" s="45" t="s">
        <v>533</v>
      </c>
      <c r="C182" s="45"/>
      <c r="D182" s="45" t="s">
        <v>189</v>
      </c>
      <c r="E182" s="45" t="s">
        <v>515</v>
      </c>
      <c r="F182" s="46"/>
      <c r="G182" s="46"/>
      <c r="H182" s="45" t="s">
        <v>158</v>
      </c>
    </row>
    <row r="183" customFormat="false" ht="79.85" hidden="false" customHeight="false" outlineLevel="0" collapsed="false">
      <c r="A183" s="45" t="s">
        <v>534</v>
      </c>
      <c r="B183" s="45" t="s">
        <v>535</v>
      </c>
      <c r="C183" s="45"/>
      <c r="D183" s="45" t="s">
        <v>182</v>
      </c>
      <c r="E183" s="45" t="s">
        <v>536</v>
      </c>
      <c r="F183" s="46"/>
      <c r="G183" s="46"/>
      <c r="H183" s="45" t="s">
        <v>158</v>
      </c>
    </row>
    <row r="184" customFormat="false" ht="79.85" hidden="false" customHeight="false" outlineLevel="0" collapsed="false">
      <c r="A184" s="45" t="s">
        <v>537</v>
      </c>
      <c r="B184" s="45" t="s">
        <v>538</v>
      </c>
      <c r="C184" s="45"/>
      <c r="D184" s="45" t="s">
        <v>189</v>
      </c>
      <c r="E184" s="45" t="s">
        <v>536</v>
      </c>
      <c r="F184" s="46"/>
      <c r="G184" s="46"/>
      <c r="H184" s="45" t="s">
        <v>158</v>
      </c>
    </row>
    <row r="185" customFormat="false" ht="79.85" hidden="false" customHeight="false" outlineLevel="0" collapsed="false">
      <c r="A185" s="45" t="s">
        <v>539</v>
      </c>
      <c r="B185" s="45" t="s">
        <v>540</v>
      </c>
      <c r="C185" s="45"/>
      <c r="D185" s="45" t="s">
        <v>182</v>
      </c>
      <c r="E185" s="45" t="s">
        <v>536</v>
      </c>
      <c r="F185" s="46"/>
      <c r="G185" s="46"/>
      <c r="H185" s="45" t="s">
        <v>158</v>
      </c>
    </row>
    <row r="186" customFormat="false" ht="79.85" hidden="false" customHeight="false" outlineLevel="0" collapsed="false">
      <c r="A186" s="45" t="s">
        <v>541</v>
      </c>
      <c r="B186" s="45" t="s">
        <v>542</v>
      </c>
      <c r="C186" s="45"/>
      <c r="D186" s="45" t="s">
        <v>189</v>
      </c>
      <c r="E186" s="45" t="s">
        <v>536</v>
      </c>
      <c r="F186" s="46"/>
      <c r="G186" s="46"/>
      <c r="H186" s="45" t="s">
        <v>158</v>
      </c>
    </row>
    <row r="187" customFormat="false" ht="79.85" hidden="false" customHeight="false" outlineLevel="0" collapsed="false">
      <c r="A187" s="45" t="s">
        <v>543</v>
      </c>
      <c r="B187" s="45" t="s">
        <v>544</v>
      </c>
      <c r="C187" s="45"/>
      <c r="D187" s="45" t="s">
        <v>182</v>
      </c>
      <c r="E187" s="45" t="s">
        <v>536</v>
      </c>
      <c r="F187" s="46"/>
      <c r="G187" s="46"/>
      <c r="H187" s="45" t="s">
        <v>158</v>
      </c>
    </row>
    <row r="188" customFormat="false" ht="79.85" hidden="false" customHeight="false" outlineLevel="0" collapsed="false">
      <c r="A188" s="45" t="s">
        <v>545</v>
      </c>
      <c r="B188" s="45" t="s">
        <v>546</v>
      </c>
      <c r="C188" s="45"/>
      <c r="D188" s="45" t="s">
        <v>189</v>
      </c>
      <c r="E188" s="45" t="s">
        <v>536</v>
      </c>
      <c r="F188" s="46"/>
      <c r="G188" s="46"/>
      <c r="H188" s="45" t="s">
        <v>158</v>
      </c>
    </row>
    <row r="189" customFormat="false" ht="79.85" hidden="false" customHeight="false" outlineLevel="0" collapsed="false">
      <c r="A189" s="45" t="s">
        <v>547</v>
      </c>
      <c r="B189" s="45" t="s">
        <v>548</v>
      </c>
      <c r="C189" s="45"/>
      <c r="D189" s="45" t="s">
        <v>182</v>
      </c>
      <c r="E189" s="45" t="s">
        <v>536</v>
      </c>
      <c r="F189" s="46"/>
      <c r="G189" s="46"/>
      <c r="H189" s="45" t="s">
        <v>158</v>
      </c>
    </row>
    <row r="190" customFormat="false" ht="79.85" hidden="false" customHeight="false" outlineLevel="0" collapsed="false">
      <c r="A190" s="45" t="s">
        <v>549</v>
      </c>
      <c r="B190" s="45" t="s">
        <v>550</v>
      </c>
      <c r="C190" s="45"/>
      <c r="D190" s="45" t="s">
        <v>189</v>
      </c>
      <c r="E190" s="45" t="s">
        <v>536</v>
      </c>
      <c r="F190" s="46"/>
      <c r="G190" s="46"/>
      <c r="H190" s="45" t="s">
        <v>158</v>
      </c>
    </row>
    <row r="191" customFormat="false" ht="68.65" hidden="false" customHeight="false" outlineLevel="0" collapsed="false">
      <c r="A191" s="45" t="s">
        <v>551</v>
      </c>
      <c r="B191" s="45" t="s">
        <v>552</v>
      </c>
      <c r="C191" s="45"/>
      <c r="D191" s="45" t="s">
        <v>182</v>
      </c>
      <c r="E191" s="45" t="s">
        <v>515</v>
      </c>
      <c r="F191" s="46"/>
      <c r="G191" s="46"/>
      <c r="H191" s="45" t="s">
        <v>158</v>
      </c>
    </row>
    <row r="192" customFormat="false" ht="68.65" hidden="false" customHeight="false" outlineLevel="0" collapsed="false">
      <c r="A192" s="45" t="s">
        <v>553</v>
      </c>
      <c r="B192" s="45" t="s">
        <v>554</v>
      </c>
      <c r="C192" s="45"/>
      <c r="D192" s="45" t="s">
        <v>189</v>
      </c>
      <c r="E192" s="45" t="s">
        <v>515</v>
      </c>
      <c r="F192" s="46"/>
      <c r="G192" s="46"/>
      <c r="H192" s="45" t="s">
        <v>158</v>
      </c>
    </row>
    <row r="193" customFormat="false" ht="57.45" hidden="false" customHeight="false" outlineLevel="0" collapsed="false">
      <c r="A193" s="45" t="s">
        <v>555</v>
      </c>
      <c r="B193" s="45" t="s">
        <v>36</v>
      </c>
      <c r="C193" s="45"/>
      <c r="D193" s="45" t="s">
        <v>189</v>
      </c>
      <c r="E193" s="45" t="s">
        <v>556</v>
      </c>
      <c r="F193" s="46"/>
      <c r="G193" s="46"/>
      <c r="H193" s="45" t="s">
        <v>158</v>
      </c>
    </row>
    <row r="194" customFormat="false" ht="57.45" hidden="false" customHeight="false" outlineLevel="0" collapsed="false">
      <c r="A194" s="45" t="s">
        <v>557</v>
      </c>
      <c r="B194" s="45" t="s">
        <v>558</v>
      </c>
      <c r="C194" s="45"/>
      <c r="D194" s="45" t="s">
        <v>156</v>
      </c>
      <c r="E194" s="45" t="s">
        <v>559</v>
      </c>
      <c r="F194" s="46"/>
      <c r="G194" s="46"/>
      <c r="H194" s="45" t="s">
        <v>158</v>
      </c>
    </row>
    <row r="195" customFormat="false" ht="57.45" hidden="false" customHeight="false" outlineLevel="0" collapsed="false">
      <c r="A195" s="45" t="s">
        <v>560</v>
      </c>
      <c r="B195" s="45" t="s">
        <v>561</v>
      </c>
      <c r="C195" s="45"/>
      <c r="D195" s="45" t="s">
        <v>156</v>
      </c>
      <c r="E195" s="45" t="s">
        <v>562</v>
      </c>
      <c r="F195" s="46"/>
      <c r="G195" s="46"/>
      <c r="H195" s="45" t="s">
        <v>158</v>
      </c>
    </row>
    <row r="196" customFormat="false" ht="57.45" hidden="false" customHeight="false" outlineLevel="0" collapsed="false">
      <c r="A196" s="45" t="s">
        <v>563</v>
      </c>
      <c r="B196" s="45" t="s">
        <v>564</v>
      </c>
      <c r="C196" s="45"/>
      <c r="D196" s="45" t="s">
        <v>156</v>
      </c>
      <c r="E196" s="45" t="s">
        <v>565</v>
      </c>
      <c r="F196" s="46"/>
      <c r="G196" s="46"/>
      <c r="H196" s="45" t="s">
        <v>158</v>
      </c>
    </row>
  </sheetData>
  <autoFilter ref="A5:H196"/>
  <mergeCells count="2">
    <mergeCell ref="A1:H1"/>
    <mergeCell ref="A2:H2"/>
  </mergeCells>
  <dataValidations count="191">
    <dataValidation allowBlank="true" error="Enter a numeric value within the stated model bounds." errorStyle="stop" errorTitle="Invalid model input" operator="between" showDropDown="false" showErrorMessage="true" showInputMessage="false" sqref="F6" type="decimal">
      <formula1>-0.95</formula1>
      <formula2>2</formula2>
    </dataValidation>
    <dataValidation allowBlank="true" error="Enter a numeric value within the stated model bounds." errorStyle="stop" errorTitle="Invalid model input" operator="between" showDropDown="false" showErrorMessage="true" showInputMessage="false" sqref="F7" type="decimal">
      <formula1>-0.95</formula1>
      <formula2>2</formula2>
    </dataValidation>
    <dataValidation allowBlank="true" error="Enter a numeric value within the stated model bounds." errorStyle="stop" errorTitle="Invalid model input" operator="between" showDropDown="false" showErrorMessage="true" showInputMessage="false" sqref="F8" type="decimal">
      <formula1>-0.95</formula1>
      <formula2>2</formula2>
    </dataValidation>
    <dataValidation allowBlank="true" error="Enter a numeric value within the stated model bounds." errorStyle="stop" errorTitle="Invalid model input" operator="between" showDropDown="false" showErrorMessage="true" showInputMessage="false" sqref="F9" type="decimal">
      <formula1>-0.95</formula1>
      <formula2>2</formula2>
    </dataValidation>
    <dataValidation allowBlank="true" error="Enter a numeric value within the stated model bounds." errorStyle="stop" errorTitle="Invalid model input" operator="between" showDropDown="false" showErrorMessage="true" showInputMessage="false" sqref="F10" type="decimal">
      <formula1>-0.95</formula1>
      <formula2>2</formula2>
    </dataValidation>
    <dataValidation allowBlank="true" error="Enter a numeric value within the stated model bounds." errorStyle="stop" errorTitle="Invalid model input" operator="between" showDropDown="false" showErrorMessage="true" showInputMessage="false" sqref="F11" type="decimal">
      <formula1>-0.95</formula1>
      <formula2>2</formula2>
    </dataValidation>
    <dataValidation allowBlank="true" error="Enter a numeric value within the stated model bounds." errorStyle="stop" errorTitle="Invalid model input" operator="between" showDropDown="false" showErrorMessage="true" showInputMessage="false" sqref="F12" type="decimal">
      <formula1>-0.95</formula1>
      <formula2>2</formula2>
    </dataValidation>
    <dataValidation allowBlank="true" error="Enter a numeric value within the stated model bounds." errorStyle="stop" errorTitle="Invalid model input" operator="between" showDropDown="false" showErrorMessage="true" showInputMessage="false" sqref="F13" type="decimal">
      <formula1>-0.95</formula1>
      <formula2>2</formula2>
    </dataValidation>
    <dataValidation allowBlank="true" error="Enter a numeric value within the stated model bounds." errorStyle="stop" errorTitle="Invalid model input" operator="between" showDropDown="false" showErrorMessage="true" showInputMessage="false" sqref="F14" type="decimal">
      <formula1>-0.95</formula1>
      <formula2>2</formula2>
    </dataValidation>
    <dataValidation allowBlank="true" error="Enter a numeric value within the stated model bounds." errorStyle="stop" errorTitle="Invalid model input" operator="between" showDropDown="false" showErrorMessage="true" showInputMessage="false" sqref="F15" type="decimal">
      <formula1>-0.95</formula1>
      <formula2>2</formula2>
    </dataValidation>
    <dataValidation allowBlank="true" error="Enter a numeric value within the stated model bounds." errorStyle="stop" errorTitle="Invalid model input" operator="between" showDropDown="false" showErrorMessage="true" showInputMessage="false" sqref="F16" type="decimal">
      <formula1>-1</formula1>
      <formula2>1</formula2>
    </dataValidation>
    <dataValidation allowBlank="true" error="Enter a numeric value within the stated model bounds." errorStyle="stop" errorTitle="Invalid model input" operator="between" showDropDown="false" showErrorMessage="true" showInputMessage="false" sqref="F17" type="list">
      <formula1>"0,1"</formula1>
      <formula2>0</formula2>
    </dataValidation>
    <dataValidation allowBlank="true" error="Enter a numeric value within the stated model bounds." errorStyle="stop" errorTitle="Invalid model input" operator="between" showDropDown="false" showErrorMessage="true" showInputMessage="false" sqref="F18" type="decimal">
      <formula1>2026</formula1>
      <formula2>2035</formula2>
    </dataValidation>
    <dataValidation allowBlank="true" error="Enter a numeric value within the stated model bounds." errorStyle="stop" errorTitle="Invalid model input" operator="greaterThanOrEqual" showDropDown="false" showErrorMessage="true" showInputMessage="false" sqref="F19" type="decimal">
      <formula1>0</formula1>
      <formula2>0</formula2>
    </dataValidation>
    <dataValidation allowBlank="true" error="Enter a numeric value within the stated model bounds." errorStyle="stop" errorTitle="Invalid model input" operator="between" showDropDown="false" showErrorMessage="true" showInputMessage="false" sqref="F20" type="decimal">
      <formula1>1</formula1>
      <formula2>10</formula2>
    </dataValidation>
    <dataValidation allowBlank="true" error="Enter a numeric value within the stated model bounds." errorStyle="stop" errorTitle="Invalid model input" operator="between" showDropDown="false" showErrorMessage="true" showInputMessage="false" sqref="F21" type="decimal">
      <formula1>2026</formula1>
      <formula2>2050</formula2>
    </dataValidation>
    <dataValidation allowBlank="true" error="Enter a numeric value within the stated model bounds." errorStyle="stop" errorTitle="Invalid model input" operator="between" showDropDown="false" showErrorMessage="true" showInputMessage="false" sqref="F22" type="decimal">
      <formula1>0</formula1>
      <formula2>0.99</formula2>
    </dataValidation>
    <dataValidation allowBlank="true" error="Enter a numeric value within the stated model bounds." errorStyle="stop" errorTitle="Invalid model input" operator="between" showDropDown="false" showErrorMessage="true" showInputMessage="false" sqref="F23" type="decimal">
      <formula1>0</formula1>
      <formula2>1</formula2>
    </dataValidation>
    <dataValidation allowBlank="true" error="Enter a numeric value within the stated model bounds." errorStyle="stop" errorTitle="Invalid model input" operator="between" showDropDown="false" showErrorMessage="true" showInputMessage="false" sqref="F24" type="decimal">
      <formula1>0</formula1>
      <formula2>1</formula2>
    </dataValidation>
    <dataValidation allowBlank="true" error="Enter a numeric value within the stated model bounds." errorStyle="stop" errorTitle="Invalid model input" operator="between" showDropDown="false" showErrorMessage="true" showInputMessage="false" sqref="F25" type="decimal">
      <formula1>-1</formula1>
      <formula2>1</formula2>
    </dataValidation>
    <dataValidation allowBlank="true" error="Enter a numeric value within the stated model bounds." errorStyle="stop" errorTitle="Invalid model input" operator="greaterThanOrEqual" showDropDown="false" showErrorMessage="true" showInputMessage="false" sqref="F26" type="decimal">
      <formula1>0</formula1>
      <formula2>0</formula2>
    </dataValidation>
    <dataValidation allowBlank="true" error="Enter a numeric value within the stated model bounds." errorStyle="stop" errorTitle="Invalid model input" operator="between" showDropDown="false" showErrorMessage="true" showInputMessage="false" sqref="F27" type="list">
      <formula1>"0,1"</formula1>
      <formula2>0</formula2>
    </dataValidation>
    <dataValidation allowBlank="true" error="Enter a numeric value within the stated model bounds." errorStyle="stop" errorTitle="Invalid model input" operator="between" showDropDown="false" showErrorMessage="true" showInputMessage="false" sqref="F28" type="decimal">
      <formula1>2026</formula1>
      <formula2>2035</formula2>
    </dataValidation>
    <dataValidation allowBlank="true" error="Enter a numeric value within the stated model bounds." errorStyle="stop" errorTitle="Invalid model input" operator="greaterThanOrEqual" showDropDown="false" showErrorMessage="true" showInputMessage="false" sqref="F29" type="decimal">
      <formula1>0</formula1>
      <formula2>0</formula2>
    </dataValidation>
    <dataValidation allowBlank="true" error="Enter a numeric value within the stated model bounds." errorStyle="stop" errorTitle="Invalid model input" operator="between" showDropDown="false" showErrorMessage="true" showInputMessage="false" sqref="F30" type="decimal">
      <formula1>1</formula1>
      <formula2>10</formula2>
    </dataValidation>
    <dataValidation allowBlank="true" error="Enter a numeric value within the stated model bounds." errorStyle="stop" errorTitle="Invalid model input" operator="between" showDropDown="false" showErrorMessage="true" showInputMessage="false" sqref="F31" type="decimal">
      <formula1>2026</formula1>
      <formula2>2050</formula2>
    </dataValidation>
    <dataValidation allowBlank="true" error="Enter a numeric value within the stated model bounds." errorStyle="stop" errorTitle="Invalid model input" operator="between" showDropDown="false" showErrorMessage="true" showInputMessage="false" sqref="F32" type="decimal">
      <formula1>0</formula1>
      <formula2>0.99</formula2>
    </dataValidation>
    <dataValidation allowBlank="true" error="Enter a numeric value within the stated model bounds." errorStyle="stop" errorTitle="Invalid model input" operator="between" showDropDown="false" showErrorMessage="true" showInputMessage="false" sqref="F33" type="decimal">
      <formula1>0</formula1>
      <formula2>1</formula2>
    </dataValidation>
    <dataValidation allowBlank="true" error="Enter a numeric value within the stated model bounds." errorStyle="stop" errorTitle="Invalid model input" operator="between" showDropDown="false" showErrorMessage="true" showInputMessage="false" sqref="F34" type="decimal">
      <formula1>0</formula1>
      <formula2>1</formula2>
    </dataValidation>
    <dataValidation allowBlank="true" error="Enter a numeric value within the stated model bounds." errorStyle="stop" errorTitle="Invalid model input" operator="between" showDropDown="false" showErrorMessage="true" showInputMessage="false" sqref="F35" type="decimal">
      <formula1>-1</formula1>
      <formula2>1</formula2>
    </dataValidation>
    <dataValidation allowBlank="true" error="Enter a numeric value within the stated model bounds." errorStyle="stop" errorTitle="Invalid model input" operator="greaterThanOrEqual" showDropDown="false" showErrorMessage="true" showInputMessage="false" sqref="F36" type="decimal">
      <formula1>0</formula1>
      <formula2>0</formula2>
    </dataValidation>
    <dataValidation allowBlank="true" error="Enter a numeric value within the stated model bounds." errorStyle="stop" errorTitle="Invalid model input" operator="between" showDropDown="false" showErrorMessage="true" showInputMessage="false" sqref="F37" type="list">
      <formula1>"0,1"</formula1>
      <formula2>0</formula2>
    </dataValidation>
    <dataValidation allowBlank="true" error="Enter a numeric value within the stated model bounds." errorStyle="stop" errorTitle="Invalid model input" operator="between" showDropDown="false" showErrorMessage="true" showInputMessage="false" sqref="F38" type="decimal">
      <formula1>2026</formula1>
      <formula2>2035</formula2>
    </dataValidation>
    <dataValidation allowBlank="true" error="Enter a numeric value within the stated model bounds." errorStyle="stop" errorTitle="Invalid model input" operator="greaterThanOrEqual" showDropDown="false" showErrorMessage="true" showInputMessage="false" sqref="F39" type="decimal">
      <formula1>0</formula1>
      <formula2>0</formula2>
    </dataValidation>
    <dataValidation allowBlank="true" error="Enter a numeric value within the stated model bounds." errorStyle="stop" errorTitle="Invalid model input" operator="between" showDropDown="false" showErrorMessage="true" showInputMessage="false" sqref="F40" type="decimal">
      <formula1>1</formula1>
      <formula2>10</formula2>
    </dataValidation>
    <dataValidation allowBlank="true" error="Enter a numeric value within the stated model bounds." errorStyle="stop" errorTitle="Invalid model input" operator="between" showDropDown="false" showErrorMessage="true" showInputMessage="false" sqref="F41" type="decimal">
      <formula1>2026</formula1>
      <formula2>2050</formula2>
    </dataValidation>
    <dataValidation allowBlank="true" error="Enter a numeric value within the stated model bounds." errorStyle="stop" errorTitle="Invalid model input" operator="between" showDropDown="false" showErrorMessage="true" showInputMessage="false" sqref="F42" type="decimal">
      <formula1>0</formula1>
      <formula2>0.99</formula2>
    </dataValidation>
    <dataValidation allowBlank="true" error="Enter a numeric value within the stated model bounds." errorStyle="stop" errorTitle="Invalid model input" operator="between" showDropDown="false" showErrorMessage="true" showInputMessage="false" sqref="F43" type="decimal">
      <formula1>0</formula1>
      <formula2>1</formula2>
    </dataValidation>
    <dataValidation allowBlank="true" error="Enter a numeric value within the stated model bounds." errorStyle="stop" errorTitle="Invalid model input" operator="between" showDropDown="false" showErrorMessage="true" showInputMessage="false" sqref="F44" type="decimal">
      <formula1>0</formula1>
      <formula2>1</formula2>
    </dataValidation>
    <dataValidation allowBlank="true" error="Enter a numeric value within the stated model bounds." errorStyle="stop" errorTitle="Invalid model input" operator="between" showDropDown="false" showErrorMessage="true" showInputMessage="false" sqref="F45" type="decimal">
      <formula1>-1</formula1>
      <formula2>1</formula2>
    </dataValidation>
    <dataValidation allowBlank="true" error="Enter a numeric value within the stated model bounds." errorStyle="stop" errorTitle="Invalid model input" operator="greaterThanOrEqual" showDropDown="false" showErrorMessage="true" showInputMessage="false" sqref="F46" type="decimal">
      <formula1>0</formula1>
      <formula2>0</formula2>
    </dataValidation>
    <dataValidation allowBlank="true" error="Enter a numeric value within the stated model bounds." errorStyle="stop" errorTitle="Invalid model input" operator="between" showDropDown="false" showErrorMessage="true" showInputMessage="false" sqref="F47" type="list">
      <formula1>"0,1"</formula1>
      <formula2>0</formula2>
    </dataValidation>
    <dataValidation allowBlank="true" error="Enter a numeric value within the stated model bounds." errorStyle="stop" errorTitle="Invalid model input" operator="between" showDropDown="false" showErrorMessage="true" showInputMessage="false" sqref="F48" type="decimal">
      <formula1>2026</formula1>
      <formula2>2035</formula2>
    </dataValidation>
    <dataValidation allowBlank="true" error="Enter a numeric value within the stated model bounds." errorStyle="stop" errorTitle="Invalid model input" operator="greaterThanOrEqual" showDropDown="false" showErrorMessage="true" showInputMessage="false" sqref="F49" type="decimal">
      <formula1>0</formula1>
      <formula2>0</formula2>
    </dataValidation>
    <dataValidation allowBlank="true" error="Enter a numeric value within the stated model bounds." errorStyle="stop" errorTitle="Invalid model input" operator="between" showDropDown="false" showErrorMessage="true" showInputMessage="false" sqref="F50" type="decimal">
      <formula1>1</formula1>
      <formula2>10</formula2>
    </dataValidation>
    <dataValidation allowBlank="true" error="Enter a numeric value within the stated model bounds." errorStyle="stop" errorTitle="Invalid model input" operator="between" showDropDown="false" showErrorMessage="true" showInputMessage="false" sqref="F51" type="decimal">
      <formula1>2026</formula1>
      <formula2>2050</formula2>
    </dataValidation>
    <dataValidation allowBlank="true" error="Enter a numeric value within the stated model bounds." errorStyle="stop" errorTitle="Invalid model input" operator="between" showDropDown="false" showErrorMessage="true" showInputMessage="false" sqref="F52" type="decimal">
      <formula1>0</formula1>
      <formula2>0.99</formula2>
    </dataValidation>
    <dataValidation allowBlank="true" error="Enter a numeric value within the stated model bounds." errorStyle="stop" errorTitle="Invalid model input" operator="between" showDropDown="false" showErrorMessage="true" showInputMessage="false" sqref="F53" type="decimal">
      <formula1>0</formula1>
      <formula2>1</formula2>
    </dataValidation>
    <dataValidation allowBlank="true" error="Enter a numeric value within the stated model bounds." errorStyle="stop" errorTitle="Invalid model input" operator="between" showDropDown="false" showErrorMessage="true" showInputMessage="false" sqref="F54" type="decimal">
      <formula1>0</formula1>
      <formula2>1</formula2>
    </dataValidation>
    <dataValidation allowBlank="true" error="Enter a numeric value within the stated model bounds." errorStyle="stop" errorTitle="Invalid model input" operator="between" showDropDown="false" showErrorMessage="true" showInputMessage="false" sqref="F55" type="decimal">
      <formula1>-1</formula1>
      <formula2>1</formula2>
    </dataValidation>
    <dataValidation allowBlank="true" error="Enter a numeric value within the stated model bounds." errorStyle="stop" errorTitle="Invalid model input" operator="greaterThanOrEqual" showDropDown="false" showErrorMessage="true" showInputMessage="false" sqref="F56" type="decimal">
      <formula1>0</formula1>
      <formula2>0</formula2>
    </dataValidation>
    <dataValidation allowBlank="true" error="Enter a numeric value within the stated model bounds." errorStyle="stop" errorTitle="Invalid model input" operator="between" showDropDown="false" showErrorMessage="true" showInputMessage="false" sqref="F57" type="list">
      <formula1>"0,1"</formula1>
      <formula2>0</formula2>
    </dataValidation>
    <dataValidation allowBlank="true" error="Enter a numeric value within the stated model bounds." errorStyle="stop" errorTitle="Invalid model input" operator="between" showDropDown="false" showErrorMessage="true" showInputMessage="false" sqref="F58" type="decimal">
      <formula1>2026</formula1>
      <formula2>2035</formula2>
    </dataValidation>
    <dataValidation allowBlank="true" error="Enter a numeric value within the stated model bounds." errorStyle="stop" errorTitle="Invalid model input" operator="greaterThanOrEqual" showDropDown="false" showErrorMessage="true" showInputMessage="false" sqref="F59" type="decimal">
      <formula1>0</formula1>
      <formula2>0</formula2>
    </dataValidation>
    <dataValidation allowBlank="true" error="Enter a numeric value within the stated model bounds." errorStyle="stop" errorTitle="Invalid model input" operator="between" showDropDown="false" showErrorMessage="true" showInputMessage="false" sqref="F60" type="decimal">
      <formula1>1</formula1>
      <formula2>10</formula2>
    </dataValidation>
    <dataValidation allowBlank="true" error="Enter a numeric value within the stated model bounds." errorStyle="stop" errorTitle="Invalid model input" operator="between" showDropDown="false" showErrorMessage="true" showInputMessage="false" sqref="F61" type="decimal">
      <formula1>2026</formula1>
      <formula2>2050</formula2>
    </dataValidation>
    <dataValidation allowBlank="true" error="Enter a numeric value within the stated model bounds." errorStyle="stop" errorTitle="Invalid model input" operator="between" showDropDown="false" showErrorMessage="true" showInputMessage="false" sqref="F62" type="decimal">
      <formula1>0</formula1>
      <formula2>0.99</formula2>
    </dataValidation>
    <dataValidation allowBlank="true" error="Enter a numeric value within the stated model bounds." errorStyle="stop" errorTitle="Invalid model input" operator="between" showDropDown="false" showErrorMessage="true" showInputMessage="false" sqref="F63" type="decimal">
      <formula1>0</formula1>
      <formula2>1</formula2>
    </dataValidation>
    <dataValidation allowBlank="true" error="Enter a numeric value within the stated model bounds." errorStyle="stop" errorTitle="Invalid model input" operator="between" showDropDown="false" showErrorMessage="true" showInputMessage="false" sqref="F64" type="decimal">
      <formula1>0</formula1>
      <formula2>1</formula2>
    </dataValidation>
    <dataValidation allowBlank="true" error="Enter a numeric value within the stated model bounds." errorStyle="stop" errorTitle="Invalid model input" operator="between" showDropDown="false" showErrorMessage="true" showInputMessage="false" sqref="F65" type="decimal">
      <formula1>-1</formula1>
      <formula2>1</formula2>
    </dataValidation>
    <dataValidation allowBlank="true" error="Enter a numeric value within the stated model bounds." errorStyle="stop" errorTitle="Invalid model input" operator="greaterThanOrEqual" showDropDown="false" showErrorMessage="true" showInputMessage="false" sqref="F66" type="decimal">
      <formula1>0</formula1>
      <formula2>0</formula2>
    </dataValidation>
    <dataValidation allowBlank="true" error="Enter a numeric value within the stated model bounds." errorStyle="stop" errorTitle="Invalid model input" operator="between" showDropDown="false" showErrorMessage="true" showInputMessage="false" sqref="F67" type="list">
      <formula1>"0,1"</formula1>
      <formula2>0</formula2>
    </dataValidation>
    <dataValidation allowBlank="true" error="Enter a numeric value within the stated model bounds." errorStyle="stop" errorTitle="Invalid model input" operator="between" showDropDown="false" showErrorMessage="true" showInputMessage="false" sqref="F68" type="decimal">
      <formula1>2026</formula1>
      <formula2>2035</formula2>
    </dataValidation>
    <dataValidation allowBlank="true" error="Enter a numeric value within the stated model bounds." errorStyle="stop" errorTitle="Invalid model input" operator="greaterThanOrEqual" showDropDown="false" showErrorMessage="true" showInputMessage="false" sqref="F69" type="decimal">
      <formula1>0</formula1>
      <formula2>0</formula2>
    </dataValidation>
    <dataValidation allowBlank="true" error="Enter a numeric value within the stated model bounds." errorStyle="stop" errorTitle="Invalid model input" operator="between" showDropDown="false" showErrorMessage="true" showInputMessage="false" sqref="F70" type="decimal">
      <formula1>1</formula1>
      <formula2>10</formula2>
    </dataValidation>
    <dataValidation allowBlank="true" error="Enter a numeric value within the stated model bounds." errorStyle="stop" errorTitle="Invalid model input" operator="between" showDropDown="false" showErrorMessage="true" showInputMessage="false" sqref="F71" type="decimal">
      <formula1>2026</formula1>
      <formula2>2050</formula2>
    </dataValidation>
    <dataValidation allowBlank="true" error="Enter a numeric value within the stated model bounds." errorStyle="stop" errorTitle="Invalid model input" operator="between" showDropDown="false" showErrorMessage="true" showInputMessage="false" sqref="F72" type="decimal">
      <formula1>0</formula1>
      <formula2>0.99</formula2>
    </dataValidation>
    <dataValidation allowBlank="true" error="Enter a numeric value within the stated model bounds." errorStyle="stop" errorTitle="Invalid model input" operator="between" showDropDown="false" showErrorMessage="true" showInputMessage="false" sqref="F73" type="decimal">
      <formula1>0</formula1>
      <formula2>1</formula2>
    </dataValidation>
    <dataValidation allowBlank="true" error="Enter a numeric value within the stated model bounds." errorStyle="stop" errorTitle="Invalid model input" operator="between" showDropDown="false" showErrorMessage="true" showInputMessage="false" sqref="F74" type="decimal">
      <formula1>0</formula1>
      <formula2>1</formula2>
    </dataValidation>
    <dataValidation allowBlank="true" error="Enter a numeric value within the stated model bounds." errorStyle="stop" errorTitle="Invalid model input" operator="between" showDropDown="false" showErrorMessage="true" showInputMessage="false" sqref="F75" type="decimal">
      <formula1>-1</formula1>
      <formula2>1</formula2>
    </dataValidation>
    <dataValidation allowBlank="true" error="Enter a numeric value within the stated model bounds." errorStyle="stop" errorTitle="Invalid model input" operator="greaterThanOrEqual" showDropDown="false" showErrorMessage="true" showInputMessage="false" sqref="F76" type="decimal">
      <formula1>0</formula1>
      <formula2>0</formula2>
    </dataValidation>
    <dataValidation allowBlank="true" error="Enter a numeric value within the stated model bounds." errorStyle="stop" errorTitle="Invalid model input" operator="between" showDropDown="false" showErrorMessage="true" showInputMessage="false" sqref="F77" type="list">
      <formula1>"0,1"</formula1>
      <formula2>0</formula2>
    </dataValidation>
    <dataValidation allowBlank="true" error="Enter a numeric value within the stated model bounds." errorStyle="stop" errorTitle="Invalid model input" operator="between" showDropDown="false" showErrorMessage="true" showInputMessage="false" sqref="F78" type="decimal">
      <formula1>2026</formula1>
      <formula2>2035</formula2>
    </dataValidation>
    <dataValidation allowBlank="true" error="Enter a numeric value within the stated model bounds." errorStyle="stop" errorTitle="Invalid model input" operator="greaterThanOrEqual" showDropDown="false" showErrorMessage="true" showInputMessage="false" sqref="F79" type="decimal">
      <formula1>0</formula1>
      <formula2>0</formula2>
    </dataValidation>
    <dataValidation allowBlank="true" error="Enter a numeric value within the stated model bounds." errorStyle="stop" errorTitle="Invalid model input" operator="between" showDropDown="false" showErrorMessage="true" showInputMessage="false" sqref="F80" type="decimal">
      <formula1>1</formula1>
      <formula2>10</formula2>
    </dataValidation>
    <dataValidation allowBlank="true" error="Enter a numeric value within the stated model bounds." errorStyle="stop" errorTitle="Invalid model input" operator="between" showDropDown="false" showErrorMessage="true" showInputMessage="false" sqref="F81" type="decimal">
      <formula1>2026</formula1>
      <formula2>2050</formula2>
    </dataValidation>
    <dataValidation allowBlank="true" error="Enter a numeric value within the stated model bounds." errorStyle="stop" errorTitle="Invalid model input" operator="between" showDropDown="false" showErrorMessage="true" showInputMessage="false" sqref="F82" type="decimal">
      <formula1>0</formula1>
      <formula2>0.99</formula2>
    </dataValidation>
    <dataValidation allowBlank="true" error="Enter a numeric value within the stated model bounds." errorStyle="stop" errorTitle="Invalid model input" operator="between" showDropDown="false" showErrorMessage="true" showInputMessage="false" sqref="F83" type="decimal">
      <formula1>0</formula1>
      <formula2>1</formula2>
    </dataValidation>
    <dataValidation allowBlank="true" error="Enter a numeric value within the stated model bounds." errorStyle="stop" errorTitle="Invalid model input" operator="between" showDropDown="false" showErrorMessage="true" showInputMessage="false" sqref="F84" type="decimal">
      <formula1>0</formula1>
      <formula2>1</formula2>
    </dataValidation>
    <dataValidation allowBlank="true" error="Enter a numeric value within the stated model bounds." errorStyle="stop" errorTitle="Invalid model input" operator="between" showDropDown="false" showErrorMessage="true" showInputMessage="false" sqref="F85" type="decimal">
      <formula1>-1</formula1>
      <formula2>1</formula2>
    </dataValidation>
    <dataValidation allowBlank="true" error="Enter a numeric value within the stated model bounds." errorStyle="stop" errorTitle="Invalid model input" operator="greaterThanOrEqual" showDropDown="false" showErrorMessage="true" showInputMessage="false" sqref="F86" type="decimal">
      <formula1>0</formula1>
      <formula2>0</formula2>
    </dataValidation>
    <dataValidation allowBlank="true" error="Enter a numeric value within the stated model bounds." errorStyle="stop" errorTitle="Invalid model input" operator="between" showDropDown="false" showErrorMessage="true" showInputMessage="false" sqref="F87" type="list">
      <formula1>"0,1"</formula1>
      <formula2>0</formula2>
    </dataValidation>
    <dataValidation allowBlank="true" error="Enter a numeric value within the stated model bounds." errorStyle="stop" errorTitle="Invalid model input" operator="between" showDropDown="false" showErrorMessage="true" showInputMessage="false" sqref="F88" type="decimal">
      <formula1>2026</formula1>
      <formula2>2035</formula2>
    </dataValidation>
    <dataValidation allowBlank="true" error="Enter a numeric value within the stated model bounds." errorStyle="stop" errorTitle="Invalid model input" operator="greaterThanOrEqual" showDropDown="false" showErrorMessage="true" showInputMessage="false" sqref="F89" type="decimal">
      <formula1>0</formula1>
      <formula2>0</formula2>
    </dataValidation>
    <dataValidation allowBlank="true" error="Enter a numeric value within the stated model bounds." errorStyle="stop" errorTitle="Invalid model input" operator="between" showDropDown="false" showErrorMessage="true" showInputMessage="false" sqref="F90" type="decimal">
      <formula1>1</formula1>
      <formula2>10</formula2>
    </dataValidation>
    <dataValidation allowBlank="true" error="Enter a numeric value within the stated model bounds." errorStyle="stop" errorTitle="Invalid model input" operator="between" showDropDown="false" showErrorMessage="true" showInputMessage="false" sqref="F91" type="decimal">
      <formula1>2026</formula1>
      <formula2>2050</formula2>
    </dataValidation>
    <dataValidation allowBlank="true" error="Enter a numeric value within the stated model bounds." errorStyle="stop" errorTitle="Invalid model input" operator="between" showDropDown="false" showErrorMessage="true" showInputMessage="false" sqref="F92" type="decimal">
      <formula1>0</formula1>
      <formula2>0.99</formula2>
    </dataValidation>
    <dataValidation allowBlank="true" error="Enter a numeric value within the stated model bounds." errorStyle="stop" errorTitle="Invalid model input" operator="between" showDropDown="false" showErrorMessage="true" showInputMessage="false" sqref="F93" type="decimal">
      <formula1>0</formula1>
      <formula2>1</formula2>
    </dataValidation>
    <dataValidation allowBlank="true" error="Enter a numeric value within the stated model bounds." errorStyle="stop" errorTitle="Invalid model input" operator="between" showDropDown="false" showErrorMessage="true" showInputMessage="false" sqref="F94" type="decimal">
      <formula1>0</formula1>
      <formula2>1</formula2>
    </dataValidation>
    <dataValidation allowBlank="true" error="Enter a numeric value within the stated model bounds." errorStyle="stop" errorTitle="Invalid model input" operator="between" showDropDown="false" showErrorMessage="true" showInputMessage="false" sqref="F95" type="decimal">
      <formula1>-1</formula1>
      <formula2>1</formula2>
    </dataValidation>
    <dataValidation allowBlank="true" error="Enter a numeric value within the stated model bounds." errorStyle="stop" errorTitle="Invalid model input" operator="greaterThanOrEqual" showDropDown="false" showErrorMessage="true" showInputMessage="false" sqref="F96" type="decimal">
      <formula1>0</formula1>
      <formula2>0</formula2>
    </dataValidation>
    <dataValidation allowBlank="true" error="Enter a numeric value within the stated model bounds." errorStyle="stop" errorTitle="Invalid model input" operator="between" showDropDown="false" showErrorMessage="true" showInputMessage="false" sqref="F97" type="list">
      <formula1>"0,1"</formula1>
      <formula2>0</formula2>
    </dataValidation>
    <dataValidation allowBlank="true" error="Enter a numeric value within the stated model bounds." errorStyle="stop" errorTitle="Invalid model input" operator="between" showDropDown="false" showErrorMessage="true" showInputMessage="false" sqref="F98" type="decimal">
      <formula1>2026</formula1>
      <formula2>2035</formula2>
    </dataValidation>
    <dataValidation allowBlank="true" error="Enter a numeric value within the stated model bounds." errorStyle="stop" errorTitle="Invalid model input" operator="greaterThanOrEqual" showDropDown="false" showErrorMessage="true" showInputMessage="false" sqref="F99" type="decimal">
      <formula1>0</formula1>
      <formula2>0</formula2>
    </dataValidation>
    <dataValidation allowBlank="true" error="Enter a numeric value within the stated model bounds." errorStyle="stop" errorTitle="Invalid model input" operator="between" showDropDown="false" showErrorMessage="true" showInputMessage="false" sqref="F100" type="decimal">
      <formula1>1</formula1>
      <formula2>10</formula2>
    </dataValidation>
    <dataValidation allowBlank="true" error="Enter a numeric value within the stated model bounds." errorStyle="stop" errorTitle="Invalid model input" operator="between" showDropDown="false" showErrorMessage="true" showInputMessage="false" sqref="F101" type="decimal">
      <formula1>2026</formula1>
      <formula2>2050</formula2>
    </dataValidation>
    <dataValidation allowBlank="true" error="Enter a numeric value within the stated model bounds." errorStyle="stop" errorTitle="Invalid model input" operator="between" showDropDown="false" showErrorMessage="true" showInputMessage="false" sqref="F102" type="decimal">
      <formula1>0</formula1>
      <formula2>0.99</formula2>
    </dataValidation>
    <dataValidation allowBlank="true" error="Enter a numeric value within the stated model bounds." errorStyle="stop" errorTitle="Invalid model input" operator="between" showDropDown="false" showErrorMessage="true" showInputMessage="false" sqref="F103" type="decimal">
      <formula1>0</formula1>
      <formula2>1</formula2>
    </dataValidation>
    <dataValidation allowBlank="true" error="Enter a numeric value within the stated model bounds." errorStyle="stop" errorTitle="Invalid model input" operator="between" showDropDown="false" showErrorMessage="true" showInputMessage="false" sqref="F104" type="decimal">
      <formula1>0</formula1>
      <formula2>1</formula2>
    </dataValidation>
    <dataValidation allowBlank="true" error="Enter a numeric value within the stated model bounds." errorStyle="stop" errorTitle="Invalid model input" operator="between" showDropDown="false" showErrorMessage="true" showInputMessage="false" sqref="F105" type="decimal">
      <formula1>-1</formula1>
      <formula2>1</formula2>
    </dataValidation>
    <dataValidation allowBlank="true" error="Enter a numeric value within the stated model bounds." errorStyle="stop" errorTitle="Invalid model input" operator="greaterThanOrEqual" showDropDown="false" showErrorMessage="true" showInputMessage="false" sqref="F106" type="decimal">
      <formula1>0</formula1>
      <formula2>0</formula2>
    </dataValidation>
    <dataValidation allowBlank="true" error="Enter a numeric value within the stated model bounds." errorStyle="stop" errorTitle="Invalid model input" operator="between" showDropDown="false" showErrorMessage="true" showInputMessage="false" sqref="F107" type="list">
      <formula1>"0,1"</formula1>
      <formula2>0</formula2>
    </dataValidation>
    <dataValidation allowBlank="true" error="Enter a numeric value within the stated model bounds." errorStyle="stop" errorTitle="Invalid model input" operator="between" showDropDown="false" showErrorMessage="true" showInputMessage="false" sqref="F108" type="decimal">
      <formula1>2026</formula1>
      <formula2>2035</formula2>
    </dataValidation>
    <dataValidation allowBlank="true" error="Enter a numeric value within the stated model bounds." errorStyle="stop" errorTitle="Invalid model input" operator="greaterThanOrEqual" showDropDown="false" showErrorMessage="true" showInputMessage="false" sqref="F109" type="decimal">
      <formula1>0</formula1>
      <formula2>0</formula2>
    </dataValidation>
    <dataValidation allowBlank="true" error="Enter a numeric value within the stated model bounds." errorStyle="stop" errorTitle="Invalid model input" operator="between" showDropDown="false" showErrorMessage="true" showInputMessage="false" sqref="F110" type="decimal">
      <formula1>1</formula1>
      <formula2>10</formula2>
    </dataValidation>
    <dataValidation allowBlank="true" error="Enter a numeric value within the stated model bounds." errorStyle="stop" errorTitle="Invalid model input" operator="between" showDropDown="false" showErrorMessage="true" showInputMessage="false" sqref="F111" type="decimal">
      <formula1>2026</formula1>
      <formula2>2050</formula2>
    </dataValidation>
    <dataValidation allowBlank="true" error="Enter a numeric value within the stated model bounds." errorStyle="stop" errorTitle="Invalid model input" operator="between" showDropDown="false" showErrorMessage="true" showInputMessage="false" sqref="F112" type="decimal">
      <formula1>0</formula1>
      <formula2>0.99</formula2>
    </dataValidation>
    <dataValidation allowBlank="true" error="Enter a numeric value within the stated model bounds." errorStyle="stop" errorTitle="Invalid model input" operator="between" showDropDown="false" showErrorMessage="true" showInputMessage="false" sqref="F113" type="decimal">
      <formula1>0</formula1>
      <formula2>1</formula2>
    </dataValidation>
    <dataValidation allowBlank="true" error="Enter a numeric value within the stated model bounds." errorStyle="stop" errorTitle="Invalid model input" operator="between" showDropDown="false" showErrorMessage="true" showInputMessage="false" sqref="F114" type="decimal">
      <formula1>0</formula1>
      <formula2>1</formula2>
    </dataValidation>
    <dataValidation allowBlank="true" error="Enter a numeric value within the stated model bounds." errorStyle="stop" errorTitle="Invalid model input" operator="between" showDropDown="false" showErrorMessage="true" showInputMessage="false" sqref="F115" type="decimal">
      <formula1>-1</formula1>
      <formula2>1</formula2>
    </dataValidation>
    <dataValidation allowBlank="true" error="Enter a numeric value within the stated model bounds." errorStyle="stop" errorTitle="Invalid model input" operator="greaterThanOrEqual" showDropDown="false" showErrorMessage="true" showInputMessage="false" sqref="F116" type="decimal">
      <formula1>0</formula1>
      <formula2>0</formula2>
    </dataValidation>
    <dataValidation allowBlank="true" error="Enter a numeric value within the stated model bounds." errorStyle="stop" errorTitle="Invalid model input" operator="between" showDropDown="false" showErrorMessage="true" showInputMessage="false" sqref="F117" type="list">
      <formula1>"0,1"</formula1>
      <formula2>0</formula2>
    </dataValidation>
    <dataValidation allowBlank="true" error="Enter a numeric value within the stated model bounds." errorStyle="stop" errorTitle="Invalid model input" operator="between" showDropDown="false" showErrorMessage="true" showInputMessage="false" sqref="F118" type="decimal">
      <formula1>2026</formula1>
      <formula2>2035</formula2>
    </dataValidation>
    <dataValidation allowBlank="true" error="Enter a numeric value within the stated model bounds." errorStyle="stop" errorTitle="Invalid model input" operator="greaterThanOrEqual" showDropDown="false" showErrorMessage="true" showInputMessage="false" sqref="F119" type="decimal">
      <formula1>0</formula1>
      <formula2>0</formula2>
    </dataValidation>
    <dataValidation allowBlank="true" error="Enter a numeric value within the stated model bounds." errorStyle="stop" errorTitle="Invalid model input" operator="between" showDropDown="false" showErrorMessage="true" showInputMessage="false" sqref="F120" type="decimal">
      <formula1>1</formula1>
      <formula2>10</formula2>
    </dataValidation>
    <dataValidation allowBlank="true" error="Enter a numeric value within the stated model bounds." errorStyle="stop" errorTitle="Invalid model input" operator="between" showDropDown="false" showErrorMessage="true" showInputMessage="false" sqref="F121" type="decimal">
      <formula1>2026</formula1>
      <formula2>2050</formula2>
    </dataValidation>
    <dataValidation allowBlank="true" error="Enter a numeric value within the stated model bounds." errorStyle="stop" errorTitle="Invalid model input" operator="between" showDropDown="false" showErrorMessage="true" showInputMessage="false" sqref="F122" type="decimal">
      <formula1>0</formula1>
      <formula2>0.99</formula2>
    </dataValidation>
    <dataValidation allowBlank="true" error="Enter a numeric value within the stated model bounds." errorStyle="stop" errorTitle="Invalid model input" operator="between" showDropDown="false" showErrorMessage="true" showInputMessage="false" sqref="F123" type="decimal">
      <formula1>0</formula1>
      <formula2>1</formula2>
    </dataValidation>
    <dataValidation allowBlank="true" error="Enter a numeric value within the stated model bounds." errorStyle="stop" errorTitle="Invalid model input" operator="between" showDropDown="false" showErrorMessage="true" showInputMessage="false" sqref="F124" type="decimal">
      <formula1>0</formula1>
      <formula2>1</formula2>
    </dataValidation>
    <dataValidation allowBlank="true" error="Enter a numeric value within the stated model bounds." errorStyle="stop" errorTitle="Invalid model input" operator="between" showDropDown="false" showErrorMessage="true" showInputMessage="false" sqref="F125" type="decimal">
      <formula1>-1</formula1>
      <formula2>1</formula2>
    </dataValidation>
    <dataValidation allowBlank="true" error="Enter a numeric value within the stated model bounds." errorStyle="stop" errorTitle="Invalid model input" operator="greaterThanOrEqual" showDropDown="false" showErrorMessage="true" showInputMessage="false" sqref="F126" type="decimal">
      <formula1>0</formula1>
      <formula2>0</formula2>
    </dataValidation>
    <dataValidation allowBlank="true" error="Enter a numeric value within the stated model bounds." errorStyle="stop" errorTitle="Invalid model input" operator="between" showDropDown="false" showErrorMessage="true" showInputMessage="false" sqref="F127" type="list">
      <formula1>"0,1"</formula1>
      <formula2>0</formula2>
    </dataValidation>
    <dataValidation allowBlank="true" error="Enter a numeric value within the stated model bounds." errorStyle="stop" errorTitle="Invalid model input" operator="between" showDropDown="false" showErrorMessage="true" showInputMessage="false" sqref="F128" type="decimal">
      <formula1>2026</formula1>
      <formula2>2035</formula2>
    </dataValidation>
    <dataValidation allowBlank="true" error="Enter a numeric value within the stated model bounds." errorStyle="stop" errorTitle="Invalid model input" operator="greaterThanOrEqual" showDropDown="false" showErrorMessage="true" showInputMessage="false" sqref="F129" type="decimal">
      <formula1>0</formula1>
      <formula2>0</formula2>
    </dataValidation>
    <dataValidation allowBlank="true" error="Enter a numeric value within the stated model bounds." errorStyle="stop" errorTitle="Invalid model input" operator="between" showDropDown="false" showErrorMessage="true" showInputMessage="false" sqref="F130" type="decimal">
      <formula1>1</formula1>
      <formula2>10</formula2>
    </dataValidation>
    <dataValidation allowBlank="true" error="Enter a numeric value within the stated model bounds." errorStyle="stop" errorTitle="Invalid model input" operator="between" showDropDown="false" showErrorMessage="true" showInputMessage="false" sqref="F131" type="decimal">
      <formula1>2026</formula1>
      <formula2>2050</formula2>
    </dataValidation>
    <dataValidation allowBlank="true" error="Enter a numeric value within the stated model bounds." errorStyle="stop" errorTitle="Invalid model input" operator="between" showDropDown="false" showErrorMessage="true" showInputMessage="false" sqref="F132" type="decimal">
      <formula1>0</formula1>
      <formula2>0.99</formula2>
    </dataValidation>
    <dataValidation allowBlank="true" error="Enter a numeric value within the stated model bounds." errorStyle="stop" errorTitle="Invalid model input" operator="between" showDropDown="false" showErrorMessage="true" showInputMessage="false" sqref="F133" type="decimal">
      <formula1>0</formula1>
      <formula2>1</formula2>
    </dataValidation>
    <dataValidation allowBlank="true" error="Enter a numeric value within the stated model bounds." errorStyle="stop" errorTitle="Invalid model input" operator="between" showDropDown="false" showErrorMessage="true" showInputMessage="false" sqref="F134" type="decimal">
      <formula1>0</formula1>
      <formula2>1</formula2>
    </dataValidation>
    <dataValidation allowBlank="true" error="Enter a numeric value within the stated model bounds." errorStyle="stop" errorTitle="Invalid model input" operator="between" showDropDown="false" showErrorMessage="true" showInputMessage="false" sqref="F135" type="decimal">
      <formula1>-1</formula1>
      <formula2>1</formula2>
    </dataValidation>
    <dataValidation allowBlank="true" error="Enter a numeric value within the stated model bounds." errorStyle="stop" errorTitle="Invalid model input" operator="greaterThanOrEqual" showDropDown="false" showErrorMessage="true" showInputMessage="false" sqref="F136" type="decimal">
      <formula1>0</formula1>
      <formula2>0</formula2>
    </dataValidation>
    <dataValidation allowBlank="true" error="Enter a numeric value within the stated model bounds." errorStyle="stop" errorTitle="Invalid model input" operator="between" showDropDown="false" showErrorMessage="true" showInputMessage="false" sqref="F137" type="list">
      <formula1>"0,1"</formula1>
      <formula2>0</formula2>
    </dataValidation>
    <dataValidation allowBlank="true" error="Enter a numeric value within the stated model bounds." errorStyle="stop" errorTitle="Invalid model input" operator="between" showDropDown="false" showErrorMessage="true" showInputMessage="false" sqref="F138" type="decimal">
      <formula1>2026</formula1>
      <formula2>2035</formula2>
    </dataValidation>
    <dataValidation allowBlank="true" error="Enter a numeric value within the stated model bounds." errorStyle="stop" errorTitle="Invalid model input" operator="greaterThanOrEqual" showDropDown="false" showErrorMessage="true" showInputMessage="false" sqref="F139" type="decimal">
      <formula1>0</formula1>
      <formula2>0</formula2>
    </dataValidation>
    <dataValidation allowBlank="true" error="Enter a numeric value within the stated model bounds." errorStyle="stop" errorTitle="Invalid model input" operator="between" showDropDown="false" showErrorMessage="true" showInputMessage="false" sqref="F140" type="decimal">
      <formula1>1</formula1>
      <formula2>10</formula2>
    </dataValidation>
    <dataValidation allowBlank="true" error="Enter a numeric value within the stated model bounds." errorStyle="stop" errorTitle="Invalid model input" operator="between" showDropDown="false" showErrorMessage="true" showInputMessage="false" sqref="F141" type="decimal">
      <formula1>2026</formula1>
      <formula2>2050</formula2>
    </dataValidation>
    <dataValidation allowBlank="true" error="Enter a numeric value within the stated model bounds." errorStyle="stop" errorTitle="Invalid model input" operator="between" showDropDown="false" showErrorMessage="true" showInputMessage="false" sqref="F142" type="decimal">
      <formula1>0</formula1>
      <formula2>0.99</formula2>
    </dataValidation>
    <dataValidation allowBlank="true" error="Enter a numeric value within the stated model bounds." errorStyle="stop" errorTitle="Invalid model input" operator="between" showDropDown="false" showErrorMessage="true" showInputMessage="false" sqref="F143" type="decimal">
      <formula1>0</formula1>
      <formula2>1</formula2>
    </dataValidation>
    <dataValidation allowBlank="true" error="Enter a numeric value within the stated model bounds." errorStyle="stop" errorTitle="Invalid model input" operator="between" showDropDown="false" showErrorMessage="true" showInputMessage="false" sqref="F144" type="decimal">
      <formula1>0</formula1>
      <formula2>1</formula2>
    </dataValidation>
    <dataValidation allowBlank="true" error="Enter a numeric value within the stated model bounds." errorStyle="stop" errorTitle="Invalid model input" operator="between" showDropDown="false" showErrorMessage="true" showInputMessage="false" sqref="F145" type="decimal">
      <formula1>-1</formula1>
      <formula2>1</formula2>
    </dataValidation>
    <dataValidation allowBlank="true" error="Enter a numeric value within the stated model bounds." errorStyle="stop" errorTitle="Invalid model input" operator="greaterThanOrEqual" showDropDown="false" showErrorMessage="true" showInputMessage="false" sqref="F146" type="decimal">
      <formula1>0</formula1>
      <formula2>0</formula2>
    </dataValidation>
    <dataValidation allowBlank="true" error="Enter a numeric value within the stated model bounds." errorStyle="stop" errorTitle="Invalid model input" operator="between" showDropDown="false" showErrorMessage="true" showInputMessage="false" sqref="F147" type="list">
      <formula1>"0,1"</formula1>
      <formula2>0</formula2>
    </dataValidation>
    <dataValidation allowBlank="true" error="Enter a numeric value within the stated model bounds." errorStyle="stop" errorTitle="Invalid model input" operator="between" showDropDown="false" showErrorMessage="true" showInputMessage="false" sqref="F148" type="decimal">
      <formula1>2026</formula1>
      <formula2>2035</formula2>
    </dataValidation>
    <dataValidation allowBlank="true" error="Enter a numeric value within the stated model bounds." errorStyle="stop" errorTitle="Invalid model input" operator="greaterThanOrEqual" showDropDown="false" showErrorMessage="true" showInputMessage="false" sqref="F149" type="decimal">
      <formula1>0</formula1>
      <formula2>0</formula2>
    </dataValidation>
    <dataValidation allowBlank="true" error="Enter a numeric value within the stated model bounds." errorStyle="stop" errorTitle="Invalid model input" operator="between" showDropDown="false" showErrorMessage="true" showInputMessage="false" sqref="F150" type="decimal">
      <formula1>1</formula1>
      <formula2>10</formula2>
    </dataValidation>
    <dataValidation allowBlank="true" error="Enter a numeric value within the stated model bounds." errorStyle="stop" errorTitle="Invalid model input" operator="between" showDropDown="false" showErrorMessage="true" showInputMessage="false" sqref="F151" type="decimal">
      <formula1>2026</formula1>
      <formula2>2050</formula2>
    </dataValidation>
    <dataValidation allowBlank="true" error="Enter a numeric value within the stated model bounds." errorStyle="stop" errorTitle="Invalid model input" operator="between" showDropDown="false" showErrorMessage="true" showInputMessage="false" sqref="F152" type="decimal">
      <formula1>0</formula1>
      <formula2>0.99</formula2>
    </dataValidation>
    <dataValidation allowBlank="true" error="Enter a numeric value within the stated model bounds." errorStyle="stop" errorTitle="Invalid model input" operator="between" showDropDown="false" showErrorMessage="true" showInputMessage="false" sqref="F153" type="decimal">
      <formula1>0</formula1>
      <formula2>1</formula2>
    </dataValidation>
    <dataValidation allowBlank="true" error="Enter a numeric value within the stated model bounds." errorStyle="stop" errorTitle="Invalid model input" operator="between" showDropDown="false" showErrorMessage="true" showInputMessage="false" sqref="F154" type="decimal">
      <formula1>0</formula1>
      <formula2>1</formula2>
    </dataValidation>
    <dataValidation allowBlank="true" error="Enter a numeric value within the stated model bounds." errorStyle="stop" errorTitle="Invalid model input" operator="between" showDropDown="false" showErrorMessage="true" showInputMessage="false" sqref="F155" type="decimal">
      <formula1>-1</formula1>
      <formula2>1</formula2>
    </dataValidation>
    <dataValidation allowBlank="true" error="Enter a numeric value within the stated model bounds." errorStyle="stop" errorTitle="Invalid model input" operator="greaterThanOrEqual" showDropDown="false" showErrorMessage="true" showInputMessage="false" sqref="F156" type="decimal">
      <formula1>0</formula1>
      <formula2>0</formula2>
    </dataValidation>
    <dataValidation allowBlank="true" error="Enter a numeric value within the stated model bounds." errorStyle="stop" errorTitle="Invalid model input" operator="between" showDropDown="false" showErrorMessage="true" showInputMessage="false" sqref="F157" type="list">
      <formula1>"0,1"</formula1>
      <formula2>0</formula2>
    </dataValidation>
    <dataValidation allowBlank="true" error="Enter a numeric value within the stated model bounds." errorStyle="stop" errorTitle="Invalid model input" operator="between" showDropDown="false" showErrorMessage="true" showInputMessage="false" sqref="F158" type="decimal">
      <formula1>-1000000000000</formula1>
      <formula2>1000000000000</formula2>
    </dataValidation>
    <dataValidation allowBlank="true" error="Enter a numeric value within the stated model bounds." errorStyle="stop" errorTitle="Invalid model input" operator="between" showDropDown="false" showErrorMessage="true" showInputMessage="false" sqref="F159" type="list">
      <formula1>"0,1"</formula1>
      <formula2>0</formula2>
    </dataValidation>
    <dataValidation allowBlank="true" error="Enter a numeric value within the stated model bounds." errorStyle="stop" errorTitle="Invalid model input" operator="between" showDropDown="false" showErrorMessage="true" showInputMessage="false" sqref="F160" type="decimal">
      <formula1>-1000000000000</formula1>
      <formula2>1000000000000</formula2>
    </dataValidation>
    <dataValidation allowBlank="true" error="Enter a numeric value within the stated model bounds." errorStyle="stop" errorTitle="Invalid model input" operator="between" showDropDown="false" showErrorMessage="true" showInputMessage="false" sqref="F161" type="list">
      <formula1>"0,1"</formula1>
      <formula2>0</formula2>
    </dataValidation>
    <dataValidation allowBlank="true" error="Enter a numeric value within the stated model bounds." errorStyle="stop" errorTitle="Invalid model input" operator="between" showDropDown="false" showErrorMessage="true" showInputMessage="false" sqref="F162" type="decimal">
      <formula1>-1000000000000</formula1>
      <formula2>1000000000000</formula2>
    </dataValidation>
    <dataValidation allowBlank="true" error="Enter a numeric value within the stated model bounds." errorStyle="stop" errorTitle="Invalid model input" operator="between" showDropDown="false" showErrorMessage="true" showInputMessage="false" sqref="F163" type="list">
      <formula1>"0,1"</formula1>
      <formula2>0</formula2>
    </dataValidation>
    <dataValidation allowBlank="true" error="Enter a numeric value within the stated model bounds." errorStyle="stop" errorTitle="Invalid model input" operator="between" showDropDown="false" showErrorMessage="true" showInputMessage="false" sqref="F164" type="decimal">
      <formula1>-1000000000000</formula1>
      <formula2>1000000000000</formula2>
    </dataValidation>
    <dataValidation allowBlank="true" error="Enter a numeric value within the stated model bounds." errorStyle="stop" errorTitle="Invalid model input" operator="between" showDropDown="false" showErrorMessage="true" showInputMessage="false" sqref="F165" type="list">
      <formula1>"0,1"</formula1>
      <formula2>0</formula2>
    </dataValidation>
    <dataValidation allowBlank="true" error="Enter a numeric value within the stated model bounds." errorStyle="stop" errorTitle="Invalid model input" operator="between" showDropDown="false" showErrorMessage="true" showInputMessage="false" sqref="F166" type="decimal">
      <formula1>-1000000000000</formula1>
      <formula2>1000000000000</formula2>
    </dataValidation>
    <dataValidation allowBlank="true" error="Enter a numeric value within the stated model bounds." errorStyle="stop" errorTitle="Invalid model input" operator="between" showDropDown="false" showErrorMessage="true" showInputMessage="false" sqref="F167" type="list">
      <formula1>"0,1"</formula1>
      <formula2>0</formula2>
    </dataValidation>
    <dataValidation allowBlank="true" error="Enter a numeric value within the stated model bounds." errorStyle="stop" errorTitle="Invalid model input" operator="between" showDropDown="false" showErrorMessage="true" showInputMessage="false" sqref="F168" type="decimal">
      <formula1>-1000000000000</formula1>
      <formula2>1000000000000</formula2>
    </dataValidation>
    <dataValidation allowBlank="true" error="Enter a numeric value within the stated model bounds." errorStyle="stop" errorTitle="Invalid model input" operator="between" showDropDown="false" showErrorMessage="true" showInputMessage="false" sqref="F169" type="list">
      <formula1>"0,1"</formula1>
      <formula2>0</formula2>
    </dataValidation>
    <dataValidation allowBlank="true" error="Enter a numeric value within the stated model bounds." errorStyle="stop" errorTitle="Invalid model input" operator="between" showDropDown="false" showErrorMessage="true" showInputMessage="false" sqref="F170" type="decimal">
      <formula1>-1000000000000</formula1>
      <formula2>1000000000000</formula2>
    </dataValidation>
    <dataValidation allowBlank="true" error="Enter a numeric value within the stated model bounds." errorStyle="stop" errorTitle="Invalid model input" operator="between" showDropDown="false" showErrorMessage="true" showInputMessage="false" sqref="F171" type="list">
      <formula1>"0,1"</formula1>
      <formula2>0</formula2>
    </dataValidation>
    <dataValidation allowBlank="true" error="Enter a numeric value within the stated model bounds." errorStyle="stop" errorTitle="Invalid model input" operator="between" showDropDown="false" showErrorMessage="true" showInputMessage="false" sqref="F172" type="decimal">
      <formula1>-1000000000000</formula1>
      <formula2>1000000000000</formula2>
    </dataValidation>
    <dataValidation allowBlank="true" error="Enter a numeric value within the stated model bounds." errorStyle="stop" errorTitle="Invalid model input" operator="between" showDropDown="false" showErrorMessage="true" showInputMessage="false" sqref="F173" type="list">
      <formula1>"0,1"</formula1>
      <formula2>0</formula2>
    </dataValidation>
    <dataValidation allowBlank="true" error="Enter a numeric value within the stated model bounds." errorStyle="stop" errorTitle="Invalid model input" operator="between" showDropDown="false" showErrorMessage="true" showInputMessage="false" sqref="F174" type="decimal">
      <formula1>-1000000000000</formula1>
      <formula2>1000000000000</formula2>
    </dataValidation>
    <dataValidation allowBlank="true" error="Enter a numeric value within the stated model bounds." errorStyle="stop" errorTitle="Invalid model input" operator="between" showDropDown="false" showErrorMessage="true" showInputMessage="false" sqref="F175" type="list">
      <formula1>"0,1"</formula1>
      <formula2>0</formula2>
    </dataValidation>
    <dataValidation allowBlank="true" error="Enter a numeric value within the stated model bounds." errorStyle="stop" errorTitle="Invalid model input" operator="between" showDropDown="false" showErrorMessage="true" showInputMessage="false" sqref="F176" type="decimal">
      <formula1>-1000000000000</formula1>
      <formula2>1000000000000</formula2>
    </dataValidation>
    <dataValidation allowBlank="true" error="Enter a numeric value within the stated model bounds." errorStyle="stop" errorTitle="Invalid model input" operator="between" showDropDown="false" showErrorMessage="true" showInputMessage="false" sqref="F177" type="list">
      <formula1>"0,1"</formula1>
      <formula2>0</formula2>
    </dataValidation>
    <dataValidation allowBlank="true" error="Enter a numeric value within the stated model bounds." errorStyle="stop" errorTitle="Invalid model input" operator="between" showDropDown="false" showErrorMessage="true" showInputMessage="false" sqref="F178" type="decimal">
      <formula1>-1000000000000</formula1>
      <formula2>1000000000000</formula2>
    </dataValidation>
    <dataValidation allowBlank="true" error="Enter a numeric value within the stated model bounds." errorStyle="stop" errorTitle="Invalid model input" operator="between" showDropDown="false" showErrorMessage="true" showInputMessage="false" sqref="F179" type="list">
      <formula1>"0,1"</formula1>
      <formula2>0</formula2>
    </dataValidation>
    <dataValidation allowBlank="true" error="Enter a numeric value within the stated model bounds." errorStyle="stop" errorTitle="Invalid model input" operator="between" showDropDown="false" showErrorMessage="true" showInputMessage="false" sqref="F180" type="decimal">
      <formula1>-1000000000000</formula1>
      <formula2>1000000000000</formula2>
    </dataValidation>
    <dataValidation allowBlank="true" error="Enter a numeric value within the stated model bounds." errorStyle="stop" errorTitle="Invalid model input" operator="between" showDropDown="false" showErrorMessage="true" showInputMessage="false" sqref="F181" type="list">
      <formula1>"0,1"</formula1>
      <formula2>0</formula2>
    </dataValidation>
    <dataValidation allowBlank="true" error="Enter a numeric value within the stated model bounds." errorStyle="stop" errorTitle="Invalid model input" operator="between" showDropDown="false" showErrorMessage="true" showInputMessage="false" sqref="F182" type="decimal">
      <formula1>-1000000000000</formula1>
      <formula2>1000000000000</formula2>
    </dataValidation>
    <dataValidation allowBlank="true" error="Enter a numeric value within the stated model bounds." errorStyle="stop" errorTitle="Invalid model input" operator="between" showDropDown="false" showErrorMessage="true" showInputMessage="false" sqref="F183" type="list">
      <formula1>"0,1"</formula1>
      <formula2>0</formula2>
    </dataValidation>
    <dataValidation allowBlank="true" error="Enter a numeric value within the stated model bounds." errorStyle="stop" errorTitle="Invalid model input" operator="between" showDropDown="false" showErrorMessage="true" showInputMessage="false" sqref="F184" type="decimal">
      <formula1>-1000000000000</formula1>
      <formula2>1000000000000</formula2>
    </dataValidation>
    <dataValidation allowBlank="true" error="Enter a numeric value within the stated model bounds." errorStyle="stop" errorTitle="Invalid model input" operator="between" showDropDown="false" showErrorMessage="true" showInputMessage="false" sqref="F185" type="list">
      <formula1>"0,1"</formula1>
      <formula2>0</formula2>
    </dataValidation>
    <dataValidation allowBlank="true" error="Enter a numeric value within the stated model bounds." errorStyle="stop" errorTitle="Invalid model input" operator="between" showDropDown="false" showErrorMessage="true" showInputMessage="false" sqref="F186" type="decimal">
      <formula1>-1000000000000</formula1>
      <formula2>1000000000000</formula2>
    </dataValidation>
    <dataValidation allowBlank="true" error="Enter a numeric value within the stated model bounds." errorStyle="stop" errorTitle="Invalid model input" operator="between" showDropDown="false" showErrorMessage="true" showInputMessage="false" sqref="F187" type="list">
      <formula1>"0,1"</formula1>
      <formula2>0</formula2>
    </dataValidation>
    <dataValidation allowBlank="true" error="Enter a numeric value within the stated model bounds." errorStyle="stop" errorTitle="Invalid model input" operator="between" showDropDown="false" showErrorMessage="true" showInputMessage="false" sqref="F188" type="decimal">
      <formula1>-1000000000000</formula1>
      <formula2>1000000000000</formula2>
    </dataValidation>
    <dataValidation allowBlank="true" error="Enter a numeric value within the stated model bounds." errorStyle="stop" errorTitle="Invalid model input" operator="between" showDropDown="false" showErrorMessage="true" showInputMessage="false" sqref="F189" type="list">
      <formula1>"0,1"</formula1>
      <formula2>0</formula2>
    </dataValidation>
    <dataValidation allowBlank="true" error="Enter a numeric value within the stated model bounds." errorStyle="stop" errorTitle="Invalid model input" operator="between" showDropDown="false" showErrorMessage="true" showInputMessage="false" sqref="F190" type="decimal">
      <formula1>-1000000000000</formula1>
      <formula2>1000000000000</formula2>
    </dataValidation>
    <dataValidation allowBlank="true" error="Enter a numeric value within the stated model bounds." errorStyle="stop" errorTitle="Invalid model input" operator="between" showDropDown="false" showErrorMessage="true" showInputMessage="false" sqref="F191" type="list">
      <formula1>"0,1"</formula1>
      <formula2>0</formula2>
    </dataValidation>
    <dataValidation allowBlank="true" error="Enter a numeric value within the stated model bounds." errorStyle="stop" errorTitle="Invalid model input" operator="between" showDropDown="false" showErrorMessage="true" showInputMessage="false" sqref="F192" type="decimal">
      <formula1>-1000000000000</formula1>
      <formula2>1000000000000</formula2>
    </dataValidation>
    <dataValidation allowBlank="true" error="Enter a numeric value within the stated model bounds." errorStyle="stop" errorTitle="Invalid model input" operator="between" showDropDown="false" showErrorMessage="true" showInputMessage="false" sqref="F193" type="decimal">
      <formula1>-1000000000000</formula1>
      <formula2>1000000000000</formula2>
    </dataValidation>
    <dataValidation allowBlank="true" error="Enter a numeric value within the stated model bounds." errorStyle="stop" errorTitle="Invalid model input" operator="between" showDropDown="false" showErrorMessage="true" showInputMessage="false" sqref="F194" type="decimal">
      <formula1>0</formula1>
      <formula2>0.3</formula2>
    </dataValidation>
    <dataValidation allowBlank="true" error="Enter a numeric value within the stated model bounds." errorStyle="stop" errorTitle="Invalid model input" operator="between" showDropDown="false" showErrorMessage="true" showInputMessage="false" sqref="F195" type="decimal">
      <formula1>0</formula1>
      <formula2>0.6</formula2>
    </dataValidation>
    <dataValidation allowBlank="true" error="Enter a numeric value within the stated model bounds." errorStyle="stop" errorTitle="Invalid model input" operator="between" showDropDown="false" showErrorMessage="true" showInputMessage="false" sqref="F196" type="decimal">
      <formula1>0</formula1>
      <formula2>0.140493839639222</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3" min="3" style="0" width="20"/>
    <col collapsed="false" customWidth="true" hidden="false" outlineLevel="0" max="4" min="4" style="0" width="18"/>
    <col collapsed="false" customWidth="true" hidden="false" outlineLevel="0" max="5" min="5" style="0" width="14"/>
    <col collapsed="false" customWidth="true" hidden="false" outlineLevel="0" max="6" min="6" style="0" width="16"/>
    <col collapsed="false" customWidth="true" hidden="false" outlineLevel="0" max="7" min="7" style="0" width="64"/>
    <col collapsed="false" customWidth="true" hidden="false" outlineLevel="0" max="8" min="8" style="0" width="28"/>
    <col collapsed="false" customWidth="true" hidden="false" outlineLevel="0" max="9" min="9" style="0" width="36"/>
  </cols>
  <sheetData>
    <row r="1" customFormat="false" ht="19.7" hidden="false" customHeight="false" outlineLevel="0" collapsed="false">
      <c r="A1" s="1" t="s">
        <v>566</v>
      </c>
      <c r="B1" s="1"/>
      <c r="C1" s="1"/>
      <c r="D1" s="1"/>
      <c r="E1" s="1"/>
      <c r="F1" s="1"/>
      <c r="G1" s="1"/>
      <c r="H1" s="1"/>
      <c r="I1" s="1"/>
    </row>
    <row r="2" customFormat="false" ht="15" hidden="false" customHeight="false" outlineLevel="0" collapsed="false">
      <c r="A2" s="41" t="s">
        <v>567</v>
      </c>
      <c r="B2" s="41"/>
      <c r="C2" s="41"/>
      <c r="D2" s="41"/>
      <c r="E2" s="41"/>
      <c r="F2" s="41"/>
      <c r="G2" s="41"/>
      <c r="H2" s="41"/>
      <c r="I2" s="41"/>
    </row>
    <row r="4" customFormat="false" ht="15" hidden="false" customHeight="false" outlineLevel="0" collapsed="false">
      <c r="A4" s="44" t="s">
        <v>145</v>
      </c>
      <c r="B4" s="44" t="s">
        <v>146</v>
      </c>
      <c r="C4" s="44" t="s">
        <v>568</v>
      </c>
      <c r="D4" s="44" t="s">
        <v>569</v>
      </c>
      <c r="E4" s="44" t="s">
        <v>147</v>
      </c>
      <c r="F4" s="44" t="s">
        <v>148</v>
      </c>
      <c r="G4" s="44" t="s">
        <v>570</v>
      </c>
      <c r="H4" s="44" t="s">
        <v>571</v>
      </c>
      <c r="I4" s="44" t="s">
        <v>151</v>
      </c>
    </row>
    <row r="5" customFormat="false" ht="57.45" hidden="false" customHeight="false" outlineLevel="0" collapsed="false">
      <c r="A5" s="45" t="s">
        <v>153</v>
      </c>
      <c r="B5" s="45" t="s">
        <v>154</v>
      </c>
      <c r="C5" s="47" t="str">
        <f aca="false">IF('Input Required'!F6="","INPUT REQUIRED",IF(AND('Input Required'!H6="Yes",'Input Required'!G6=""),"SOURCE REQUIRED",IF(OR(AND('Input Required'!F6&lt;&gt;"",NOT(ISNUMBER('Input Required'!F6))),AND(ISNUMBER('Input Required'!F6),'Input Required'!F6&lt;-0.95),AND(ISNUMBER('Input Required'!F6),'Input Required'!F6&gt;2)),"INPUT ERROR","READY")))</f>
        <v>INPUT REQUIRED</v>
      </c>
      <c r="D5" s="45" t="s">
        <v>572</v>
      </c>
      <c r="E5" s="45" t="s">
        <v>155</v>
      </c>
      <c r="F5" s="45" t="s">
        <v>156</v>
      </c>
      <c r="G5" s="45" t="s">
        <v>157</v>
      </c>
      <c r="H5" s="45" t="s">
        <v>573</v>
      </c>
      <c r="I5" s="47" t="n">
        <f aca="false">'Input Required'!G6</f>
        <v>0</v>
      </c>
    </row>
    <row r="6" customFormat="false" ht="57.45" hidden="false" customHeight="false" outlineLevel="0" collapsed="false">
      <c r="A6" s="45" t="s">
        <v>153</v>
      </c>
      <c r="B6" s="45" t="s">
        <v>154</v>
      </c>
      <c r="C6" s="47" t="str">
        <f aca="false">IF('Input Required'!F7="","INPUT REQUIRED",IF(AND('Input Required'!H7="Yes",'Input Required'!G7=""),"SOURCE REQUIRED",IF(OR(AND('Input Required'!F7&lt;&gt;"",NOT(ISNUMBER('Input Required'!F7))),AND(ISNUMBER('Input Required'!F7),'Input Required'!F7&lt;-0.95),AND(ISNUMBER('Input Required'!F7),'Input Required'!F7&gt;2)),"INPUT ERROR","READY")))</f>
        <v>INPUT REQUIRED</v>
      </c>
      <c r="D6" s="45" t="s">
        <v>572</v>
      </c>
      <c r="E6" s="45" t="s">
        <v>159</v>
      </c>
      <c r="F6" s="45" t="s">
        <v>156</v>
      </c>
      <c r="G6" s="45" t="s">
        <v>160</v>
      </c>
      <c r="H6" s="45" t="s">
        <v>574</v>
      </c>
      <c r="I6" s="47" t="n">
        <f aca="false">'Input Required'!G7</f>
        <v>0</v>
      </c>
    </row>
    <row r="7" customFormat="false" ht="57.45" hidden="false" customHeight="false" outlineLevel="0" collapsed="false">
      <c r="A7" s="45" t="s">
        <v>153</v>
      </c>
      <c r="B7" s="45" t="s">
        <v>154</v>
      </c>
      <c r="C7" s="47" t="str">
        <f aca="false">IF('Input Required'!F8="","INPUT REQUIRED",IF(AND('Input Required'!H8="Yes",'Input Required'!G8=""),"SOURCE REQUIRED",IF(OR(AND('Input Required'!F8&lt;&gt;"",NOT(ISNUMBER('Input Required'!F8))),AND(ISNUMBER('Input Required'!F8),'Input Required'!F8&lt;-0.95),AND(ISNUMBER('Input Required'!F8),'Input Required'!F8&gt;2)),"INPUT ERROR","READY")))</f>
        <v>INPUT REQUIRED</v>
      </c>
      <c r="D7" s="45" t="s">
        <v>572</v>
      </c>
      <c r="E7" s="45" t="s">
        <v>161</v>
      </c>
      <c r="F7" s="45" t="s">
        <v>156</v>
      </c>
      <c r="G7" s="45" t="s">
        <v>162</v>
      </c>
      <c r="H7" s="45" t="s">
        <v>575</v>
      </c>
      <c r="I7" s="47" t="n">
        <f aca="false">'Input Required'!G8</f>
        <v>0</v>
      </c>
    </row>
    <row r="8" customFormat="false" ht="57.45" hidden="false" customHeight="false" outlineLevel="0" collapsed="false">
      <c r="A8" s="45" t="s">
        <v>153</v>
      </c>
      <c r="B8" s="45" t="s">
        <v>154</v>
      </c>
      <c r="C8" s="47" t="str">
        <f aca="false">IF('Input Required'!F9="","INPUT REQUIRED",IF(AND('Input Required'!H9="Yes",'Input Required'!G9=""),"SOURCE REQUIRED",IF(OR(AND('Input Required'!F9&lt;&gt;"",NOT(ISNUMBER('Input Required'!F9))),AND(ISNUMBER('Input Required'!F9),'Input Required'!F9&lt;-0.95),AND(ISNUMBER('Input Required'!F9),'Input Required'!F9&gt;2)),"INPUT ERROR","READY")))</f>
        <v>INPUT REQUIRED</v>
      </c>
      <c r="D8" s="45" t="s">
        <v>572</v>
      </c>
      <c r="E8" s="45" t="s">
        <v>163</v>
      </c>
      <c r="F8" s="45" t="s">
        <v>156</v>
      </c>
      <c r="G8" s="45" t="s">
        <v>164</v>
      </c>
      <c r="H8" s="45" t="s">
        <v>576</v>
      </c>
      <c r="I8" s="47" t="n">
        <f aca="false">'Input Required'!G9</f>
        <v>0</v>
      </c>
    </row>
    <row r="9" customFormat="false" ht="57.45" hidden="false" customHeight="false" outlineLevel="0" collapsed="false">
      <c r="A9" s="45" t="s">
        <v>153</v>
      </c>
      <c r="B9" s="45" t="s">
        <v>154</v>
      </c>
      <c r="C9" s="47" t="str">
        <f aca="false">IF('Input Required'!F10="","INPUT REQUIRED",IF(AND('Input Required'!H10="Yes",'Input Required'!G10=""),"SOURCE REQUIRED",IF(OR(AND('Input Required'!F10&lt;&gt;"",NOT(ISNUMBER('Input Required'!F10))),AND(ISNUMBER('Input Required'!F10),'Input Required'!F10&lt;-0.95),AND(ISNUMBER('Input Required'!F10),'Input Required'!F10&gt;2)),"INPUT ERROR","READY")))</f>
        <v>INPUT REQUIRED</v>
      </c>
      <c r="D9" s="45" t="s">
        <v>572</v>
      </c>
      <c r="E9" s="45" t="s">
        <v>165</v>
      </c>
      <c r="F9" s="45" t="s">
        <v>156</v>
      </c>
      <c r="G9" s="45" t="s">
        <v>166</v>
      </c>
      <c r="H9" s="45" t="s">
        <v>577</v>
      </c>
      <c r="I9" s="47" t="n">
        <f aca="false">'Input Required'!G10</f>
        <v>0</v>
      </c>
    </row>
    <row r="10" customFormat="false" ht="57.45" hidden="false" customHeight="false" outlineLevel="0" collapsed="false">
      <c r="A10" s="45" t="s">
        <v>153</v>
      </c>
      <c r="B10" s="45" t="s">
        <v>154</v>
      </c>
      <c r="C10" s="47" t="str">
        <f aca="false">IF('Input Required'!F11="","INPUT REQUIRED",IF(AND('Input Required'!H11="Yes",'Input Required'!G11=""),"SOURCE REQUIRED",IF(OR(AND('Input Required'!F11&lt;&gt;"",NOT(ISNUMBER('Input Required'!F11))),AND(ISNUMBER('Input Required'!F11),'Input Required'!F11&lt;-0.95),AND(ISNUMBER('Input Required'!F11),'Input Required'!F11&gt;2)),"INPUT ERROR","READY")))</f>
        <v>INPUT REQUIRED</v>
      </c>
      <c r="D10" s="45" t="s">
        <v>572</v>
      </c>
      <c r="E10" s="45" t="s">
        <v>167</v>
      </c>
      <c r="F10" s="45" t="s">
        <v>156</v>
      </c>
      <c r="G10" s="45" t="s">
        <v>168</v>
      </c>
      <c r="H10" s="45" t="s">
        <v>578</v>
      </c>
      <c r="I10" s="47" t="n">
        <f aca="false">'Input Required'!G11</f>
        <v>0</v>
      </c>
    </row>
    <row r="11" customFormat="false" ht="57.45" hidden="false" customHeight="false" outlineLevel="0" collapsed="false">
      <c r="A11" s="45" t="s">
        <v>153</v>
      </c>
      <c r="B11" s="45" t="s">
        <v>154</v>
      </c>
      <c r="C11" s="47" t="str">
        <f aca="false">IF('Input Required'!F12="","INPUT REQUIRED",IF(AND('Input Required'!H12="Yes",'Input Required'!G12=""),"SOURCE REQUIRED",IF(OR(AND('Input Required'!F12&lt;&gt;"",NOT(ISNUMBER('Input Required'!F12))),AND(ISNUMBER('Input Required'!F12),'Input Required'!F12&lt;-0.95),AND(ISNUMBER('Input Required'!F12),'Input Required'!F12&gt;2)),"INPUT ERROR","READY")))</f>
        <v>INPUT REQUIRED</v>
      </c>
      <c r="D11" s="45" t="s">
        <v>572</v>
      </c>
      <c r="E11" s="45" t="s">
        <v>169</v>
      </c>
      <c r="F11" s="45" t="s">
        <v>156</v>
      </c>
      <c r="G11" s="45" t="s">
        <v>170</v>
      </c>
      <c r="H11" s="45" t="s">
        <v>579</v>
      </c>
      <c r="I11" s="47" t="n">
        <f aca="false">'Input Required'!G12</f>
        <v>0</v>
      </c>
    </row>
    <row r="12" customFormat="false" ht="57.45" hidden="false" customHeight="false" outlineLevel="0" collapsed="false">
      <c r="A12" s="45" t="s">
        <v>153</v>
      </c>
      <c r="B12" s="45" t="s">
        <v>154</v>
      </c>
      <c r="C12" s="47" t="str">
        <f aca="false">IF('Input Required'!F13="","INPUT REQUIRED",IF(AND('Input Required'!H13="Yes",'Input Required'!G13=""),"SOURCE REQUIRED",IF(OR(AND('Input Required'!F13&lt;&gt;"",NOT(ISNUMBER('Input Required'!F13))),AND(ISNUMBER('Input Required'!F13),'Input Required'!F13&lt;-0.95),AND(ISNUMBER('Input Required'!F13),'Input Required'!F13&gt;2)),"INPUT ERROR","READY")))</f>
        <v>INPUT REQUIRED</v>
      </c>
      <c r="D12" s="45" t="s">
        <v>572</v>
      </c>
      <c r="E12" s="45" t="s">
        <v>171</v>
      </c>
      <c r="F12" s="45" t="s">
        <v>156</v>
      </c>
      <c r="G12" s="45" t="s">
        <v>172</v>
      </c>
      <c r="H12" s="45" t="s">
        <v>580</v>
      </c>
      <c r="I12" s="47" t="n">
        <f aca="false">'Input Required'!G13</f>
        <v>0</v>
      </c>
    </row>
    <row r="13" customFormat="false" ht="57.45" hidden="false" customHeight="false" outlineLevel="0" collapsed="false">
      <c r="A13" s="45" t="s">
        <v>153</v>
      </c>
      <c r="B13" s="45" t="s">
        <v>154</v>
      </c>
      <c r="C13" s="47" t="str">
        <f aca="false">IF('Input Required'!F14="","INPUT REQUIRED",IF(AND('Input Required'!H14="Yes",'Input Required'!G14=""),"SOURCE REQUIRED",IF(OR(AND('Input Required'!F14&lt;&gt;"",NOT(ISNUMBER('Input Required'!F14))),AND(ISNUMBER('Input Required'!F14),'Input Required'!F14&lt;-0.95),AND(ISNUMBER('Input Required'!F14),'Input Required'!F14&gt;2)),"INPUT ERROR","READY")))</f>
        <v>INPUT REQUIRED</v>
      </c>
      <c r="D13" s="45" t="s">
        <v>572</v>
      </c>
      <c r="E13" s="45" t="s">
        <v>173</v>
      </c>
      <c r="F13" s="45" t="s">
        <v>156</v>
      </c>
      <c r="G13" s="45" t="s">
        <v>174</v>
      </c>
      <c r="H13" s="45" t="s">
        <v>581</v>
      </c>
      <c r="I13" s="47" t="n">
        <f aca="false">'Input Required'!G14</f>
        <v>0</v>
      </c>
    </row>
    <row r="14" customFormat="false" ht="57.45" hidden="false" customHeight="false" outlineLevel="0" collapsed="false">
      <c r="A14" s="45" t="s">
        <v>153</v>
      </c>
      <c r="B14" s="45" t="s">
        <v>154</v>
      </c>
      <c r="C14" s="47" t="str">
        <f aca="false">IF('Input Required'!F15="","INPUT REQUIRED",IF(AND('Input Required'!H15="Yes",'Input Required'!G15=""),"SOURCE REQUIRED",IF(OR(AND('Input Required'!F15&lt;&gt;"",NOT(ISNUMBER('Input Required'!F15))),AND(ISNUMBER('Input Required'!F15),'Input Required'!F15&lt;-0.95),AND(ISNUMBER('Input Required'!F15),'Input Required'!F15&gt;2)),"INPUT ERROR","READY")))</f>
        <v>INPUT REQUIRED</v>
      </c>
      <c r="D14" s="45" t="s">
        <v>572</v>
      </c>
      <c r="E14" s="45" t="s">
        <v>175</v>
      </c>
      <c r="F14" s="45" t="s">
        <v>156</v>
      </c>
      <c r="G14" s="45" t="s">
        <v>176</v>
      </c>
      <c r="H14" s="45" t="s">
        <v>582</v>
      </c>
      <c r="I14" s="47" t="n">
        <f aca="false">'Input Required'!G15</f>
        <v>0</v>
      </c>
    </row>
    <row r="15" customFormat="false" ht="57.45" hidden="false" customHeight="false" outlineLevel="0" collapsed="false">
      <c r="A15" s="45" t="s">
        <v>177</v>
      </c>
      <c r="B15" s="45" t="s">
        <v>178</v>
      </c>
      <c r="C15" s="47" t="str">
        <f aca="false">IF('Input Required'!F16="","INPUT REQUIRED",IF(AND('Input Required'!H16="Yes",'Input Required'!G16=""),"SOURCE REQUIRED",IF(OR(AND('Input Required'!F16&lt;&gt;"",NOT(ISNUMBER('Input Required'!F16))),AND(ISNUMBER('Input Required'!F16),'Input Required'!F16&lt;-1),AND(ISNUMBER('Input Required'!F16),'Input Required'!F16&gt;1)),"INPUT ERROR","READY")))</f>
        <v>INPUT REQUIRED</v>
      </c>
      <c r="D15" s="45" t="s">
        <v>572</v>
      </c>
      <c r="E15" s="45"/>
      <c r="F15" s="45" t="s">
        <v>156</v>
      </c>
      <c r="G15" s="45" t="s">
        <v>179</v>
      </c>
      <c r="H15" s="45" t="s">
        <v>583</v>
      </c>
      <c r="I15" s="47" t="n">
        <f aca="false">'Input Required'!G16</f>
        <v>0</v>
      </c>
    </row>
    <row r="16" customFormat="false" ht="57.45" hidden="false" customHeight="false" outlineLevel="0" collapsed="false">
      <c r="A16" s="45" t="s">
        <v>180</v>
      </c>
      <c r="B16" s="45" t="s">
        <v>181</v>
      </c>
      <c r="C16" s="47" t="str">
        <f aca="false">IF('Input Required'!F17="","INPUT REQUIRED",IF(AND('Input Required'!H17="Yes",'Input Required'!G17=""),"SOURCE REQUIRED",IF(OR(AND('Input Required'!F17&lt;&gt;"",NOT(ISNUMBER('Input Required'!F17))),AND(ISNUMBER('Input Required'!F17),NOT(OR('Input Required'!F17=0,'Input Required'!F17=1))),AND(ISNUMBER('Input Required'!F17),'Input Required'!F17&lt;0),AND(ISNUMBER('Input Required'!F17),'Input Required'!F17&gt;1)),"INPUT ERROR","READY")))</f>
        <v>INPUT REQUIRED</v>
      </c>
      <c r="D16" s="45" t="s">
        <v>572</v>
      </c>
      <c r="E16" s="45"/>
      <c r="F16" s="45" t="s">
        <v>182</v>
      </c>
      <c r="G16" s="45" t="s">
        <v>183</v>
      </c>
      <c r="H16" s="45" t="s">
        <v>584</v>
      </c>
      <c r="I16" s="47" t="n">
        <f aca="false">'Input Required'!G17</f>
        <v>0</v>
      </c>
    </row>
    <row r="17" customFormat="false" ht="57.45" hidden="false" customHeight="false" outlineLevel="0" collapsed="false">
      <c r="A17" s="45" t="s">
        <v>184</v>
      </c>
      <c r="B17" s="45" t="s">
        <v>185</v>
      </c>
      <c r="C17" s="47" t="str">
        <f aca="false">IF('Input Required'!F18="","INPUT REQUIRED",IF(AND('Input Required'!H18="Yes",'Input Required'!G18=""),"SOURCE REQUIRED",IF(OR(AND('Input Required'!F18&lt;&gt;"",NOT(ISNUMBER('Input Required'!F18))),AND(ISNUMBER('Input Required'!F18),'Input Required'!F18&lt;2026),AND(ISNUMBER('Input Required'!F18),'Input Required'!F18&gt;2035)),"INPUT ERROR","READY")))</f>
        <v>INPUT REQUIRED</v>
      </c>
      <c r="D17" s="45" t="s">
        <v>572</v>
      </c>
      <c r="E17" s="45"/>
      <c r="F17" s="45" t="s">
        <v>186</v>
      </c>
      <c r="G17" s="45" t="s">
        <v>183</v>
      </c>
      <c r="H17" s="45" t="s">
        <v>585</v>
      </c>
      <c r="I17" s="47" t="n">
        <f aca="false">'Input Required'!G18</f>
        <v>0</v>
      </c>
    </row>
    <row r="18" customFormat="false" ht="57.45" hidden="false" customHeight="false" outlineLevel="0" collapsed="false">
      <c r="A18" s="45" t="s">
        <v>187</v>
      </c>
      <c r="B18" s="45" t="s">
        <v>188</v>
      </c>
      <c r="C18" s="47" t="str">
        <f aca="false">IF('Input Required'!F19="","INPUT REQUIRED",IF(AND('Input Required'!H19="Yes",'Input Required'!G19=""),"SOURCE REQUIRED",IF(OR(AND('Input Required'!F19&lt;&gt;"",NOT(ISNUMBER('Input Required'!F19))),AND(ISNUMBER('Input Required'!F19),'Input Required'!F19&lt;0)),"INPUT ERROR","READY")))</f>
        <v>INPUT REQUIRED</v>
      </c>
      <c r="D18" s="45" t="s">
        <v>572</v>
      </c>
      <c r="E18" s="45"/>
      <c r="F18" s="45" t="s">
        <v>189</v>
      </c>
      <c r="G18" s="45" t="s">
        <v>183</v>
      </c>
      <c r="H18" s="45" t="s">
        <v>586</v>
      </c>
      <c r="I18" s="47" t="n">
        <f aca="false">'Input Required'!G19</f>
        <v>0</v>
      </c>
    </row>
    <row r="19" customFormat="false" ht="57.45" hidden="false" customHeight="false" outlineLevel="0" collapsed="false">
      <c r="A19" s="45" t="s">
        <v>190</v>
      </c>
      <c r="B19" s="45" t="s">
        <v>191</v>
      </c>
      <c r="C19" s="47" t="str">
        <f aca="false">IF('Input Required'!F20="","INPUT REQUIRED",IF(AND('Input Required'!H20="Yes",'Input Required'!G20=""),"SOURCE REQUIRED",IF(OR(AND('Input Required'!F20&lt;&gt;"",NOT(ISNUMBER('Input Required'!F20))),AND(ISNUMBER('Input Required'!F20),'Input Required'!F20&lt;1),AND(ISNUMBER('Input Required'!F20),'Input Required'!F20&gt;10)),"INPUT ERROR","READY")))</f>
        <v>INPUT REQUIRED</v>
      </c>
      <c r="D19" s="45" t="s">
        <v>572</v>
      </c>
      <c r="E19" s="45"/>
      <c r="F19" s="45" t="s">
        <v>192</v>
      </c>
      <c r="G19" s="45" t="s">
        <v>183</v>
      </c>
      <c r="H19" s="45" t="s">
        <v>587</v>
      </c>
      <c r="I19" s="47" t="n">
        <f aca="false">'Input Required'!G20</f>
        <v>0</v>
      </c>
    </row>
    <row r="20" customFormat="false" ht="57.45" hidden="false" customHeight="false" outlineLevel="0" collapsed="false">
      <c r="A20" s="45" t="s">
        <v>193</v>
      </c>
      <c r="B20" s="45" t="s">
        <v>194</v>
      </c>
      <c r="C20" s="47" t="str">
        <f aca="false">IF('Input Required'!F21="","INPUT REQUIRED",IF(AND('Input Required'!H21="Yes",'Input Required'!G21=""),"SOURCE REQUIRED",IF(OR(AND('Input Required'!F21&lt;&gt;"",NOT(ISNUMBER('Input Required'!F21))),AND(ISNUMBER('Input Required'!F21),'Input Required'!F21&lt;2026),AND(ISNUMBER('Input Required'!F21),'Input Required'!F21&gt;2050)),"INPUT ERROR","READY")))</f>
        <v>INPUT REQUIRED</v>
      </c>
      <c r="D20" s="45" t="s">
        <v>572</v>
      </c>
      <c r="E20" s="45"/>
      <c r="F20" s="45" t="s">
        <v>186</v>
      </c>
      <c r="G20" s="45" t="s">
        <v>183</v>
      </c>
      <c r="H20" s="45" t="s">
        <v>588</v>
      </c>
      <c r="I20" s="47" t="n">
        <f aca="false">'Input Required'!G21</f>
        <v>0</v>
      </c>
    </row>
    <row r="21" customFormat="false" ht="57.45" hidden="false" customHeight="false" outlineLevel="0" collapsed="false">
      <c r="A21" s="45" t="s">
        <v>195</v>
      </c>
      <c r="B21" s="45" t="s">
        <v>196</v>
      </c>
      <c r="C21" s="47" t="str">
        <f aca="false">IF('Input Required'!F22="","INPUT REQUIRED",IF(AND('Input Required'!H22="Yes",'Input Required'!G22=""),"SOURCE REQUIRED",IF(OR(AND('Input Required'!F22&lt;&gt;"",NOT(ISNUMBER('Input Required'!F22))),AND(ISNUMBER('Input Required'!F22),'Input Required'!F22&lt;0),AND(ISNUMBER('Input Required'!F22),'Input Required'!F22&gt;0.99)),"INPUT ERROR","READY")))</f>
        <v>INPUT REQUIRED</v>
      </c>
      <c r="D21" s="45" t="s">
        <v>572</v>
      </c>
      <c r="E21" s="45"/>
      <c r="F21" s="45" t="s">
        <v>156</v>
      </c>
      <c r="G21" s="45" t="s">
        <v>183</v>
      </c>
      <c r="H21" s="45" t="s">
        <v>589</v>
      </c>
      <c r="I21" s="47" t="n">
        <f aca="false">'Input Required'!G22</f>
        <v>0</v>
      </c>
    </row>
    <row r="22" customFormat="false" ht="57.45" hidden="false" customHeight="false" outlineLevel="0" collapsed="false">
      <c r="A22" s="45" t="s">
        <v>197</v>
      </c>
      <c r="B22" s="45" t="s">
        <v>198</v>
      </c>
      <c r="C22" s="47" t="str">
        <f aca="false">IF('Input Required'!F23="","INPUT REQUIRED",IF(AND('Input Required'!H23="Yes",'Input Required'!G23=""),"SOURCE REQUIRED",IF(OR(AND('Input Required'!F23&lt;&gt;"",NOT(ISNUMBER('Input Required'!F23))),AND(ISNUMBER('Input Required'!F23),'Input Required'!F23&lt;0),AND(ISNUMBER('Input Required'!F23),'Input Required'!F23&gt;1)),"INPUT ERROR","READY")))</f>
        <v>INPUT REQUIRED</v>
      </c>
      <c r="D22" s="45" t="s">
        <v>572</v>
      </c>
      <c r="E22" s="45"/>
      <c r="F22" s="45" t="s">
        <v>156</v>
      </c>
      <c r="G22" s="45" t="s">
        <v>183</v>
      </c>
      <c r="H22" s="45" t="s">
        <v>590</v>
      </c>
      <c r="I22" s="47" t="n">
        <f aca="false">'Input Required'!G23</f>
        <v>0</v>
      </c>
    </row>
    <row r="23" customFormat="false" ht="57.45" hidden="false" customHeight="false" outlineLevel="0" collapsed="false">
      <c r="A23" s="45" t="s">
        <v>199</v>
      </c>
      <c r="B23" s="45" t="s">
        <v>200</v>
      </c>
      <c r="C23" s="47" t="str">
        <f aca="false">IF('Input Required'!F24="","INPUT REQUIRED",IF(AND('Input Required'!H24="Yes",'Input Required'!G24=""),"SOURCE REQUIRED",IF(OR(AND('Input Required'!F24&lt;&gt;"",NOT(ISNUMBER('Input Required'!F24))),AND(ISNUMBER('Input Required'!F24),'Input Required'!F24&lt;0),AND(ISNUMBER('Input Required'!F24),'Input Required'!F24&gt;1)),"INPUT ERROR","READY")))</f>
        <v>INPUT REQUIRED</v>
      </c>
      <c r="D23" s="45" t="s">
        <v>572</v>
      </c>
      <c r="E23" s="45"/>
      <c r="F23" s="45" t="s">
        <v>156</v>
      </c>
      <c r="G23" s="45" t="s">
        <v>183</v>
      </c>
      <c r="H23" s="45" t="s">
        <v>591</v>
      </c>
      <c r="I23" s="47" t="n">
        <f aca="false">'Input Required'!G24</f>
        <v>0</v>
      </c>
    </row>
    <row r="24" customFormat="false" ht="57.45" hidden="false" customHeight="false" outlineLevel="0" collapsed="false">
      <c r="A24" s="45" t="s">
        <v>201</v>
      </c>
      <c r="B24" s="45" t="s">
        <v>202</v>
      </c>
      <c r="C24" s="47" t="str">
        <f aca="false">IF('Input Required'!F25="","INPUT REQUIRED",IF(AND('Input Required'!H25="Yes",'Input Required'!G25=""),"SOURCE REQUIRED",IF(OR(AND('Input Required'!F25&lt;&gt;"",NOT(ISNUMBER('Input Required'!F25))),AND(ISNUMBER('Input Required'!F25),'Input Required'!F25&lt;-1),AND(ISNUMBER('Input Required'!F25),'Input Required'!F25&gt;1)),"INPUT ERROR","READY")))</f>
        <v>INPUT REQUIRED</v>
      </c>
      <c r="D24" s="45" t="s">
        <v>572</v>
      </c>
      <c r="E24" s="45"/>
      <c r="F24" s="45" t="s">
        <v>156</v>
      </c>
      <c r="G24" s="45" t="s">
        <v>183</v>
      </c>
      <c r="H24" s="45" t="s">
        <v>592</v>
      </c>
      <c r="I24" s="47" t="n">
        <f aca="false">'Input Required'!G25</f>
        <v>0</v>
      </c>
    </row>
    <row r="25" customFormat="false" ht="57.45" hidden="false" customHeight="false" outlineLevel="0" collapsed="false">
      <c r="A25" s="45" t="s">
        <v>203</v>
      </c>
      <c r="B25" s="45" t="s">
        <v>204</v>
      </c>
      <c r="C25" s="47" t="str">
        <f aca="false">IF('Input Required'!F26="","INPUT REQUIRED",IF(AND('Input Required'!H26="Yes",'Input Required'!G26=""),"SOURCE REQUIRED",IF(OR(AND('Input Required'!F26&lt;&gt;"",NOT(ISNUMBER('Input Required'!F26))),AND(ISNUMBER('Input Required'!F26),'Input Required'!F26&lt;0)),"INPUT ERROR","READY")))</f>
        <v>INPUT REQUIRED</v>
      </c>
      <c r="D25" s="45" t="s">
        <v>572</v>
      </c>
      <c r="E25" s="45"/>
      <c r="F25" s="45" t="s">
        <v>189</v>
      </c>
      <c r="G25" s="45" t="s">
        <v>183</v>
      </c>
      <c r="H25" s="45" t="s">
        <v>593</v>
      </c>
      <c r="I25" s="47" t="n">
        <f aca="false">'Input Required'!G26</f>
        <v>0</v>
      </c>
    </row>
    <row r="26" customFormat="false" ht="46.25" hidden="false" customHeight="false" outlineLevel="0" collapsed="false">
      <c r="A26" s="45" t="s">
        <v>205</v>
      </c>
      <c r="B26" s="45" t="s">
        <v>206</v>
      </c>
      <c r="C26" s="47" t="str">
        <f aca="false">IF('Input Required'!F27="","INPUT REQUIRED",IF(AND('Input Required'!H27="Yes",'Input Required'!G27=""),"SOURCE REQUIRED",IF(OR(AND('Input Required'!F27&lt;&gt;"",NOT(ISNUMBER('Input Required'!F27))),AND(ISNUMBER('Input Required'!F27),NOT(OR('Input Required'!F27=0,'Input Required'!F27=1))),AND(ISNUMBER('Input Required'!F27),'Input Required'!F27&lt;0),AND(ISNUMBER('Input Required'!F27),'Input Required'!F27&gt;1)),"INPUT ERROR","READY")))</f>
        <v>INPUT REQUIRED</v>
      </c>
      <c r="D26" s="45" t="s">
        <v>572</v>
      </c>
      <c r="E26" s="45"/>
      <c r="F26" s="45" t="s">
        <v>182</v>
      </c>
      <c r="G26" s="45" t="s">
        <v>207</v>
      </c>
      <c r="H26" s="45" t="s">
        <v>594</v>
      </c>
      <c r="I26" s="47" t="n">
        <f aca="false">'Input Required'!G27</f>
        <v>0</v>
      </c>
    </row>
    <row r="27" customFormat="false" ht="46.25" hidden="false" customHeight="false" outlineLevel="0" collapsed="false">
      <c r="A27" s="45" t="s">
        <v>208</v>
      </c>
      <c r="B27" s="45" t="s">
        <v>209</v>
      </c>
      <c r="C27" s="47" t="str">
        <f aca="false">IF('Input Required'!F28="","INPUT REQUIRED",IF(AND('Input Required'!H28="Yes",'Input Required'!G28=""),"SOURCE REQUIRED",IF(OR(AND('Input Required'!F28&lt;&gt;"",NOT(ISNUMBER('Input Required'!F28))),AND(ISNUMBER('Input Required'!F28),'Input Required'!F28&lt;2026),AND(ISNUMBER('Input Required'!F28),'Input Required'!F28&gt;2035)),"INPUT ERROR","READY")))</f>
        <v>INPUT REQUIRED</v>
      </c>
      <c r="D27" s="45" t="s">
        <v>572</v>
      </c>
      <c r="E27" s="45"/>
      <c r="F27" s="45" t="s">
        <v>186</v>
      </c>
      <c r="G27" s="45" t="s">
        <v>207</v>
      </c>
      <c r="H27" s="45" t="s">
        <v>595</v>
      </c>
      <c r="I27" s="47" t="n">
        <f aca="false">'Input Required'!G28</f>
        <v>0</v>
      </c>
    </row>
    <row r="28" customFormat="false" ht="46.25" hidden="false" customHeight="false" outlineLevel="0" collapsed="false">
      <c r="A28" s="45" t="s">
        <v>210</v>
      </c>
      <c r="B28" s="45" t="s">
        <v>211</v>
      </c>
      <c r="C28" s="47" t="str">
        <f aca="false">IF('Input Required'!F29="","INPUT REQUIRED",IF(AND('Input Required'!H29="Yes",'Input Required'!G29=""),"SOURCE REQUIRED",IF(OR(AND('Input Required'!F29&lt;&gt;"",NOT(ISNUMBER('Input Required'!F29))),AND(ISNUMBER('Input Required'!F29),'Input Required'!F29&lt;0)),"INPUT ERROR","READY")))</f>
        <v>INPUT REQUIRED</v>
      </c>
      <c r="D28" s="45" t="s">
        <v>572</v>
      </c>
      <c r="E28" s="45"/>
      <c r="F28" s="45" t="s">
        <v>189</v>
      </c>
      <c r="G28" s="45" t="s">
        <v>207</v>
      </c>
      <c r="H28" s="45" t="s">
        <v>596</v>
      </c>
      <c r="I28" s="47" t="n">
        <f aca="false">'Input Required'!G29</f>
        <v>0</v>
      </c>
    </row>
    <row r="29" customFormat="false" ht="46.25" hidden="false" customHeight="false" outlineLevel="0" collapsed="false">
      <c r="A29" s="45" t="s">
        <v>212</v>
      </c>
      <c r="B29" s="45" t="s">
        <v>213</v>
      </c>
      <c r="C29" s="47" t="str">
        <f aca="false">IF('Input Required'!F30="","INPUT REQUIRED",IF(AND('Input Required'!H30="Yes",'Input Required'!G30=""),"SOURCE REQUIRED",IF(OR(AND('Input Required'!F30&lt;&gt;"",NOT(ISNUMBER('Input Required'!F30))),AND(ISNUMBER('Input Required'!F30),'Input Required'!F30&lt;1),AND(ISNUMBER('Input Required'!F30),'Input Required'!F30&gt;10)),"INPUT ERROR","READY")))</f>
        <v>INPUT REQUIRED</v>
      </c>
      <c r="D29" s="45" t="s">
        <v>572</v>
      </c>
      <c r="E29" s="45"/>
      <c r="F29" s="45" t="s">
        <v>192</v>
      </c>
      <c r="G29" s="45" t="s">
        <v>207</v>
      </c>
      <c r="H29" s="45" t="s">
        <v>597</v>
      </c>
      <c r="I29" s="47" t="n">
        <f aca="false">'Input Required'!G30</f>
        <v>0</v>
      </c>
    </row>
    <row r="30" customFormat="false" ht="46.25" hidden="false" customHeight="false" outlineLevel="0" collapsed="false">
      <c r="A30" s="45" t="s">
        <v>214</v>
      </c>
      <c r="B30" s="45" t="s">
        <v>215</v>
      </c>
      <c r="C30" s="47" t="str">
        <f aca="false">IF('Input Required'!F31="","INPUT REQUIRED",IF(AND('Input Required'!H31="Yes",'Input Required'!G31=""),"SOURCE REQUIRED",IF(OR(AND('Input Required'!F31&lt;&gt;"",NOT(ISNUMBER('Input Required'!F31))),AND(ISNUMBER('Input Required'!F31),'Input Required'!F31&lt;2026),AND(ISNUMBER('Input Required'!F31),'Input Required'!F31&gt;2050)),"INPUT ERROR","READY")))</f>
        <v>INPUT REQUIRED</v>
      </c>
      <c r="D30" s="45" t="s">
        <v>572</v>
      </c>
      <c r="E30" s="45"/>
      <c r="F30" s="45" t="s">
        <v>186</v>
      </c>
      <c r="G30" s="45" t="s">
        <v>207</v>
      </c>
      <c r="H30" s="45" t="s">
        <v>598</v>
      </c>
      <c r="I30" s="47" t="n">
        <f aca="false">'Input Required'!G31</f>
        <v>0</v>
      </c>
    </row>
    <row r="31" customFormat="false" ht="46.25" hidden="false" customHeight="false" outlineLevel="0" collapsed="false">
      <c r="A31" s="45" t="s">
        <v>216</v>
      </c>
      <c r="B31" s="45" t="s">
        <v>217</v>
      </c>
      <c r="C31" s="47" t="str">
        <f aca="false">IF('Input Required'!F32="","INPUT REQUIRED",IF(AND('Input Required'!H32="Yes",'Input Required'!G32=""),"SOURCE REQUIRED",IF(OR(AND('Input Required'!F32&lt;&gt;"",NOT(ISNUMBER('Input Required'!F32))),AND(ISNUMBER('Input Required'!F32),'Input Required'!F32&lt;0),AND(ISNUMBER('Input Required'!F32),'Input Required'!F32&gt;0.99)),"INPUT ERROR","READY")))</f>
        <v>INPUT REQUIRED</v>
      </c>
      <c r="D31" s="45" t="s">
        <v>572</v>
      </c>
      <c r="E31" s="45"/>
      <c r="F31" s="45" t="s">
        <v>156</v>
      </c>
      <c r="G31" s="45" t="s">
        <v>207</v>
      </c>
      <c r="H31" s="45" t="s">
        <v>599</v>
      </c>
      <c r="I31" s="47" t="n">
        <f aca="false">'Input Required'!G32</f>
        <v>0</v>
      </c>
    </row>
    <row r="32" customFormat="false" ht="46.25" hidden="false" customHeight="false" outlineLevel="0" collapsed="false">
      <c r="A32" s="45" t="s">
        <v>218</v>
      </c>
      <c r="B32" s="45" t="s">
        <v>219</v>
      </c>
      <c r="C32" s="47" t="str">
        <f aca="false">IF('Input Required'!F33="","INPUT REQUIRED",IF(AND('Input Required'!H33="Yes",'Input Required'!G33=""),"SOURCE REQUIRED",IF(OR(AND('Input Required'!F33&lt;&gt;"",NOT(ISNUMBER('Input Required'!F33))),AND(ISNUMBER('Input Required'!F33),'Input Required'!F33&lt;0),AND(ISNUMBER('Input Required'!F33),'Input Required'!F33&gt;1)),"INPUT ERROR","READY")))</f>
        <v>INPUT REQUIRED</v>
      </c>
      <c r="D32" s="45" t="s">
        <v>572</v>
      </c>
      <c r="E32" s="45"/>
      <c r="F32" s="45" t="s">
        <v>156</v>
      </c>
      <c r="G32" s="45" t="s">
        <v>207</v>
      </c>
      <c r="H32" s="45" t="s">
        <v>600</v>
      </c>
      <c r="I32" s="47" t="n">
        <f aca="false">'Input Required'!G33</f>
        <v>0</v>
      </c>
    </row>
    <row r="33" customFormat="false" ht="46.25" hidden="false" customHeight="false" outlineLevel="0" collapsed="false">
      <c r="A33" s="45" t="s">
        <v>220</v>
      </c>
      <c r="B33" s="45" t="s">
        <v>221</v>
      </c>
      <c r="C33" s="47" t="str">
        <f aca="false">IF('Input Required'!F34="","INPUT REQUIRED",IF(AND('Input Required'!H34="Yes",'Input Required'!G34=""),"SOURCE REQUIRED",IF(OR(AND('Input Required'!F34&lt;&gt;"",NOT(ISNUMBER('Input Required'!F34))),AND(ISNUMBER('Input Required'!F34),'Input Required'!F34&lt;0),AND(ISNUMBER('Input Required'!F34),'Input Required'!F34&gt;1)),"INPUT ERROR","READY")))</f>
        <v>INPUT REQUIRED</v>
      </c>
      <c r="D33" s="45" t="s">
        <v>572</v>
      </c>
      <c r="E33" s="45"/>
      <c r="F33" s="45" t="s">
        <v>156</v>
      </c>
      <c r="G33" s="45" t="s">
        <v>207</v>
      </c>
      <c r="H33" s="45" t="s">
        <v>601</v>
      </c>
      <c r="I33" s="47" t="n">
        <f aca="false">'Input Required'!G34</f>
        <v>0</v>
      </c>
    </row>
    <row r="34" customFormat="false" ht="46.25" hidden="false" customHeight="false" outlineLevel="0" collapsed="false">
      <c r="A34" s="45" t="s">
        <v>222</v>
      </c>
      <c r="B34" s="45" t="s">
        <v>223</v>
      </c>
      <c r="C34" s="47" t="str">
        <f aca="false">IF('Input Required'!F35="","INPUT REQUIRED",IF(AND('Input Required'!H35="Yes",'Input Required'!G35=""),"SOURCE REQUIRED",IF(OR(AND('Input Required'!F35&lt;&gt;"",NOT(ISNUMBER('Input Required'!F35))),AND(ISNUMBER('Input Required'!F35),'Input Required'!F35&lt;-1),AND(ISNUMBER('Input Required'!F35),'Input Required'!F35&gt;1)),"INPUT ERROR","READY")))</f>
        <v>INPUT REQUIRED</v>
      </c>
      <c r="D34" s="45" t="s">
        <v>572</v>
      </c>
      <c r="E34" s="45"/>
      <c r="F34" s="45" t="s">
        <v>156</v>
      </c>
      <c r="G34" s="45" t="s">
        <v>207</v>
      </c>
      <c r="H34" s="45" t="s">
        <v>602</v>
      </c>
      <c r="I34" s="47" t="n">
        <f aca="false">'Input Required'!G35</f>
        <v>0</v>
      </c>
    </row>
    <row r="35" customFormat="false" ht="46.25" hidden="false" customHeight="false" outlineLevel="0" collapsed="false">
      <c r="A35" s="45" t="s">
        <v>224</v>
      </c>
      <c r="B35" s="45" t="s">
        <v>225</v>
      </c>
      <c r="C35" s="47" t="str">
        <f aca="false">IF('Input Required'!F36="","INPUT REQUIRED",IF(AND('Input Required'!H36="Yes",'Input Required'!G36=""),"SOURCE REQUIRED",IF(OR(AND('Input Required'!F36&lt;&gt;"",NOT(ISNUMBER('Input Required'!F36))),AND(ISNUMBER('Input Required'!F36),'Input Required'!F36&lt;0)),"INPUT ERROR","READY")))</f>
        <v>INPUT REQUIRED</v>
      </c>
      <c r="D35" s="45" t="s">
        <v>572</v>
      </c>
      <c r="E35" s="45"/>
      <c r="F35" s="45" t="s">
        <v>189</v>
      </c>
      <c r="G35" s="45" t="s">
        <v>207</v>
      </c>
      <c r="H35" s="45" t="s">
        <v>603</v>
      </c>
      <c r="I35" s="47" t="n">
        <f aca="false">'Input Required'!G36</f>
        <v>0</v>
      </c>
    </row>
    <row r="36" customFormat="false" ht="46.25" hidden="false" customHeight="false" outlineLevel="0" collapsed="false">
      <c r="A36" s="45" t="s">
        <v>226</v>
      </c>
      <c r="B36" s="45" t="s">
        <v>227</v>
      </c>
      <c r="C36" s="47" t="str">
        <f aca="false">IF('Input Required'!F37="","INPUT REQUIRED",IF(AND('Input Required'!H37="Yes",'Input Required'!G37=""),"SOURCE REQUIRED",IF(OR(AND('Input Required'!F37&lt;&gt;"",NOT(ISNUMBER('Input Required'!F37))),AND(ISNUMBER('Input Required'!F37),NOT(OR('Input Required'!F37=0,'Input Required'!F37=1))),AND(ISNUMBER('Input Required'!F37),'Input Required'!F37&lt;0),AND(ISNUMBER('Input Required'!F37),'Input Required'!F37&gt;1)),"INPUT ERROR","READY")))</f>
        <v>INPUT REQUIRED</v>
      </c>
      <c r="D36" s="45" t="s">
        <v>572</v>
      </c>
      <c r="E36" s="45"/>
      <c r="F36" s="45" t="s">
        <v>182</v>
      </c>
      <c r="G36" s="45" t="s">
        <v>228</v>
      </c>
      <c r="H36" s="45" t="s">
        <v>604</v>
      </c>
      <c r="I36" s="47" t="n">
        <f aca="false">'Input Required'!G37</f>
        <v>0</v>
      </c>
    </row>
    <row r="37" customFormat="false" ht="46.25" hidden="false" customHeight="false" outlineLevel="0" collapsed="false">
      <c r="A37" s="45" t="s">
        <v>229</v>
      </c>
      <c r="B37" s="45" t="s">
        <v>230</v>
      </c>
      <c r="C37" s="47" t="str">
        <f aca="false">IF('Input Required'!F38="","INPUT REQUIRED",IF(AND('Input Required'!H38="Yes",'Input Required'!G38=""),"SOURCE REQUIRED",IF(OR(AND('Input Required'!F38&lt;&gt;"",NOT(ISNUMBER('Input Required'!F38))),AND(ISNUMBER('Input Required'!F38),'Input Required'!F38&lt;2026),AND(ISNUMBER('Input Required'!F38),'Input Required'!F38&gt;2035)),"INPUT ERROR","READY")))</f>
        <v>INPUT REQUIRED</v>
      </c>
      <c r="D37" s="45" t="s">
        <v>572</v>
      </c>
      <c r="E37" s="45"/>
      <c r="F37" s="45" t="s">
        <v>186</v>
      </c>
      <c r="G37" s="45" t="s">
        <v>228</v>
      </c>
      <c r="H37" s="45" t="s">
        <v>605</v>
      </c>
      <c r="I37" s="47" t="n">
        <f aca="false">'Input Required'!G38</f>
        <v>0</v>
      </c>
    </row>
    <row r="38" customFormat="false" ht="46.25" hidden="false" customHeight="false" outlineLevel="0" collapsed="false">
      <c r="A38" s="45" t="s">
        <v>231</v>
      </c>
      <c r="B38" s="45" t="s">
        <v>232</v>
      </c>
      <c r="C38" s="47" t="str">
        <f aca="false">IF('Input Required'!F39="","INPUT REQUIRED",IF(AND('Input Required'!H39="Yes",'Input Required'!G39=""),"SOURCE REQUIRED",IF(OR(AND('Input Required'!F39&lt;&gt;"",NOT(ISNUMBER('Input Required'!F39))),AND(ISNUMBER('Input Required'!F39),'Input Required'!F39&lt;0)),"INPUT ERROR","READY")))</f>
        <v>INPUT REQUIRED</v>
      </c>
      <c r="D38" s="45" t="s">
        <v>572</v>
      </c>
      <c r="E38" s="45"/>
      <c r="F38" s="45" t="s">
        <v>189</v>
      </c>
      <c r="G38" s="45" t="s">
        <v>228</v>
      </c>
      <c r="H38" s="45" t="s">
        <v>606</v>
      </c>
      <c r="I38" s="47" t="n">
        <f aca="false">'Input Required'!G39</f>
        <v>0</v>
      </c>
    </row>
    <row r="39" customFormat="false" ht="46.25" hidden="false" customHeight="false" outlineLevel="0" collapsed="false">
      <c r="A39" s="45" t="s">
        <v>233</v>
      </c>
      <c r="B39" s="45" t="s">
        <v>234</v>
      </c>
      <c r="C39" s="47" t="str">
        <f aca="false">IF('Input Required'!F40="","INPUT REQUIRED",IF(AND('Input Required'!H40="Yes",'Input Required'!G40=""),"SOURCE REQUIRED",IF(OR(AND('Input Required'!F40&lt;&gt;"",NOT(ISNUMBER('Input Required'!F40))),AND(ISNUMBER('Input Required'!F40),'Input Required'!F40&lt;1),AND(ISNUMBER('Input Required'!F40),'Input Required'!F40&gt;10)),"INPUT ERROR","READY")))</f>
        <v>INPUT REQUIRED</v>
      </c>
      <c r="D39" s="45" t="s">
        <v>572</v>
      </c>
      <c r="E39" s="45"/>
      <c r="F39" s="45" t="s">
        <v>192</v>
      </c>
      <c r="G39" s="45" t="s">
        <v>228</v>
      </c>
      <c r="H39" s="45" t="s">
        <v>607</v>
      </c>
      <c r="I39" s="47" t="n">
        <f aca="false">'Input Required'!G40</f>
        <v>0</v>
      </c>
    </row>
    <row r="40" customFormat="false" ht="46.25" hidden="false" customHeight="false" outlineLevel="0" collapsed="false">
      <c r="A40" s="45" t="s">
        <v>235</v>
      </c>
      <c r="B40" s="45" t="s">
        <v>236</v>
      </c>
      <c r="C40" s="47" t="str">
        <f aca="false">IF('Input Required'!F41="","INPUT REQUIRED",IF(AND('Input Required'!H41="Yes",'Input Required'!G41=""),"SOURCE REQUIRED",IF(OR(AND('Input Required'!F41&lt;&gt;"",NOT(ISNUMBER('Input Required'!F41))),AND(ISNUMBER('Input Required'!F41),'Input Required'!F41&lt;2026),AND(ISNUMBER('Input Required'!F41),'Input Required'!F41&gt;2050)),"INPUT ERROR","READY")))</f>
        <v>INPUT REQUIRED</v>
      </c>
      <c r="D40" s="45" t="s">
        <v>572</v>
      </c>
      <c r="E40" s="45"/>
      <c r="F40" s="45" t="s">
        <v>186</v>
      </c>
      <c r="G40" s="45" t="s">
        <v>228</v>
      </c>
      <c r="H40" s="45" t="s">
        <v>608</v>
      </c>
      <c r="I40" s="47" t="n">
        <f aca="false">'Input Required'!G41</f>
        <v>0</v>
      </c>
    </row>
    <row r="41" customFormat="false" ht="46.25" hidden="false" customHeight="false" outlineLevel="0" collapsed="false">
      <c r="A41" s="45" t="s">
        <v>237</v>
      </c>
      <c r="B41" s="45" t="s">
        <v>238</v>
      </c>
      <c r="C41" s="47" t="str">
        <f aca="false">IF('Input Required'!F42="","INPUT REQUIRED",IF(AND('Input Required'!H42="Yes",'Input Required'!G42=""),"SOURCE REQUIRED",IF(OR(AND('Input Required'!F42&lt;&gt;"",NOT(ISNUMBER('Input Required'!F42))),AND(ISNUMBER('Input Required'!F42),'Input Required'!F42&lt;0),AND(ISNUMBER('Input Required'!F42),'Input Required'!F42&gt;0.99)),"INPUT ERROR","READY")))</f>
        <v>INPUT REQUIRED</v>
      </c>
      <c r="D41" s="45" t="s">
        <v>572</v>
      </c>
      <c r="E41" s="45"/>
      <c r="F41" s="45" t="s">
        <v>156</v>
      </c>
      <c r="G41" s="45" t="s">
        <v>228</v>
      </c>
      <c r="H41" s="45" t="s">
        <v>609</v>
      </c>
      <c r="I41" s="47" t="n">
        <f aca="false">'Input Required'!G42</f>
        <v>0</v>
      </c>
    </row>
    <row r="42" customFormat="false" ht="46.25" hidden="false" customHeight="false" outlineLevel="0" collapsed="false">
      <c r="A42" s="45" t="s">
        <v>239</v>
      </c>
      <c r="B42" s="45" t="s">
        <v>240</v>
      </c>
      <c r="C42" s="47" t="str">
        <f aca="false">IF('Input Required'!F43="","INPUT REQUIRED",IF(AND('Input Required'!H43="Yes",'Input Required'!G43=""),"SOURCE REQUIRED",IF(OR(AND('Input Required'!F43&lt;&gt;"",NOT(ISNUMBER('Input Required'!F43))),AND(ISNUMBER('Input Required'!F43),'Input Required'!F43&lt;0),AND(ISNUMBER('Input Required'!F43),'Input Required'!F43&gt;1)),"INPUT ERROR","READY")))</f>
        <v>INPUT REQUIRED</v>
      </c>
      <c r="D42" s="45" t="s">
        <v>572</v>
      </c>
      <c r="E42" s="45"/>
      <c r="F42" s="45" t="s">
        <v>156</v>
      </c>
      <c r="G42" s="45" t="s">
        <v>228</v>
      </c>
      <c r="H42" s="45" t="s">
        <v>610</v>
      </c>
      <c r="I42" s="47" t="n">
        <f aca="false">'Input Required'!G43</f>
        <v>0</v>
      </c>
    </row>
    <row r="43" customFormat="false" ht="46.25" hidden="false" customHeight="false" outlineLevel="0" collapsed="false">
      <c r="A43" s="45" t="s">
        <v>241</v>
      </c>
      <c r="B43" s="45" t="s">
        <v>242</v>
      </c>
      <c r="C43" s="47" t="str">
        <f aca="false">IF('Input Required'!F44="","INPUT REQUIRED",IF(AND('Input Required'!H44="Yes",'Input Required'!G44=""),"SOURCE REQUIRED",IF(OR(AND('Input Required'!F44&lt;&gt;"",NOT(ISNUMBER('Input Required'!F44))),AND(ISNUMBER('Input Required'!F44),'Input Required'!F44&lt;0),AND(ISNUMBER('Input Required'!F44),'Input Required'!F44&gt;1)),"INPUT ERROR","READY")))</f>
        <v>INPUT REQUIRED</v>
      </c>
      <c r="D43" s="45" t="s">
        <v>572</v>
      </c>
      <c r="E43" s="45"/>
      <c r="F43" s="45" t="s">
        <v>156</v>
      </c>
      <c r="G43" s="45" t="s">
        <v>228</v>
      </c>
      <c r="H43" s="45" t="s">
        <v>611</v>
      </c>
      <c r="I43" s="47" t="n">
        <f aca="false">'Input Required'!G44</f>
        <v>0</v>
      </c>
    </row>
    <row r="44" customFormat="false" ht="46.25" hidden="false" customHeight="false" outlineLevel="0" collapsed="false">
      <c r="A44" s="45" t="s">
        <v>243</v>
      </c>
      <c r="B44" s="45" t="s">
        <v>244</v>
      </c>
      <c r="C44" s="47" t="str">
        <f aca="false">IF('Input Required'!F45="","INPUT REQUIRED",IF(AND('Input Required'!H45="Yes",'Input Required'!G45=""),"SOURCE REQUIRED",IF(OR(AND('Input Required'!F45&lt;&gt;"",NOT(ISNUMBER('Input Required'!F45))),AND(ISNUMBER('Input Required'!F45),'Input Required'!F45&lt;-1),AND(ISNUMBER('Input Required'!F45),'Input Required'!F45&gt;1)),"INPUT ERROR","READY")))</f>
        <v>INPUT REQUIRED</v>
      </c>
      <c r="D44" s="45" t="s">
        <v>572</v>
      </c>
      <c r="E44" s="45"/>
      <c r="F44" s="45" t="s">
        <v>156</v>
      </c>
      <c r="G44" s="45" t="s">
        <v>228</v>
      </c>
      <c r="H44" s="45" t="s">
        <v>612</v>
      </c>
      <c r="I44" s="47" t="n">
        <f aca="false">'Input Required'!G45</f>
        <v>0</v>
      </c>
    </row>
    <row r="45" customFormat="false" ht="46.25" hidden="false" customHeight="false" outlineLevel="0" collapsed="false">
      <c r="A45" s="45" t="s">
        <v>245</v>
      </c>
      <c r="B45" s="45" t="s">
        <v>246</v>
      </c>
      <c r="C45" s="47" t="str">
        <f aca="false">IF('Input Required'!F46="","INPUT REQUIRED",IF(AND('Input Required'!H46="Yes",'Input Required'!G46=""),"SOURCE REQUIRED",IF(OR(AND('Input Required'!F46&lt;&gt;"",NOT(ISNUMBER('Input Required'!F46))),AND(ISNUMBER('Input Required'!F46),'Input Required'!F46&lt;0)),"INPUT ERROR","READY")))</f>
        <v>INPUT REQUIRED</v>
      </c>
      <c r="D45" s="45" t="s">
        <v>572</v>
      </c>
      <c r="E45" s="45"/>
      <c r="F45" s="45" t="s">
        <v>189</v>
      </c>
      <c r="G45" s="45" t="s">
        <v>228</v>
      </c>
      <c r="H45" s="45" t="s">
        <v>613</v>
      </c>
      <c r="I45" s="47" t="n">
        <f aca="false">'Input Required'!G46</f>
        <v>0</v>
      </c>
    </row>
    <row r="46" customFormat="false" ht="46.25" hidden="false" customHeight="false" outlineLevel="0" collapsed="false">
      <c r="A46" s="45" t="s">
        <v>247</v>
      </c>
      <c r="B46" s="45" t="s">
        <v>248</v>
      </c>
      <c r="C46" s="47" t="str">
        <f aca="false">IF('Input Required'!F47="","INPUT REQUIRED",IF(AND('Input Required'!H47="Yes",'Input Required'!G47=""),"SOURCE REQUIRED",IF(OR(AND('Input Required'!F47&lt;&gt;"",NOT(ISNUMBER('Input Required'!F47))),AND(ISNUMBER('Input Required'!F47),NOT(OR('Input Required'!F47=0,'Input Required'!F47=1))),AND(ISNUMBER('Input Required'!F47),'Input Required'!F47&lt;0),AND(ISNUMBER('Input Required'!F47),'Input Required'!F47&gt;1)),"INPUT ERROR","READY")))</f>
        <v>INPUT REQUIRED</v>
      </c>
      <c r="D46" s="45" t="s">
        <v>572</v>
      </c>
      <c r="E46" s="45"/>
      <c r="F46" s="45" t="s">
        <v>182</v>
      </c>
      <c r="G46" s="45" t="s">
        <v>249</v>
      </c>
      <c r="H46" s="45" t="s">
        <v>614</v>
      </c>
      <c r="I46" s="47" t="n">
        <f aca="false">'Input Required'!G47</f>
        <v>0</v>
      </c>
    </row>
    <row r="47" customFormat="false" ht="46.25" hidden="false" customHeight="false" outlineLevel="0" collapsed="false">
      <c r="A47" s="45" t="s">
        <v>250</v>
      </c>
      <c r="B47" s="45" t="s">
        <v>251</v>
      </c>
      <c r="C47" s="47" t="str">
        <f aca="false">IF('Input Required'!F48="","INPUT REQUIRED",IF(AND('Input Required'!H48="Yes",'Input Required'!G48=""),"SOURCE REQUIRED",IF(OR(AND('Input Required'!F48&lt;&gt;"",NOT(ISNUMBER('Input Required'!F48))),AND(ISNUMBER('Input Required'!F48),'Input Required'!F48&lt;2026),AND(ISNUMBER('Input Required'!F48),'Input Required'!F48&gt;2035)),"INPUT ERROR","READY")))</f>
        <v>INPUT REQUIRED</v>
      </c>
      <c r="D47" s="45" t="s">
        <v>572</v>
      </c>
      <c r="E47" s="45"/>
      <c r="F47" s="45" t="s">
        <v>186</v>
      </c>
      <c r="G47" s="45" t="s">
        <v>249</v>
      </c>
      <c r="H47" s="45" t="s">
        <v>615</v>
      </c>
      <c r="I47" s="47" t="n">
        <f aca="false">'Input Required'!G48</f>
        <v>0</v>
      </c>
    </row>
    <row r="48" customFormat="false" ht="46.25" hidden="false" customHeight="false" outlineLevel="0" collapsed="false">
      <c r="A48" s="45" t="s">
        <v>252</v>
      </c>
      <c r="B48" s="45" t="s">
        <v>253</v>
      </c>
      <c r="C48" s="47" t="str">
        <f aca="false">IF('Input Required'!F49="","INPUT REQUIRED",IF(AND('Input Required'!H49="Yes",'Input Required'!G49=""),"SOURCE REQUIRED",IF(OR(AND('Input Required'!F49&lt;&gt;"",NOT(ISNUMBER('Input Required'!F49))),AND(ISNUMBER('Input Required'!F49),'Input Required'!F49&lt;0)),"INPUT ERROR","READY")))</f>
        <v>INPUT REQUIRED</v>
      </c>
      <c r="D48" s="45" t="s">
        <v>572</v>
      </c>
      <c r="E48" s="45"/>
      <c r="F48" s="45" t="s">
        <v>189</v>
      </c>
      <c r="G48" s="45" t="s">
        <v>249</v>
      </c>
      <c r="H48" s="45" t="s">
        <v>616</v>
      </c>
      <c r="I48" s="47" t="n">
        <f aca="false">'Input Required'!G49</f>
        <v>0</v>
      </c>
    </row>
    <row r="49" customFormat="false" ht="46.25" hidden="false" customHeight="false" outlineLevel="0" collapsed="false">
      <c r="A49" s="45" t="s">
        <v>254</v>
      </c>
      <c r="B49" s="45" t="s">
        <v>255</v>
      </c>
      <c r="C49" s="47" t="str">
        <f aca="false">IF('Input Required'!F50="","INPUT REQUIRED",IF(AND('Input Required'!H50="Yes",'Input Required'!G50=""),"SOURCE REQUIRED",IF(OR(AND('Input Required'!F50&lt;&gt;"",NOT(ISNUMBER('Input Required'!F50))),AND(ISNUMBER('Input Required'!F50),'Input Required'!F50&lt;1),AND(ISNUMBER('Input Required'!F50),'Input Required'!F50&gt;10)),"INPUT ERROR","READY")))</f>
        <v>INPUT REQUIRED</v>
      </c>
      <c r="D49" s="45" t="s">
        <v>572</v>
      </c>
      <c r="E49" s="45"/>
      <c r="F49" s="45" t="s">
        <v>192</v>
      </c>
      <c r="G49" s="45" t="s">
        <v>249</v>
      </c>
      <c r="H49" s="45" t="s">
        <v>617</v>
      </c>
      <c r="I49" s="47" t="n">
        <f aca="false">'Input Required'!G50</f>
        <v>0</v>
      </c>
    </row>
    <row r="50" customFormat="false" ht="46.25" hidden="false" customHeight="false" outlineLevel="0" collapsed="false">
      <c r="A50" s="45" t="s">
        <v>256</v>
      </c>
      <c r="B50" s="45" t="s">
        <v>257</v>
      </c>
      <c r="C50" s="47" t="str">
        <f aca="false">IF('Input Required'!F51="","INPUT REQUIRED",IF(AND('Input Required'!H51="Yes",'Input Required'!G51=""),"SOURCE REQUIRED",IF(OR(AND('Input Required'!F51&lt;&gt;"",NOT(ISNUMBER('Input Required'!F51))),AND(ISNUMBER('Input Required'!F51),'Input Required'!F51&lt;2026),AND(ISNUMBER('Input Required'!F51),'Input Required'!F51&gt;2050)),"INPUT ERROR","READY")))</f>
        <v>INPUT REQUIRED</v>
      </c>
      <c r="D50" s="45" t="s">
        <v>572</v>
      </c>
      <c r="E50" s="45"/>
      <c r="F50" s="45" t="s">
        <v>186</v>
      </c>
      <c r="G50" s="45" t="s">
        <v>249</v>
      </c>
      <c r="H50" s="45" t="s">
        <v>618</v>
      </c>
      <c r="I50" s="47" t="n">
        <f aca="false">'Input Required'!G51</f>
        <v>0</v>
      </c>
    </row>
    <row r="51" customFormat="false" ht="46.25" hidden="false" customHeight="false" outlineLevel="0" collapsed="false">
      <c r="A51" s="45" t="s">
        <v>258</v>
      </c>
      <c r="B51" s="45" t="s">
        <v>259</v>
      </c>
      <c r="C51" s="47" t="str">
        <f aca="false">IF('Input Required'!F52="","INPUT REQUIRED",IF(AND('Input Required'!H52="Yes",'Input Required'!G52=""),"SOURCE REQUIRED",IF(OR(AND('Input Required'!F52&lt;&gt;"",NOT(ISNUMBER('Input Required'!F52))),AND(ISNUMBER('Input Required'!F52),'Input Required'!F52&lt;0),AND(ISNUMBER('Input Required'!F52),'Input Required'!F52&gt;0.99)),"INPUT ERROR","READY")))</f>
        <v>INPUT REQUIRED</v>
      </c>
      <c r="D51" s="45" t="s">
        <v>572</v>
      </c>
      <c r="E51" s="45"/>
      <c r="F51" s="45" t="s">
        <v>156</v>
      </c>
      <c r="G51" s="45" t="s">
        <v>249</v>
      </c>
      <c r="H51" s="45" t="s">
        <v>619</v>
      </c>
      <c r="I51" s="47" t="n">
        <f aca="false">'Input Required'!G52</f>
        <v>0</v>
      </c>
    </row>
    <row r="52" customFormat="false" ht="46.25" hidden="false" customHeight="false" outlineLevel="0" collapsed="false">
      <c r="A52" s="45" t="s">
        <v>260</v>
      </c>
      <c r="B52" s="45" t="s">
        <v>261</v>
      </c>
      <c r="C52" s="47" t="str">
        <f aca="false">IF('Input Required'!F53="","INPUT REQUIRED",IF(AND('Input Required'!H53="Yes",'Input Required'!G53=""),"SOURCE REQUIRED",IF(OR(AND('Input Required'!F53&lt;&gt;"",NOT(ISNUMBER('Input Required'!F53))),AND(ISNUMBER('Input Required'!F53),'Input Required'!F53&lt;0),AND(ISNUMBER('Input Required'!F53),'Input Required'!F53&gt;1)),"INPUT ERROR","READY")))</f>
        <v>INPUT REQUIRED</v>
      </c>
      <c r="D52" s="45" t="s">
        <v>572</v>
      </c>
      <c r="E52" s="45"/>
      <c r="F52" s="45" t="s">
        <v>156</v>
      </c>
      <c r="G52" s="45" t="s">
        <v>249</v>
      </c>
      <c r="H52" s="45" t="s">
        <v>620</v>
      </c>
      <c r="I52" s="47" t="n">
        <f aca="false">'Input Required'!G53</f>
        <v>0</v>
      </c>
    </row>
    <row r="53" customFormat="false" ht="46.25" hidden="false" customHeight="false" outlineLevel="0" collapsed="false">
      <c r="A53" s="45" t="s">
        <v>262</v>
      </c>
      <c r="B53" s="45" t="s">
        <v>263</v>
      </c>
      <c r="C53" s="47" t="str">
        <f aca="false">IF('Input Required'!F54="","INPUT REQUIRED",IF(AND('Input Required'!H54="Yes",'Input Required'!G54=""),"SOURCE REQUIRED",IF(OR(AND('Input Required'!F54&lt;&gt;"",NOT(ISNUMBER('Input Required'!F54))),AND(ISNUMBER('Input Required'!F54),'Input Required'!F54&lt;0),AND(ISNUMBER('Input Required'!F54),'Input Required'!F54&gt;1)),"INPUT ERROR","READY")))</f>
        <v>INPUT REQUIRED</v>
      </c>
      <c r="D53" s="45" t="s">
        <v>572</v>
      </c>
      <c r="E53" s="45"/>
      <c r="F53" s="45" t="s">
        <v>156</v>
      </c>
      <c r="G53" s="45" t="s">
        <v>249</v>
      </c>
      <c r="H53" s="45" t="s">
        <v>621</v>
      </c>
      <c r="I53" s="47" t="n">
        <f aca="false">'Input Required'!G54</f>
        <v>0</v>
      </c>
    </row>
    <row r="54" customFormat="false" ht="46.25" hidden="false" customHeight="false" outlineLevel="0" collapsed="false">
      <c r="A54" s="45" t="s">
        <v>264</v>
      </c>
      <c r="B54" s="45" t="s">
        <v>265</v>
      </c>
      <c r="C54" s="47" t="str">
        <f aca="false">IF('Input Required'!F55="","INPUT REQUIRED",IF(AND('Input Required'!H55="Yes",'Input Required'!G55=""),"SOURCE REQUIRED",IF(OR(AND('Input Required'!F55&lt;&gt;"",NOT(ISNUMBER('Input Required'!F55))),AND(ISNUMBER('Input Required'!F55),'Input Required'!F55&lt;-1),AND(ISNUMBER('Input Required'!F55),'Input Required'!F55&gt;1)),"INPUT ERROR","READY")))</f>
        <v>INPUT REQUIRED</v>
      </c>
      <c r="D54" s="45" t="s">
        <v>572</v>
      </c>
      <c r="E54" s="45"/>
      <c r="F54" s="45" t="s">
        <v>156</v>
      </c>
      <c r="G54" s="45" t="s">
        <v>249</v>
      </c>
      <c r="H54" s="45" t="s">
        <v>622</v>
      </c>
      <c r="I54" s="47" t="n">
        <f aca="false">'Input Required'!G55</f>
        <v>0</v>
      </c>
    </row>
    <row r="55" customFormat="false" ht="46.25" hidden="false" customHeight="false" outlineLevel="0" collapsed="false">
      <c r="A55" s="45" t="s">
        <v>266</v>
      </c>
      <c r="B55" s="45" t="s">
        <v>267</v>
      </c>
      <c r="C55" s="47" t="str">
        <f aca="false">IF('Input Required'!F56="","INPUT REQUIRED",IF(AND('Input Required'!H56="Yes",'Input Required'!G56=""),"SOURCE REQUIRED",IF(OR(AND('Input Required'!F56&lt;&gt;"",NOT(ISNUMBER('Input Required'!F56))),AND(ISNUMBER('Input Required'!F56),'Input Required'!F56&lt;0)),"INPUT ERROR","READY")))</f>
        <v>INPUT REQUIRED</v>
      </c>
      <c r="D55" s="45" t="s">
        <v>572</v>
      </c>
      <c r="E55" s="45"/>
      <c r="F55" s="45" t="s">
        <v>189</v>
      </c>
      <c r="G55" s="45" t="s">
        <v>249</v>
      </c>
      <c r="H55" s="45" t="s">
        <v>623</v>
      </c>
      <c r="I55" s="47" t="n">
        <f aca="false">'Input Required'!G56</f>
        <v>0</v>
      </c>
    </row>
    <row r="56" customFormat="false" ht="46.25" hidden="false" customHeight="false" outlineLevel="0" collapsed="false">
      <c r="A56" s="45" t="s">
        <v>268</v>
      </c>
      <c r="B56" s="45" t="s">
        <v>269</v>
      </c>
      <c r="C56" s="47" t="str">
        <f aca="false">IF('Input Required'!F57="","INPUT REQUIRED",IF(AND('Input Required'!H57="Yes",'Input Required'!G57=""),"SOURCE REQUIRED",IF(OR(AND('Input Required'!F57&lt;&gt;"",NOT(ISNUMBER('Input Required'!F57))),AND(ISNUMBER('Input Required'!F57),NOT(OR('Input Required'!F57=0,'Input Required'!F57=1))),AND(ISNUMBER('Input Required'!F57),'Input Required'!F57&lt;0),AND(ISNUMBER('Input Required'!F57),'Input Required'!F57&gt;1)),"INPUT ERROR","READY")))</f>
        <v>INPUT REQUIRED</v>
      </c>
      <c r="D56" s="45" t="s">
        <v>572</v>
      </c>
      <c r="E56" s="45"/>
      <c r="F56" s="45" t="s">
        <v>182</v>
      </c>
      <c r="G56" s="45" t="s">
        <v>270</v>
      </c>
      <c r="H56" s="45" t="s">
        <v>624</v>
      </c>
      <c r="I56" s="47" t="n">
        <f aca="false">'Input Required'!G57</f>
        <v>0</v>
      </c>
    </row>
    <row r="57" customFormat="false" ht="46.25" hidden="false" customHeight="false" outlineLevel="0" collapsed="false">
      <c r="A57" s="45" t="s">
        <v>271</v>
      </c>
      <c r="B57" s="45" t="s">
        <v>272</v>
      </c>
      <c r="C57" s="47" t="str">
        <f aca="false">IF('Input Required'!F58="","INPUT REQUIRED",IF(AND('Input Required'!H58="Yes",'Input Required'!G58=""),"SOURCE REQUIRED",IF(OR(AND('Input Required'!F58&lt;&gt;"",NOT(ISNUMBER('Input Required'!F58))),AND(ISNUMBER('Input Required'!F58),'Input Required'!F58&lt;2026),AND(ISNUMBER('Input Required'!F58),'Input Required'!F58&gt;2035)),"INPUT ERROR","READY")))</f>
        <v>INPUT REQUIRED</v>
      </c>
      <c r="D57" s="45" t="s">
        <v>572</v>
      </c>
      <c r="E57" s="45"/>
      <c r="F57" s="45" t="s">
        <v>186</v>
      </c>
      <c r="G57" s="45" t="s">
        <v>270</v>
      </c>
      <c r="H57" s="45" t="s">
        <v>625</v>
      </c>
      <c r="I57" s="47" t="n">
        <f aca="false">'Input Required'!G58</f>
        <v>0</v>
      </c>
    </row>
    <row r="58" customFormat="false" ht="46.25" hidden="false" customHeight="false" outlineLevel="0" collapsed="false">
      <c r="A58" s="45" t="s">
        <v>273</v>
      </c>
      <c r="B58" s="45" t="s">
        <v>274</v>
      </c>
      <c r="C58" s="47" t="str">
        <f aca="false">IF('Input Required'!F59="","INPUT REQUIRED",IF(AND('Input Required'!H59="Yes",'Input Required'!G59=""),"SOURCE REQUIRED",IF(OR(AND('Input Required'!F59&lt;&gt;"",NOT(ISNUMBER('Input Required'!F59))),AND(ISNUMBER('Input Required'!F59),'Input Required'!F59&lt;0)),"INPUT ERROR","READY")))</f>
        <v>INPUT REQUIRED</v>
      </c>
      <c r="D58" s="45" t="s">
        <v>572</v>
      </c>
      <c r="E58" s="45"/>
      <c r="F58" s="45" t="s">
        <v>189</v>
      </c>
      <c r="G58" s="45" t="s">
        <v>270</v>
      </c>
      <c r="H58" s="45" t="s">
        <v>626</v>
      </c>
      <c r="I58" s="47" t="n">
        <f aca="false">'Input Required'!G59</f>
        <v>0</v>
      </c>
    </row>
    <row r="59" customFormat="false" ht="46.25" hidden="false" customHeight="false" outlineLevel="0" collapsed="false">
      <c r="A59" s="45" t="s">
        <v>275</v>
      </c>
      <c r="B59" s="45" t="s">
        <v>276</v>
      </c>
      <c r="C59" s="47" t="str">
        <f aca="false">IF('Input Required'!F60="","INPUT REQUIRED",IF(AND('Input Required'!H60="Yes",'Input Required'!G60=""),"SOURCE REQUIRED",IF(OR(AND('Input Required'!F60&lt;&gt;"",NOT(ISNUMBER('Input Required'!F60))),AND(ISNUMBER('Input Required'!F60),'Input Required'!F60&lt;1),AND(ISNUMBER('Input Required'!F60),'Input Required'!F60&gt;10)),"INPUT ERROR","READY")))</f>
        <v>INPUT REQUIRED</v>
      </c>
      <c r="D59" s="45" t="s">
        <v>572</v>
      </c>
      <c r="E59" s="45"/>
      <c r="F59" s="45" t="s">
        <v>192</v>
      </c>
      <c r="G59" s="45" t="s">
        <v>270</v>
      </c>
      <c r="H59" s="45" t="s">
        <v>627</v>
      </c>
      <c r="I59" s="47" t="n">
        <f aca="false">'Input Required'!G60</f>
        <v>0</v>
      </c>
    </row>
    <row r="60" customFormat="false" ht="46.25" hidden="false" customHeight="false" outlineLevel="0" collapsed="false">
      <c r="A60" s="45" t="s">
        <v>277</v>
      </c>
      <c r="B60" s="45" t="s">
        <v>278</v>
      </c>
      <c r="C60" s="47" t="str">
        <f aca="false">IF('Input Required'!F61="","INPUT REQUIRED",IF(AND('Input Required'!H61="Yes",'Input Required'!G61=""),"SOURCE REQUIRED",IF(OR(AND('Input Required'!F61&lt;&gt;"",NOT(ISNUMBER('Input Required'!F61))),AND(ISNUMBER('Input Required'!F61),'Input Required'!F61&lt;2026),AND(ISNUMBER('Input Required'!F61),'Input Required'!F61&gt;2050)),"INPUT ERROR","READY")))</f>
        <v>INPUT REQUIRED</v>
      </c>
      <c r="D60" s="45" t="s">
        <v>572</v>
      </c>
      <c r="E60" s="45"/>
      <c r="F60" s="45" t="s">
        <v>186</v>
      </c>
      <c r="G60" s="45" t="s">
        <v>270</v>
      </c>
      <c r="H60" s="45" t="s">
        <v>628</v>
      </c>
      <c r="I60" s="47" t="n">
        <f aca="false">'Input Required'!G61</f>
        <v>0</v>
      </c>
    </row>
    <row r="61" customFormat="false" ht="46.25" hidden="false" customHeight="false" outlineLevel="0" collapsed="false">
      <c r="A61" s="45" t="s">
        <v>279</v>
      </c>
      <c r="B61" s="45" t="s">
        <v>280</v>
      </c>
      <c r="C61" s="47" t="str">
        <f aca="false">IF('Input Required'!F62="","INPUT REQUIRED",IF(AND('Input Required'!H62="Yes",'Input Required'!G62=""),"SOURCE REQUIRED",IF(OR(AND('Input Required'!F62&lt;&gt;"",NOT(ISNUMBER('Input Required'!F62))),AND(ISNUMBER('Input Required'!F62),'Input Required'!F62&lt;0),AND(ISNUMBER('Input Required'!F62),'Input Required'!F62&gt;0.99)),"INPUT ERROR","READY")))</f>
        <v>INPUT REQUIRED</v>
      </c>
      <c r="D61" s="45" t="s">
        <v>572</v>
      </c>
      <c r="E61" s="45"/>
      <c r="F61" s="45" t="s">
        <v>156</v>
      </c>
      <c r="G61" s="45" t="s">
        <v>270</v>
      </c>
      <c r="H61" s="45" t="s">
        <v>629</v>
      </c>
      <c r="I61" s="47" t="n">
        <f aca="false">'Input Required'!G62</f>
        <v>0</v>
      </c>
    </row>
    <row r="62" customFormat="false" ht="46.25" hidden="false" customHeight="false" outlineLevel="0" collapsed="false">
      <c r="A62" s="45" t="s">
        <v>281</v>
      </c>
      <c r="B62" s="45" t="s">
        <v>282</v>
      </c>
      <c r="C62" s="47" t="str">
        <f aca="false">IF('Input Required'!F63="","INPUT REQUIRED",IF(AND('Input Required'!H63="Yes",'Input Required'!G63=""),"SOURCE REQUIRED",IF(OR(AND('Input Required'!F63&lt;&gt;"",NOT(ISNUMBER('Input Required'!F63))),AND(ISNUMBER('Input Required'!F63),'Input Required'!F63&lt;0),AND(ISNUMBER('Input Required'!F63),'Input Required'!F63&gt;1)),"INPUT ERROR","READY")))</f>
        <v>INPUT REQUIRED</v>
      </c>
      <c r="D62" s="45" t="s">
        <v>572</v>
      </c>
      <c r="E62" s="45"/>
      <c r="F62" s="45" t="s">
        <v>156</v>
      </c>
      <c r="G62" s="45" t="s">
        <v>270</v>
      </c>
      <c r="H62" s="45" t="s">
        <v>630</v>
      </c>
      <c r="I62" s="47" t="n">
        <f aca="false">'Input Required'!G63</f>
        <v>0</v>
      </c>
    </row>
    <row r="63" customFormat="false" ht="46.25" hidden="false" customHeight="false" outlineLevel="0" collapsed="false">
      <c r="A63" s="45" t="s">
        <v>283</v>
      </c>
      <c r="B63" s="45" t="s">
        <v>284</v>
      </c>
      <c r="C63" s="47" t="str">
        <f aca="false">IF('Input Required'!F64="","INPUT REQUIRED",IF(AND('Input Required'!H64="Yes",'Input Required'!G64=""),"SOURCE REQUIRED",IF(OR(AND('Input Required'!F64&lt;&gt;"",NOT(ISNUMBER('Input Required'!F64))),AND(ISNUMBER('Input Required'!F64),'Input Required'!F64&lt;0),AND(ISNUMBER('Input Required'!F64),'Input Required'!F64&gt;1)),"INPUT ERROR","READY")))</f>
        <v>INPUT REQUIRED</v>
      </c>
      <c r="D63" s="45" t="s">
        <v>572</v>
      </c>
      <c r="E63" s="45"/>
      <c r="F63" s="45" t="s">
        <v>156</v>
      </c>
      <c r="G63" s="45" t="s">
        <v>270</v>
      </c>
      <c r="H63" s="45" t="s">
        <v>631</v>
      </c>
      <c r="I63" s="47" t="n">
        <f aca="false">'Input Required'!G64</f>
        <v>0</v>
      </c>
    </row>
    <row r="64" customFormat="false" ht="46.25" hidden="false" customHeight="false" outlineLevel="0" collapsed="false">
      <c r="A64" s="45" t="s">
        <v>285</v>
      </c>
      <c r="B64" s="45" t="s">
        <v>286</v>
      </c>
      <c r="C64" s="47" t="str">
        <f aca="false">IF('Input Required'!F65="","INPUT REQUIRED",IF(AND('Input Required'!H65="Yes",'Input Required'!G65=""),"SOURCE REQUIRED",IF(OR(AND('Input Required'!F65&lt;&gt;"",NOT(ISNUMBER('Input Required'!F65))),AND(ISNUMBER('Input Required'!F65),'Input Required'!F65&lt;-1),AND(ISNUMBER('Input Required'!F65),'Input Required'!F65&gt;1)),"INPUT ERROR","READY")))</f>
        <v>INPUT REQUIRED</v>
      </c>
      <c r="D64" s="45" t="s">
        <v>572</v>
      </c>
      <c r="E64" s="45"/>
      <c r="F64" s="45" t="s">
        <v>156</v>
      </c>
      <c r="G64" s="45" t="s">
        <v>270</v>
      </c>
      <c r="H64" s="45" t="s">
        <v>632</v>
      </c>
      <c r="I64" s="47" t="n">
        <f aca="false">'Input Required'!G65</f>
        <v>0</v>
      </c>
    </row>
    <row r="65" customFormat="false" ht="46.25" hidden="false" customHeight="false" outlineLevel="0" collapsed="false">
      <c r="A65" s="45" t="s">
        <v>287</v>
      </c>
      <c r="B65" s="45" t="s">
        <v>288</v>
      </c>
      <c r="C65" s="47" t="str">
        <f aca="false">IF('Input Required'!F66="","INPUT REQUIRED",IF(AND('Input Required'!H66="Yes",'Input Required'!G66=""),"SOURCE REQUIRED",IF(OR(AND('Input Required'!F66&lt;&gt;"",NOT(ISNUMBER('Input Required'!F66))),AND(ISNUMBER('Input Required'!F66),'Input Required'!F66&lt;0)),"INPUT ERROR","READY")))</f>
        <v>INPUT REQUIRED</v>
      </c>
      <c r="D65" s="45" t="s">
        <v>572</v>
      </c>
      <c r="E65" s="45"/>
      <c r="F65" s="45" t="s">
        <v>189</v>
      </c>
      <c r="G65" s="45" t="s">
        <v>270</v>
      </c>
      <c r="H65" s="45" t="s">
        <v>633</v>
      </c>
      <c r="I65" s="47" t="n">
        <f aca="false">'Input Required'!G66</f>
        <v>0</v>
      </c>
    </row>
    <row r="66" customFormat="false" ht="57.45" hidden="false" customHeight="false" outlineLevel="0" collapsed="false">
      <c r="A66" s="45" t="s">
        <v>289</v>
      </c>
      <c r="B66" s="45" t="s">
        <v>290</v>
      </c>
      <c r="C66" s="47" t="str">
        <f aca="false">IF('Input Required'!F67="","INPUT REQUIRED",IF(AND('Input Required'!H67="Yes",'Input Required'!G67=""),"SOURCE REQUIRED",IF(OR(AND('Input Required'!F67&lt;&gt;"",NOT(ISNUMBER('Input Required'!F67))),AND(ISNUMBER('Input Required'!F67),NOT(OR('Input Required'!F67=0,'Input Required'!F67=1))),AND(ISNUMBER('Input Required'!F67),'Input Required'!F67&lt;0),AND(ISNUMBER('Input Required'!F67),'Input Required'!F67&gt;1)),"INPUT ERROR","READY")))</f>
        <v>INPUT REQUIRED</v>
      </c>
      <c r="D66" s="45" t="s">
        <v>572</v>
      </c>
      <c r="E66" s="45"/>
      <c r="F66" s="45" t="s">
        <v>182</v>
      </c>
      <c r="G66" s="45" t="s">
        <v>291</v>
      </c>
      <c r="H66" s="45" t="s">
        <v>634</v>
      </c>
      <c r="I66" s="47" t="n">
        <f aca="false">'Input Required'!G67</f>
        <v>0</v>
      </c>
    </row>
    <row r="67" customFormat="false" ht="57.45" hidden="false" customHeight="false" outlineLevel="0" collapsed="false">
      <c r="A67" s="45" t="s">
        <v>292</v>
      </c>
      <c r="B67" s="45" t="s">
        <v>293</v>
      </c>
      <c r="C67" s="47" t="str">
        <f aca="false">IF('Input Required'!F68="","INPUT REQUIRED",IF(AND('Input Required'!H68="Yes",'Input Required'!G68=""),"SOURCE REQUIRED",IF(OR(AND('Input Required'!F68&lt;&gt;"",NOT(ISNUMBER('Input Required'!F68))),AND(ISNUMBER('Input Required'!F68),'Input Required'!F68&lt;2026),AND(ISNUMBER('Input Required'!F68),'Input Required'!F68&gt;2035)),"INPUT ERROR","READY")))</f>
        <v>INPUT REQUIRED</v>
      </c>
      <c r="D67" s="45" t="s">
        <v>572</v>
      </c>
      <c r="E67" s="45"/>
      <c r="F67" s="45" t="s">
        <v>186</v>
      </c>
      <c r="G67" s="45" t="s">
        <v>291</v>
      </c>
      <c r="H67" s="45" t="s">
        <v>635</v>
      </c>
      <c r="I67" s="47" t="n">
        <f aca="false">'Input Required'!G68</f>
        <v>0</v>
      </c>
    </row>
    <row r="68" customFormat="false" ht="57.45" hidden="false" customHeight="false" outlineLevel="0" collapsed="false">
      <c r="A68" s="45" t="s">
        <v>294</v>
      </c>
      <c r="B68" s="45" t="s">
        <v>295</v>
      </c>
      <c r="C68" s="47" t="str">
        <f aca="false">IF('Input Required'!F69="","INPUT REQUIRED",IF(AND('Input Required'!H69="Yes",'Input Required'!G69=""),"SOURCE REQUIRED",IF(OR(AND('Input Required'!F69&lt;&gt;"",NOT(ISNUMBER('Input Required'!F69))),AND(ISNUMBER('Input Required'!F69),'Input Required'!F69&lt;0)),"INPUT ERROR","READY")))</f>
        <v>INPUT REQUIRED</v>
      </c>
      <c r="D68" s="45" t="s">
        <v>572</v>
      </c>
      <c r="E68" s="45"/>
      <c r="F68" s="45" t="s">
        <v>189</v>
      </c>
      <c r="G68" s="45" t="s">
        <v>291</v>
      </c>
      <c r="H68" s="45" t="s">
        <v>636</v>
      </c>
      <c r="I68" s="47" t="n">
        <f aca="false">'Input Required'!G69</f>
        <v>0</v>
      </c>
    </row>
    <row r="69" customFormat="false" ht="57.45" hidden="false" customHeight="false" outlineLevel="0" collapsed="false">
      <c r="A69" s="45" t="s">
        <v>296</v>
      </c>
      <c r="B69" s="45" t="s">
        <v>297</v>
      </c>
      <c r="C69" s="47" t="str">
        <f aca="false">IF('Input Required'!F70="","INPUT REQUIRED",IF(AND('Input Required'!H70="Yes",'Input Required'!G70=""),"SOURCE REQUIRED",IF(OR(AND('Input Required'!F70&lt;&gt;"",NOT(ISNUMBER('Input Required'!F70))),AND(ISNUMBER('Input Required'!F70),'Input Required'!F70&lt;1),AND(ISNUMBER('Input Required'!F70),'Input Required'!F70&gt;10)),"INPUT ERROR","READY")))</f>
        <v>INPUT REQUIRED</v>
      </c>
      <c r="D69" s="45" t="s">
        <v>572</v>
      </c>
      <c r="E69" s="45"/>
      <c r="F69" s="45" t="s">
        <v>192</v>
      </c>
      <c r="G69" s="45" t="s">
        <v>291</v>
      </c>
      <c r="H69" s="45" t="s">
        <v>637</v>
      </c>
      <c r="I69" s="47" t="n">
        <f aca="false">'Input Required'!G70</f>
        <v>0</v>
      </c>
    </row>
    <row r="70" customFormat="false" ht="57.45" hidden="false" customHeight="false" outlineLevel="0" collapsed="false">
      <c r="A70" s="45" t="s">
        <v>298</v>
      </c>
      <c r="B70" s="45" t="s">
        <v>299</v>
      </c>
      <c r="C70" s="47" t="str">
        <f aca="false">IF('Input Required'!F71="","INPUT REQUIRED",IF(AND('Input Required'!H71="Yes",'Input Required'!G71=""),"SOURCE REQUIRED",IF(OR(AND('Input Required'!F71&lt;&gt;"",NOT(ISNUMBER('Input Required'!F71))),AND(ISNUMBER('Input Required'!F71),'Input Required'!F71&lt;2026),AND(ISNUMBER('Input Required'!F71),'Input Required'!F71&gt;2050)),"INPUT ERROR","READY")))</f>
        <v>INPUT REQUIRED</v>
      </c>
      <c r="D70" s="45" t="s">
        <v>572</v>
      </c>
      <c r="E70" s="45"/>
      <c r="F70" s="45" t="s">
        <v>186</v>
      </c>
      <c r="G70" s="45" t="s">
        <v>291</v>
      </c>
      <c r="H70" s="45" t="s">
        <v>638</v>
      </c>
      <c r="I70" s="47" t="n">
        <f aca="false">'Input Required'!G71</f>
        <v>0</v>
      </c>
    </row>
    <row r="71" customFormat="false" ht="57.45" hidden="false" customHeight="false" outlineLevel="0" collapsed="false">
      <c r="A71" s="45" t="s">
        <v>300</v>
      </c>
      <c r="B71" s="45" t="s">
        <v>301</v>
      </c>
      <c r="C71" s="47" t="str">
        <f aca="false">IF('Input Required'!F72="","INPUT REQUIRED",IF(AND('Input Required'!H72="Yes",'Input Required'!G72=""),"SOURCE REQUIRED",IF(OR(AND('Input Required'!F72&lt;&gt;"",NOT(ISNUMBER('Input Required'!F72))),AND(ISNUMBER('Input Required'!F72),'Input Required'!F72&lt;0),AND(ISNUMBER('Input Required'!F72),'Input Required'!F72&gt;0.99)),"INPUT ERROR","READY")))</f>
        <v>INPUT REQUIRED</v>
      </c>
      <c r="D71" s="45" t="s">
        <v>572</v>
      </c>
      <c r="E71" s="45"/>
      <c r="F71" s="45" t="s">
        <v>156</v>
      </c>
      <c r="G71" s="45" t="s">
        <v>291</v>
      </c>
      <c r="H71" s="45" t="s">
        <v>639</v>
      </c>
      <c r="I71" s="47" t="n">
        <f aca="false">'Input Required'!G72</f>
        <v>0</v>
      </c>
    </row>
    <row r="72" customFormat="false" ht="57.45" hidden="false" customHeight="false" outlineLevel="0" collapsed="false">
      <c r="A72" s="45" t="s">
        <v>302</v>
      </c>
      <c r="B72" s="45" t="s">
        <v>303</v>
      </c>
      <c r="C72" s="47" t="str">
        <f aca="false">IF('Input Required'!F73="","INPUT REQUIRED",IF(AND('Input Required'!H73="Yes",'Input Required'!G73=""),"SOURCE REQUIRED",IF(OR(AND('Input Required'!F73&lt;&gt;"",NOT(ISNUMBER('Input Required'!F73))),AND(ISNUMBER('Input Required'!F73),'Input Required'!F73&lt;0),AND(ISNUMBER('Input Required'!F73),'Input Required'!F73&gt;1)),"INPUT ERROR","READY")))</f>
        <v>INPUT REQUIRED</v>
      </c>
      <c r="D72" s="45" t="s">
        <v>572</v>
      </c>
      <c r="E72" s="45"/>
      <c r="F72" s="45" t="s">
        <v>156</v>
      </c>
      <c r="G72" s="45" t="s">
        <v>291</v>
      </c>
      <c r="H72" s="45" t="s">
        <v>640</v>
      </c>
      <c r="I72" s="47" t="n">
        <f aca="false">'Input Required'!G73</f>
        <v>0</v>
      </c>
    </row>
    <row r="73" customFormat="false" ht="57.45" hidden="false" customHeight="false" outlineLevel="0" collapsed="false">
      <c r="A73" s="45" t="s">
        <v>304</v>
      </c>
      <c r="B73" s="45" t="s">
        <v>305</v>
      </c>
      <c r="C73" s="47" t="str">
        <f aca="false">IF('Input Required'!F74="","INPUT REQUIRED",IF(AND('Input Required'!H74="Yes",'Input Required'!G74=""),"SOURCE REQUIRED",IF(OR(AND('Input Required'!F74&lt;&gt;"",NOT(ISNUMBER('Input Required'!F74))),AND(ISNUMBER('Input Required'!F74),'Input Required'!F74&lt;0),AND(ISNUMBER('Input Required'!F74),'Input Required'!F74&gt;1)),"INPUT ERROR","READY")))</f>
        <v>INPUT REQUIRED</v>
      </c>
      <c r="D73" s="45" t="s">
        <v>572</v>
      </c>
      <c r="E73" s="45"/>
      <c r="F73" s="45" t="s">
        <v>156</v>
      </c>
      <c r="G73" s="45" t="s">
        <v>291</v>
      </c>
      <c r="H73" s="45" t="s">
        <v>641</v>
      </c>
      <c r="I73" s="47" t="n">
        <f aca="false">'Input Required'!G74</f>
        <v>0</v>
      </c>
    </row>
    <row r="74" customFormat="false" ht="57.45" hidden="false" customHeight="false" outlineLevel="0" collapsed="false">
      <c r="A74" s="45" t="s">
        <v>306</v>
      </c>
      <c r="B74" s="45" t="s">
        <v>307</v>
      </c>
      <c r="C74" s="47" t="str">
        <f aca="false">IF('Input Required'!F75="","INPUT REQUIRED",IF(AND('Input Required'!H75="Yes",'Input Required'!G75=""),"SOURCE REQUIRED",IF(OR(AND('Input Required'!F75&lt;&gt;"",NOT(ISNUMBER('Input Required'!F75))),AND(ISNUMBER('Input Required'!F75),'Input Required'!F75&lt;-1),AND(ISNUMBER('Input Required'!F75),'Input Required'!F75&gt;1)),"INPUT ERROR","READY")))</f>
        <v>INPUT REQUIRED</v>
      </c>
      <c r="D74" s="45" t="s">
        <v>572</v>
      </c>
      <c r="E74" s="45"/>
      <c r="F74" s="45" t="s">
        <v>156</v>
      </c>
      <c r="G74" s="45" t="s">
        <v>291</v>
      </c>
      <c r="H74" s="45" t="s">
        <v>642</v>
      </c>
      <c r="I74" s="47" t="n">
        <f aca="false">'Input Required'!G75</f>
        <v>0</v>
      </c>
    </row>
    <row r="75" customFormat="false" ht="57.45" hidden="false" customHeight="false" outlineLevel="0" collapsed="false">
      <c r="A75" s="45" t="s">
        <v>308</v>
      </c>
      <c r="B75" s="45" t="s">
        <v>309</v>
      </c>
      <c r="C75" s="47" t="str">
        <f aca="false">IF('Input Required'!F76="","INPUT REQUIRED",IF(AND('Input Required'!H76="Yes",'Input Required'!G76=""),"SOURCE REQUIRED",IF(OR(AND('Input Required'!F76&lt;&gt;"",NOT(ISNUMBER('Input Required'!F76))),AND(ISNUMBER('Input Required'!F76),'Input Required'!F76&lt;0)),"INPUT ERROR","READY")))</f>
        <v>INPUT REQUIRED</v>
      </c>
      <c r="D75" s="45" t="s">
        <v>572</v>
      </c>
      <c r="E75" s="45"/>
      <c r="F75" s="45" t="s">
        <v>189</v>
      </c>
      <c r="G75" s="45" t="s">
        <v>291</v>
      </c>
      <c r="H75" s="45" t="s">
        <v>643</v>
      </c>
      <c r="I75" s="47" t="n">
        <f aca="false">'Input Required'!G76</f>
        <v>0</v>
      </c>
    </row>
    <row r="76" customFormat="false" ht="57.45" hidden="false" customHeight="false" outlineLevel="0" collapsed="false">
      <c r="A76" s="45" t="s">
        <v>310</v>
      </c>
      <c r="B76" s="45" t="s">
        <v>311</v>
      </c>
      <c r="C76" s="47" t="str">
        <f aca="false">IF('Input Required'!F77="","INPUT REQUIRED",IF(AND('Input Required'!H77="Yes",'Input Required'!G77=""),"SOURCE REQUIRED",IF(OR(AND('Input Required'!F77&lt;&gt;"",NOT(ISNUMBER('Input Required'!F77))),AND(ISNUMBER('Input Required'!F77),NOT(OR('Input Required'!F77=0,'Input Required'!F77=1))),AND(ISNUMBER('Input Required'!F77),'Input Required'!F77&lt;0),AND(ISNUMBER('Input Required'!F77),'Input Required'!F77&gt;1)),"INPUT ERROR","READY")))</f>
        <v>INPUT REQUIRED</v>
      </c>
      <c r="D76" s="45" t="s">
        <v>572</v>
      </c>
      <c r="E76" s="45"/>
      <c r="F76" s="45" t="s">
        <v>182</v>
      </c>
      <c r="G76" s="45" t="s">
        <v>312</v>
      </c>
      <c r="H76" s="45" t="s">
        <v>644</v>
      </c>
      <c r="I76" s="47" t="n">
        <f aca="false">'Input Required'!G77</f>
        <v>0</v>
      </c>
    </row>
    <row r="77" customFormat="false" ht="57.45" hidden="false" customHeight="false" outlineLevel="0" collapsed="false">
      <c r="A77" s="45" t="s">
        <v>313</v>
      </c>
      <c r="B77" s="45" t="s">
        <v>314</v>
      </c>
      <c r="C77" s="47" t="str">
        <f aca="false">IF('Input Required'!F78="","INPUT REQUIRED",IF(AND('Input Required'!H78="Yes",'Input Required'!G78=""),"SOURCE REQUIRED",IF(OR(AND('Input Required'!F78&lt;&gt;"",NOT(ISNUMBER('Input Required'!F78))),AND(ISNUMBER('Input Required'!F78),'Input Required'!F78&lt;2026),AND(ISNUMBER('Input Required'!F78),'Input Required'!F78&gt;2035)),"INPUT ERROR","READY")))</f>
        <v>INPUT REQUIRED</v>
      </c>
      <c r="D77" s="45" t="s">
        <v>572</v>
      </c>
      <c r="E77" s="45"/>
      <c r="F77" s="45" t="s">
        <v>186</v>
      </c>
      <c r="G77" s="45" t="s">
        <v>312</v>
      </c>
      <c r="H77" s="45" t="s">
        <v>645</v>
      </c>
      <c r="I77" s="47" t="n">
        <f aca="false">'Input Required'!G78</f>
        <v>0</v>
      </c>
    </row>
    <row r="78" customFormat="false" ht="57.45" hidden="false" customHeight="false" outlineLevel="0" collapsed="false">
      <c r="A78" s="45" t="s">
        <v>315</v>
      </c>
      <c r="B78" s="45" t="s">
        <v>316</v>
      </c>
      <c r="C78" s="47" t="str">
        <f aca="false">IF('Input Required'!F79="","INPUT REQUIRED",IF(AND('Input Required'!H79="Yes",'Input Required'!G79=""),"SOURCE REQUIRED",IF(OR(AND('Input Required'!F79&lt;&gt;"",NOT(ISNUMBER('Input Required'!F79))),AND(ISNUMBER('Input Required'!F79),'Input Required'!F79&lt;0)),"INPUT ERROR","READY")))</f>
        <v>INPUT REQUIRED</v>
      </c>
      <c r="D78" s="45" t="s">
        <v>572</v>
      </c>
      <c r="E78" s="45"/>
      <c r="F78" s="45" t="s">
        <v>189</v>
      </c>
      <c r="G78" s="45" t="s">
        <v>312</v>
      </c>
      <c r="H78" s="45" t="s">
        <v>646</v>
      </c>
      <c r="I78" s="47" t="n">
        <f aca="false">'Input Required'!G79</f>
        <v>0</v>
      </c>
    </row>
    <row r="79" customFormat="false" ht="57.45" hidden="false" customHeight="false" outlineLevel="0" collapsed="false">
      <c r="A79" s="45" t="s">
        <v>317</v>
      </c>
      <c r="B79" s="45" t="s">
        <v>318</v>
      </c>
      <c r="C79" s="47" t="str">
        <f aca="false">IF('Input Required'!F80="","INPUT REQUIRED",IF(AND('Input Required'!H80="Yes",'Input Required'!G80=""),"SOURCE REQUIRED",IF(OR(AND('Input Required'!F80&lt;&gt;"",NOT(ISNUMBER('Input Required'!F80))),AND(ISNUMBER('Input Required'!F80),'Input Required'!F80&lt;1),AND(ISNUMBER('Input Required'!F80),'Input Required'!F80&gt;10)),"INPUT ERROR","READY")))</f>
        <v>INPUT REQUIRED</v>
      </c>
      <c r="D79" s="45" t="s">
        <v>572</v>
      </c>
      <c r="E79" s="45"/>
      <c r="F79" s="45" t="s">
        <v>192</v>
      </c>
      <c r="G79" s="45" t="s">
        <v>312</v>
      </c>
      <c r="H79" s="45" t="s">
        <v>647</v>
      </c>
      <c r="I79" s="47" t="n">
        <f aca="false">'Input Required'!G80</f>
        <v>0</v>
      </c>
    </row>
    <row r="80" customFormat="false" ht="57.45" hidden="false" customHeight="false" outlineLevel="0" collapsed="false">
      <c r="A80" s="45" t="s">
        <v>319</v>
      </c>
      <c r="B80" s="45" t="s">
        <v>320</v>
      </c>
      <c r="C80" s="47" t="str">
        <f aca="false">IF('Input Required'!F81="","INPUT REQUIRED",IF(AND('Input Required'!H81="Yes",'Input Required'!G81=""),"SOURCE REQUIRED",IF(OR(AND('Input Required'!F81&lt;&gt;"",NOT(ISNUMBER('Input Required'!F81))),AND(ISNUMBER('Input Required'!F81),'Input Required'!F81&lt;2026),AND(ISNUMBER('Input Required'!F81),'Input Required'!F81&gt;2050)),"INPUT ERROR","READY")))</f>
        <v>INPUT REQUIRED</v>
      </c>
      <c r="D80" s="45" t="s">
        <v>572</v>
      </c>
      <c r="E80" s="45"/>
      <c r="F80" s="45" t="s">
        <v>186</v>
      </c>
      <c r="G80" s="45" t="s">
        <v>312</v>
      </c>
      <c r="H80" s="45" t="s">
        <v>648</v>
      </c>
      <c r="I80" s="47" t="n">
        <f aca="false">'Input Required'!G81</f>
        <v>0</v>
      </c>
    </row>
    <row r="81" customFormat="false" ht="57.45" hidden="false" customHeight="false" outlineLevel="0" collapsed="false">
      <c r="A81" s="45" t="s">
        <v>321</v>
      </c>
      <c r="B81" s="45" t="s">
        <v>322</v>
      </c>
      <c r="C81" s="47" t="str">
        <f aca="false">IF('Input Required'!F82="","INPUT REQUIRED",IF(AND('Input Required'!H82="Yes",'Input Required'!G82=""),"SOURCE REQUIRED",IF(OR(AND('Input Required'!F82&lt;&gt;"",NOT(ISNUMBER('Input Required'!F82))),AND(ISNUMBER('Input Required'!F82),'Input Required'!F82&lt;0),AND(ISNUMBER('Input Required'!F82),'Input Required'!F82&gt;0.99)),"INPUT ERROR","READY")))</f>
        <v>INPUT REQUIRED</v>
      </c>
      <c r="D81" s="45" t="s">
        <v>572</v>
      </c>
      <c r="E81" s="45"/>
      <c r="F81" s="45" t="s">
        <v>156</v>
      </c>
      <c r="G81" s="45" t="s">
        <v>312</v>
      </c>
      <c r="H81" s="45" t="s">
        <v>649</v>
      </c>
      <c r="I81" s="47" t="n">
        <f aca="false">'Input Required'!G82</f>
        <v>0</v>
      </c>
    </row>
    <row r="82" customFormat="false" ht="57.45" hidden="false" customHeight="false" outlineLevel="0" collapsed="false">
      <c r="A82" s="45" t="s">
        <v>323</v>
      </c>
      <c r="B82" s="45" t="s">
        <v>324</v>
      </c>
      <c r="C82" s="47" t="str">
        <f aca="false">IF('Input Required'!F83="","INPUT REQUIRED",IF(AND('Input Required'!H83="Yes",'Input Required'!G83=""),"SOURCE REQUIRED",IF(OR(AND('Input Required'!F83&lt;&gt;"",NOT(ISNUMBER('Input Required'!F83))),AND(ISNUMBER('Input Required'!F83),'Input Required'!F83&lt;0),AND(ISNUMBER('Input Required'!F83),'Input Required'!F83&gt;1)),"INPUT ERROR","READY")))</f>
        <v>INPUT REQUIRED</v>
      </c>
      <c r="D82" s="45" t="s">
        <v>572</v>
      </c>
      <c r="E82" s="45"/>
      <c r="F82" s="45" t="s">
        <v>156</v>
      </c>
      <c r="G82" s="45" t="s">
        <v>312</v>
      </c>
      <c r="H82" s="45" t="s">
        <v>650</v>
      </c>
      <c r="I82" s="47" t="n">
        <f aca="false">'Input Required'!G83</f>
        <v>0</v>
      </c>
    </row>
    <row r="83" customFormat="false" ht="57.45" hidden="false" customHeight="false" outlineLevel="0" collapsed="false">
      <c r="A83" s="45" t="s">
        <v>325</v>
      </c>
      <c r="B83" s="45" t="s">
        <v>326</v>
      </c>
      <c r="C83" s="47" t="str">
        <f aca="false">IF('Input Required'!F84="","INPUT REQUIRED",IF(AND('Input Required'!H84="Yes",'Input Required'!G84=""),"SOURCE REQUIRED",IF(OR(AND('Input Required'!F84&lt;&gt;"",NOT(ISNUMBER('Input Required'!F84))),AND(ISNUMBER('Input Required'!F84),'Input Required'!F84&lt;0),AND(ISNUMBER('Input Required'!F84),'Input Required'!F84&gt;1)),"INPUT ERROR","READY")))</f>
        <v>INPUT REQUIRED</v>
      </c>
      <c r="D83" s="45" t="s">
        <v>572</v>
      </c>
      <c r="E83" s="45"/>
      <c r="F83" s="45" t="s">
        <v>156</v>
      </c>
      <c r="G83" s="45" t="s">
        <v>312</v>
      </c>
      <c r="H83" s="45" t="s">
        <v>651</v>
      </c>
      <c r="I83" s="47" t="n">
        <f aca="false">'Input Required'!G84</f>
        <v>0</v>
      </c>
    </row>
    <row r="84" customFormat="false" ht="57.45" hidden="false" customHeight="false" outlineLevel="0" collapsed="false">
      <c r="A84" s="45" t="s">
        <v>327</v>
      </c>
      <c r="B84" s="45" t="s">
        <v>328</v>
      </c>
      <c r="C84" s="47" t="str">
        <f aca="false">IF('Input Required'!F85="","INPUT REQUIRED",IF(AND('Input Required'!H85="Yes",'Input Required'!G85=""),"SOURCE REQUIRED",IF(OR(AND('Input Required'!F85&lt;&gt;"",NOT(ISNUMBER('Input Required'!F85))),AND(ISNUMBER('Input Required'!F85),'Input Required'!F85&lt;-1),AND(ISNUMBER('Input Required'!F85),'Input Required'!F85&gt;1)),"INPUT ERROR","READY")))</f>
        <v>INPUT REQUIRED</v>
      </c>
      <c r="D84" s="45" t="s">
        <v>572</v>
      </c>
      <c r="E84" s="45"/>
      <c r="F84" s="45" t="s">
        <v>156</v>
      </c>
      <c r="G84" s="45" t="s">
        <v>312</v>
      </c>
      <c r="H84" s="45" t="s">
        <v>652</v>
      </c>
      <c r="I84" s="47" t="n">
        <f aca="false">'Input Required'!G85</f>
        <v>0</v>
      </c>
    </row>
    <row r="85" customFormat="false" ht="57.45" hidden="false" customHeight="false" outlineLevel="0" collapsed="false">
      <c r="A85" s="45" t="s">
        <v>329</v>
      </c>
      <c r="B85" s="45" t="s">
        <v>330</v>
      </c>
      <c r="C85" s="47" t="str">
        <f aca="false">IF('Input Required'!F86="","INPUT REQUIRED",IF(AND('Input Required'!H86="Yes",'Input Required'!G86=""),"SOURCE REQUIRED",IF(OR(AND('Input Required'!F86&lt;&gt;"",NOT(ISNUMBER('Input Required'!F86))),AND(ISNUMBER('Input Required'!F86),'Input Required'!F86&lt;0)),"INPUT ERROR","READY")))</f>
        <v>INPUT REQUIRED</v>
      </c>
      <c r="D85" s="45" t="s">
        <v>572</v>
      </c>
      <c r="E85" s="45"/>
      <c r="F85" s="45" t="s">
        <v>189</v>
      </c>
      <c r="G85" s="45" t="s">
        <v>312</v>
      </c>
      <c r="H85" s="45" t="s">
        <v>653</v>
      </c>
      <c r="I85" s="47" t="n">
        <f aca="false">'Input Required'!G86</f>
        <v>0</v>
      </c>
    </row>
    <row r="86" customFormat="false" ht="46.25" hidden="false" customHeight="false" outlineLevel="0" collapsed="false">
      <c r="A86" s="45" t="s">
        <v>331</v>
      </c>
      <c r="B86" s="45" t="s">
        <v>332</v>
      </c>
      <c r="C86" s="47" t="str">
        <f aca="false">IF('Input Required'!F87="","INPUT REQUIRED",IF(AND('Input Required'!H87="Yes",'Input Required'!G87=""),"SOURCE REQUIRED",IF(OR(AND('Input Required'!F87&lt;&gt;"",NOT(ISNUMBER('Input Required'!F87))),AND(ISNUMBER('Input Required'!F87),NOT(OR('Input Required'!F87=0,'Input Required'!F87=1))),AND(ISNUMBER('Input Required'!F87),'Input Required'!F87&lt;0),AND(ISNUMBER('Input Required'!F87),'Input Required'!F87&gt;1)),"INPUT ERROR","READY")))</f>
        <v>INPUT REQUIRED</v>
      </c>
      <c r="D86" s="45" t="s">
        <v>572</v>
      </c>
      <c r="E86" s="45"/>
      <c r="F86" s="45" t="s">
        <v>182</v>
      </c>
      <c r="G86" s="45" t="s">
        <v>333</v>
      </c>
      <c r="H86" s="45" t="s">
        <v>654</v>
      </c>
      <c r="I86" s="47" t="n">
        <f aca="false">'Input Required'!G87</f>
        <v>0</v>
      </c>
    </row>
    <row r="87" customFormat="false" ht="46.25" hidden="false" customHeight="false" outlineLevel="0" collapsed="false">
      <c r="A87" s="45" t="s">
        <v>334</v>
      </c>
      <c r="B87" s="45" t="s">
        <v>335</v>
      </c>
      <c r="C87" s="47" t="str">
        <f aca="false">IF('Input Required'!F88="","INPUT REQUIRED",IF(AND('Input Required'!H88="Yes",'Input Required'!G88=""),"SOURCE REQUIRED",IF(OR(AND('Input Required'!F88&lt;&gt;"",NOT(ISNUMBER('Input Required'!F88))),AND(ISNUMBER('Input Required'!F88),'Input Required'!F88&lt;2026),AND(ISNUMBER('Input Required'!F88),'Input Required'!F88&gt;2035)),"INPUT ERROR","READY")))</f>
        <v>INPUT REQUIRED</v>
      </c>
      <c r="D87" s="45" t="s">
        <v>572</v>
      </c>
      <c r="E87" s="45"/>
      <c r="F87" s="45" t="s">
        <v>186</v>
      </c>
      <c r="G87" s="45" t="s">
        <v>333</v>
      </c>
      <c r="H87" s="45" t="s">
        <v>655</v>
      </c>
      <c r="I87" s="47" t="n">
        <f aca="false">'Input Required'!G88</f>
        <v>0</v>
      </c>
    </row>
    <row r="88" customFormat="false" ht="46.25" hidden="false" customHeight="false" outlineLevel="0" collapsed="false">
      <c r="A88" s="45" t="s">
        <v>336</v>
      </c>
      <c r="B88" s="45" t="s">
        <v>337</v>
      </c>
      <c r="C88" s="47" t="str">
        <f aca="false">IF('Input Required'!F89="","INPUT REQUIRED",IF(AND('Input Required'!H89="Yes",'Input Required'!G89=""),"SOURCE REQUIRED",IF(OR(AND('Input Required'!F89&lt;&gt;"",NOT(ISNUMBER('Input Required'!F89))),AND(ISNUMBER('Input Required'!F89),'Input Required'!F89&lt;0)),"INPUT ERROR","READY")))</f>
        <v>INPUT REQUIRED</v>
      </c>
      <c r="D88" s="45" t="s">
        <v>572</v>
      </c>
      <c r="E88" s="45"/>
      <c r="F88" s="45" t="s">
        <v>189</v>
      </c>
      <c r="G88" s="45" t="s">
        <v>333</v>
      </c>
      <c r="H88" s="45" t="s">
        <v>656</v>
      </c>
      <c r="I88" s="47" t="n">
        <f aca="false">'Input Required'!G89</f>
        <v>0</v>
      </c>
    </row>
    <row r="89" customFormat="false" ht="46.25" hidden="false" customHeight="false" outlineLevel="0" collapsed="false">
      <c r="A89" s="45" t="s">
        <v>338</v>
      </c>
      <c r="B89" s="45" t="s">
        <v>339</v>
      </c>
      <c r="C89" s="47" t="str">
        <f aca="false">IF('Input Required'!F90="","INPUT REQUIRED",IF(AND('Input Required'!H90="Yes",'Input Required'!G90=""),"SOURCE REQUIRED",IF(OR(AND('Input Required'!F90&lt;&gt;"",NOT(ISNUMBER('Input Required'!F90))),AND(ISNUMBER('Input Required'!F90),'Input Required'!F90&lt;1),AND(ISNUMBER('Input Required'!F90),'Input Required'!F90&gt;10)),"INPUT ERROR","READY")))</f>
        <v>INPUT REQUIRED</v>
      </c>
      <c r="D89" s="45" t="s">
        <v>572</v>
      </c>
      <c r="E89" s="45"/>
      <c r="F89" s="45" t="s">
        <v>192</v>
      </c>
      <c r="G89" s="45" t="s">
        <v>333</v>
      </c>
      <c r="H89" s="45" t="s">
        <v>657</v>
      </c>
      <c r="I89" s="47" t="n">
        <f aca="false">'Input Required'!G90</f>
        <v>0</v>
      </c>
    </row>
    <row r="90" customFormat="false" ht="46.25" hidden="false" customHeight="false" outlineLevel="0" collapsed="false">
      <c r="A90" s="45" t="s">
        <v>340</v>
      </c>
      <c r="B90" s="45" t="s">
        <v>341</v>
      </c>
      <c r="C90" s="47" t="str">
        <f aca="false">IF('Input Required'!F91="","INPUT REQUIRED",IF(AND('Input Required'!H91="Yes",'Input Required'!G91=""),"SOURCE REQUIRED",IF(OR(AND('Input Required'!F91&lt;&gt;"",NOT(ISNUMBER('Input Required'!F91))),AND(ISNUMBER('Input Required'!F91),'Input Required'!F91&lt;2026),AND(ISNUMBER('Input Required'!F91),'Input Required'!F91&gt;2050)),"INPUT ERROR","READY")))</f>
        <v>INPUT REQUIRED</v>
      </c>
      <c r="D90" s="45" t="s">
        <v>572</v>
      </c>
      <c r="E90" s="45"/>
      <c r="F90" s="45" t="s">
        <v>186</v>
      </c>
      <c r="G90" s="45" t="s">
        <v>333</v>
      </c>
      <c r="H90" s="45" t="s">
        <v>658</v>
      </c>
      <c r="I90" s="47" t="n">
        <f aca="false">'Input Required'!G91</f>
        <v>0</v>
      </c>
    </row>
    <row r="91" customFormat="false" ht="46.25" hidden="false" customHeight="false" outlineLevel="0" collapsed="false">
      <c r="A91" s="45" t="s">
        <v>342</v>
      </c>
      <c r="B91" s="45" t="s">
        <v>343</v>
      </c>
      <c r="C91" s="47" t="str">
        <f aca="false">IF('Input Required'!F92="","INPUT REQUIRED",IF(AND('Input Required'!H92="Yes",'Input Required'!G92=""),"SOURCE REQUIRED",IF(OR(AND('Input Required'!F92&lt;&gt;"",NOT(ISNUMBER('Input Required'!F92))),AND(ISNUMBER('Input Required'!F92),'Input Required'!F92&lt;0),AND(ISNUMBER('Input Required'!F92),'Input Required'!F92&gt;0.99)),"INPUT ERROR","READY")))</f>
        <v>INPUT REQUIRED</v>
      </c>
      <c r="D91" s="45" t="s">
        <v>572</v>
      </c>
      <c r="E91" s="45"/>
      <c r="F91" s="45" t="s">
        <v>156</v>
      </c>
      <c r="G91" s="45" t="s">
        <v>333</v>
      </c>
      <c r="H91" s="45" t="s">
        <v>659</v>
      </c>
      <c r="I91" s="47" t="n">
        <f aca="false">'Input Required'!G92</f>
        <v>0</v>
      </c>
    </row>
    <row r="92" customFormat="false" ht="46.25" hidden="false" customHeight="false" outlineLevel="0" collapsed="false">
      <c r="A92" s="45" t="s">
        <v>344</v>
      </c>
      <c r="B92" s="45" t="s">
        <v>345</v>
      </c>
      <c r="C92" s="47" t="str">
        <f aca="false">IF('Input Required'!F93="","INPUT REQUIRED",IF(AND('Input Required'!H93="Yes",'Input Required'!G93=""),"SOURCE REQUIRED",IF(OR(AND('Input Required'!F93&lt;&gt;"",NOT(ISNUMBER('Input Required'!F93))),AND(ISNUMBER('Input Required'!F93),'Input Required'!F93&lt;0),AND(ISNUMBER('Input Required'!F93),'Input Required'!F93&gt;1)),"INPUT ERROR","READY")))</f>
        <v>INPUT REQUIRED</v>
      </c>
      <c r="D92" s="45" t="s">
        <v>572</v>
      </c>
      <c r="E92" s="45"/>
      <c r="F92" s="45" t="s">
        <v>156</v>
      </c>
      <c r="G92" s="45" t="s">
        <v>333</v>
      </c>
      <c r="H92" s="45" t="s">
        <v>660</v>
      </c>
      <c r="I92" s="47" t="n">
        <f aca="false">'Input Required'!G93</f>
        <v>0</v>
      </c>
    </row>
    <row r="93" customFormat="false" ht="46.25" hidden="false" customHeight="false" outlineLevel="0" collapsed="false">
      <c r="A93" s="45" t="s">
        <v>346</v>
      </c>
      <c r="B93" s="45" t="s">
        <v>347</v>
      </c>
      <c r="C93" s="47" t="str">
        <f aca="false">IF('Input Required'!F94="","INPUT REQUIRED",IF(AND('Input Required'!H94="Yes",'Input Required'!G94=""),"SOURCE REQUIRED",IF(OR(AND('Input Required'!F94&lt;&gt;"",NOT(ISNUMBER('Input Required'!F94))),AND(ISNUMBER('Input Required'!F94),'Input Required'!F94&lt;0),AND(ISNUMBER('Input Required'!F94),'Input Required'!F94&gt;1)),"INPUT ERROR","READY")))</f>
        <v>INPUT REQUIRED</v>
      </c>
      <c r="D93" s="45" t="s">
        <v>572</v>
      </c>
      <c r="E93" s="45"/>
      <c r="F93" s="45" t="s">
        <v>156</v>
      </c>
      <c r="G93" s="45" t="s">
        <v>333</v>
      </c>
      <c r="H93" s="45" t="s">
        <v>661</v>
      </c>
      <c r="I93" s="47" t="n">
        <f aca="false">'Input Required'!G94</f>
        <v>0</v>
      </c>
    </row>
    <row r="94" customFormat="false" ht="46.25" hidden="false" customHeight="false" outlineLevel="0" collapsed="false">
      <c r="A94" s="45" t="s">
        <v>348</v>
      </c>
      <c r="B94" s="45" t="s">
        <v>349</v>
      </c>
      <c r="C94" s="47" t="str">
        <f aca="false">IF('Input Required'!F95="","INPUT REQUIRED",IF(AND('Input Required'!H95="Yes",'Input Required'!G95=""),"SOURCE REQUIRED",IF(OR(AND('Input Required'!F95&lt;&gt;"",NOT(ISNUMBER('Input Required'!F95))),AND(ISNUMBER('Input Required'!F95),'Input Required'!F95&lt;-1),AND(ISNUMBER('Input Required'!F95),'Input Required'!F95&gt;1)),"INPUT ERROR","READY")))</f>
        <v>INPUT REQUIRED</v>
      </c>
      <c r="D94" s="45" t="s">
        <v>572</v>
      </c>
      <c r="E94" s="45"/>
      <c r="F94" s="45" t="s">
        <v>156</v>
      </c>
      <c r="G94" s="45" t="s">
        <v>333</v>
      </c>
      <c r="H94" s="45" t="s">
        <v>662</v>
      </c>
      <c r="I94" s="47" t="n">
        <f aca="false">'Input Required'!G95</f>
        <v>0</v>
      </c>
    </row>
    <row r="95" customFormat="false" ht="46.25" hidden="false" customHeight="false" outlineLevel="0" collapsed="false">
      <c r="A95" s="45" t="s">
        <v>350</v>
      </c>
      <c r="B95" s="45" t="s">
        <v>351</v>
      </c>
      <c r="C95" s="47" t="str">
        <f aca="false">IF('Input Required'!F96="","INPUT REQUIRED",IF(AND('Input Required'!H96="Yes",'Input Required'!G96=""),"SOURCE REQUIRED",IF(OR(AND('Input Required'!F96&lt;&gt;"",NOT(ISNUMBER('Input Required'!F96))),AND(ISNUMBER('Input Required'!F96),'Input Required'!F96&lt;0)),"INPUT ERROR","READY")))</f>
        <v>INPUT REQUIRED</v>
      </c>
      <c r="D95" s="45" t="s">
        <v>572</v>
      </c>
      <c r="E95" s="45"/>
      <c r="F95" s="45" t="s">
        <v>189</v>
      </c>
      <c r="G95" s="45" t="s">
        <v>333</v>
      </c>
      <c r="H95" s="45" t="s">
        <v>663</v>
      </c>
      <c r="I95" s="47" t="n">
        <f aca="false">'Input Required'!G96</f>
        <v>0</v>
      </c>
    </row>
    <row r="96" customFormat="false" ht="46.25" hidden="false" customHeight="false" outlineLevel="0" collapsed="false">
      <c r="A96" s="45" t="s">
        <v>352</v>
      </c>
      <c r="B96" s="45" t="s">
        <v>353</v>
      </c>
      <c r="C96" s="47" t="str">
        <f aca="false">IF('Input Required'!F97="","INPUT REQUIRED",IF(AND('Input Required'!H97="Yes",'Input Required'!G97=""),"SOURCE REQUIRED",IF(OR(AND('Input Required'!F97&lt;&gt;"",NOT(ISNUMBER('Input Required'!F97))),AND(ISNUMBER('Input Required'!F97),NOT(OR('Input Required'!F97=0,'Input Required'!F97=1))),AND(ISNUMBER('Input Required'!F97),'Input Required'!F97&lt;0),AND(ISNUMBER('Input Required'!F97),'Input Required'!F97&gt;1)),"INPUT ERROR","READY")))</f>
        <v>INPUT REQUIRED</v>
      </c>
      <c r="D96" s="45" t="s">
        <v>572</v>
      </c>
      <c r="E96" s="45"/>
      <c r="F96" s="45" t="s">
        <v>182</v>
      </c>
      <c r="G96" s="45" t="s">
        <v>354</v>
      </c>
      <c r="H96" s="45" t="s">
        <v>664</v>
      </c>
      <c r="I96" s="47" t="n">
        <f aca="false">'Input Required'!G97</f>
        <v>0</v>
      </c>
    </row>
    <row r="97" customFormat="false" ht="46.25" hidden="false" customHeight="false" outlineLevel="0" collapsed="false">
      <c r="A97" s="45" t="s">
        <v>355</v>
      </c>
      <c r="B97" s="45" t="s">
        <v>356</v>
      </c>
      <c r="C97" s="47" t="str">
        <f aca="false">IF('Input Required'!F98="","INPUT REQUIRED",IF(AND('Input Required'!H98="Yes",'Input Required'!G98=""),"SOURCE REQUIRED",IF(OR(AND('Input Required'!F98&lt;&gt;"",NOT(ISNUMBER('Input Required'!F98))),AND(ISNUMBER('Input Required'!F98),'Input Required'!F98&lt;2026),AND(ISNUMBER('Input Required'!F98),'Input Required'!F98&gt;2035)),"INPUT ERROR","READY")))</f>
        <v>INPUT REQUIRED</v>
      </c>
      <c r="D97" s="45" t="s">
        <v>572</v>
      </c>
      <c r="E97" s="45"/>
      <c r="F97" s="45" t="s">
        <v>186</v>
      </c>
      <c r="G97" s="45" t="s">
        <v>354</v>
      </c>
      <c r="H97" s="45" t="s">
        <v>665</v>
      </c>
      <c r="I97" s="47" t="n">
        <f aca="false">'Input Required'!G98</f>
        <v>0</v>
      </c>
    </row>
    <row r="98" customFormat="false" ht="46.25" hidden="false" customHeight="false" outlineLevel="0" collapsed="false">
      <c r="A98" s="45" t="s">
        <v>357</v>
      </c>
      <c r="B98" s="45" t="s">
        <v>358</v>
      </c>
      <c r="C98" s="47" t="str">
        <f aca="false">IF('Input Required'!F99="","INPUT REQUIRED",IF(AND('Input Required'!H99="Yes",'Input Required'!G99=""),"SOURCE REQUIRED",IF(OR(AND('Input Required'!F99&lt;&gt;"",NOT(ISNUMBER('Input Required'!F99))),AND(ISNUMBER('Input Required'!F99),'Input Required'!F99&lt;0)),"INPUT ERROR","READY")))</f>
        <v>INPUT REQUIRED</v>
      </c>
      <c r="D98" s="45" t="s">
        <v>572</v>
      </c>
      <c r="E98" s="45"/>
      <c r="F98" s="45" t="s">
        <v>189</v>
      </c>
      <c r="G98" s="45" t="s">
        <v>354</v>
      </c>
      <c r="H98" s="45" t="s">
        <v>666</v>
      </c>
      <c r="I98" s="47" t="n">
        <f aca="false">'Input Required'!G99</f>
        <v>0</v>
      </c>
    </row>
    <row r="99" customFormat="false" ht="46.25" hidden="false" customHeight="false" outlineLevel="0" collapsed="false">
      <c r="A99" s="45" t="s">
        <v>359</v>
      </c>
      <c r="B99" s="45" t="s">
        <v>360</v>
      </c>
      <c r="C99" s="47" t="str">
        <f aca="false">IF('Input Required'!F100="","INPUT REQUIRED",IF(AND('Input Required'!H100="Yes",'Input Required'!G100=""),"SOURCE REQUIRED",IF(OR(AND('Input Required'!F100&lt;&gt;"",NOT(ISNUMBER('Input Required'!F100))),AND(ISNUMBER('Input Required'!F100),'Input Required'!F100&lt;1),AND(ISNUMBER('Input Required'!F100),'Input Required'!F100&gt;10)),"INPUT ERROR","READY")))</f>
        <v>INPUT REQUIRED</v>
      </c>
      <c r="D99" s="45" t="s">
        <v>572</v>
      </c>
      <c r="E99" s="45"/>
      <c r="F99" s="45" t="s">
        <v>192</v>
      </c>
      <c r="G99" s="45" t="s">
        <v>354</v>
      </c>
      <c r="H99" s="45" t="s">
        <v>667</v>
      </c>
      <c r="I99" s="47" t="n">
        <f aca="false">'Input Required'!G100</f>
        <v>0</v>
      </c>
    </row>
    <row r="100" customFormat="false" ht="46.25" hidden="false" customHeight="false" outlineLevel="0" collapsed="false">
      <c r="A100" s="45" t="s">
        <v>361</v>
      </c>
      <c r="B100" s="45" t="s">
        <v>362</v>
      </c>
      <c r="C100" s="47" t="str">
        <f aca="false">IF('Input Required'!F101="","INPUT REQUIRED",IF(AND('Input Required'!H101="Yes",'Input Required'!G101=""),"SOURCE REQUIRED",IF(OR(AND('Input Required'!F101&lt;&gt;"",NOT(ISNUMBER('Input Required'!F101))),AND(ISNUMBER('Input Required'!F101),'Input Required'!F101&lt;2026),AND(ISNUMBER('Input Required'!F101),'Input Required'!F101&gt;2050)),"INPUT ERROR","READY")))</f>
        <v>INPUT REQUIRED</v>
      </c>
      <c r="D100" s="45" t="s">
        <v>572</v>
      </c>
      <c r="E100" s="45"/>
      <c r="F100" s="45" t="s">
        <v>186</v>
      </c>
      <c r="G100" s="45" t="s">
        <v>354</v>
      </c>
      <c r="H100" s="45" t="s">
        <v>668</v>
      </c>
      <c r="I100" s="47" t="n">
        <f aca="false">'Input Required'!G101</f>
        <v>0</v>
      </c>
    </row>
    <row r="101" customFormat="false" ht="46.25" hidden="false" customHeight="false" outlineLevel="0" collapsed="false">
      <c r="A101" s="45" t="s">
        <v>363</v>
      </c>
      <c r="B101" s="45" t="s">
        <v>364</v>
      </c>
      <c r="C101" s="47" t="str">
        <f aca="false">IF('Input Required'!F102="","INPUT REQUIRED",IF(AND('Input Required'!H102="Yes",'Input Required'!G102=""),"SOURCE REQUIRED",IF(OR(AND('Input Required'!F102&lt;&gt;"",NOT(ISNUMBER('Input Required'!F102))),AND(ISNUMBER('Input Required'!F102),'Input Required'!F102&lt;0),AND(ISNUMBER('Input Required'!F102),'Input Required'!F102&gt;0.99)),"INPUT ERROR","READY")))</f>
        <v>INPUT REQUIRED</v>
      </c>
      <c r="D101" s="45" t="s">
        <v>572</v>
      </c>
      <c r="E101" s="45"/>
      <c r="F101" s="45" t="s">
        <v>156</v>
      </c>
      <c r="G101" s="45" t="s">
        <v>354</v>
      </c>
      <c r="H101" s="45" t="s">
        <v>669</v>
      </c>
      <c r="I101" s="47" t="n">
        <f aca="false">'Input Required'!G102</f>
        <v>0</v>
      </c>
    </row>
    <row r="102" customFormat="false" ht="46.25" hidden="false" customHeight="false" outlineLevel="0" collapsed="false">
      <c r="A102" s="45" t="s">
        <v>365</v>
      </c>
      <c r="B102" s="45" t="s">
        <v>366</v>
      </c>
      <c r="C102" s="47" t="str">
        <f aca="false">IF('Input Required'!F103="","INPUT REQUIRED",IF(AND('Input Required'!H103="Yes",'Input Required'!G103=""),"SOURCE REQUIRED",IF(OR(AND('Input Required'!F103&lt;&gt;"",NOT(ISNUMBER('Input Required'!F103))),AND(ISNUMBER('Input Required'!F103),'Input Required'!F103&lt;0),AND(ISNUMBER('Input Required'!F103),'Input Required'!F103&gt;1)),"INPUT ERROR","READY")))</f>
        <v>INPUT REQUIRED</v>
      </c>
      <c r="D102" s="45" t="s">
        <v>572</v>
      </c>
      <c r="E102" s="45"/>
      <c r="F102" s="45" t="s">
        <v>156</v>
      </c>
      <c r="G102" s="45" t="s">
        <v>354</v>
      </c>
      <c r="H102" s="45" t="s">
        <v>670</v>
      </c>
      <c r="I102" s="47" t="n">
        <f aca="false">'Input Required'!G103</f>
        <v>0</v>
      </c>
    </row>
    <row r="103" customFormat="false" ht="46.25" hidden="false" customHeight="false" outlineLevel="0" collapsed="false">
      <c r="A103" s="45" t="s">
        <v>367</v>
      </c>
      <c r="B103" s="45" t="s">
        <v>368</v>
      </c>
      <c r="C103" s="47" t="str">
        <f aca="false">IF('Input Required'!F104="","INPUT REQUIRED",IF(AND('Input Required'!H104="Yes",'Input Required'!G104=""),"SOURCE REQUIRED",IF(OR(AND('Input Required'!F104&lt;&gt;"",NOT(ISNUMBER('Input Required'!F104))),AND(ISNUMBER('Input Required'!F104),'Input Required'!F104&lt;0),AND(ISNUMBER('Input Required'!F104),'Input Required'!F104&gt;1)),"INPUT ERROR","READY")))</f>
        <v>INPUT REQUIRED</v>
      </c>
      <c r="D103" s="45" t="s">
        <v>572</v>
      </c>
      <c r="E103" s="45"/>
      <c r="F103" s="45" t="s">
        <v>156</v>
      </c>
      <c r="G103" s="45" t="s">
        <v>354</v>
      </c>
      <c r="H103" s="45" t="s">
        <v>671</v>
      </c>
      <c r="I103" s="47" t="n">
        <f aca="false">'Input Required'!G104</f>
        <v>0</v>
      </c>
    </row>
    <row r="104" customFormat="false" ht="46.25" hidden="false" customHeight="false" outlineLevel="0" collapsed="false">
      <c r="A104" s="45" t="s">
        <v>369</v>
      </c>
      <c r="B104" s="45" t="s">
        <v>370</v>
      </c>
      <c r="C104" s="47" t="str">
        <f aca="false">IF('Input Required'!F105="","INPUT REQUIRED",IF(AND('Input Required'!H105="Yes",'Input Required'!G105=""),"SOURCE REQUIRED",IF(OR(AND('Input Required'!F105&lt;&gt;"",NOT(ISNUMBER('Input Required'!F105))),AND(ISNUMBER('Input Required'!F105),'Input Required'!F105&lt;-1),AND(ISNUMBER('Input Required'!F105),'Input Required'!F105&gt;1)),"INPUT ERROR","READY")))</f>
        <v>INPUT REQUIRED</v>
      </c>
      <c r="D104" s="45" t="s">
        <v>572</v>
      </c>
      <c r="E104" s="45"/>
      <c r="F104" s="45" t="s">
        <v>156</v>
      </c>
      <c r="G104" s="45" t="s">
        <v>354</v>
      </c>
      <c r="H104" s="45" t="s">
        <v>672</v>
      </c>
      <c r="I104" s="47" t="n">
        <f aca="false">'Input Required'!G105</f>
        <v>0</v>
      </c>
    </row>
    <row r="105" customFormat="false" ht="46.25" hidden="false" customHeight="false" outlineLevel="0" collapsed="false">
      <c r="A105" s="45" t="s">
        <v>371</v>
      </c>
      <c r="B105" s="45" t="s">
        <v>372</v>
      </c>
      <c r="C105" s="47" t="str">
        <f aca="false">IF('Input Required'!F106="","INPUT REQUIRED",IF(AND('Input Required'!H106="Yes",'Input Required'!G106=""),"SOURCE REQUIRED",IF(OR(AND('Input Required'!F106&lt;&gt;"",NOT(ISNUMBER('Input Required'!F106))),AND(ISNUMBER('Input Required'!F106),'Input Required'!F106&lt;0)),"INPUT ERROR","READY")))</f>
        <v>INPUT REQUIRED</v>
      </c>
      <c r="D105" s="45" t="s">
        <v>572</v>
      </c>
      <c r="E105" s="45"/>
      <c r="F105" s="45" t="s">
        <v>189</v>
      </c>
      <c r="G105" s="45" t="s">
        <v>354</v>
      </c>
      <c r="H105" s="45" t="s">
        <v>673</v>
      </c>
      <c r="I105" s="47" t="n">
        <f aca="false">'Input Required'!G106</f>
        <v>0</v>
      </c>
    </row>
    <row r="106" customFormat="false" ht="46.25" hidden="false" customHeight="false" outlineLevel="0" collapsed="false">
      <c r="A106" s="45" t="s">
        <v>373</v>
      </c>
      <c r="B106" s="45" t="s">
        <v>374</v>
      </c>
      <c r="C106" s="47" t="str">
        <f aca="false">IF('Input Required'!F107="","INPUT REQUIRED",IF(AND('Input Required'!H107="Yes",'Input Required'!G107=""),"SOURCE REQUIRED",IF(OR(AND('Input Required'!F107&lt;&gt;"",NOT(ISNUMBER('Input Required'!F107))),AND(ISNUMBER('Input Required'!F107),NOT(OR('Input Required'!F107=0,'Input Required'!F107=1))),AND(ISNUMBER('Input Required'!F107),'Input Required'!F107&lt;0),AND(ISNUMBER('Input Required'!F107),'Input Required'!F107&gt;1)),"INPUT ERROR","READY")))</f>
        <v>INPUT REQUIRED</v>
      </c>
      <c r="D106" s="45" t="s">
        <v>572</v>
      </c>
      <c r="E106" s="45"/>
      <c r="F106" s="45" t="s">
        <v>182</v>
      </c>
      <c r="G106" s="45" t="s">
        <v>375</v>
      </c>
      <c r="H106" s="45" t="s">
        <v>674</v>
      </c>
      <c r="I106" s="47" t="n">
        <f aca="false">'Input Required'!G107</f>
        <v>0</v>
      </c>
    </row>
    <row r="107" customFormat="false" ht="46.25" hidden="false" customHeight="false" outlineLevel="0" collapsed="false">
      <c r="A107" s="45" t="s">
        <v>376</v>
      </c>
      <c r="B107" s="45" t="s">
        <v>377</v>
      </c>
      <c r="C107" s="47" t="str">
        <f aca="false">IF('Input Required'!F108="","INPUT REQUIRED",IF(AND('Input Required'!H108="Yes",'Input Required'!G108=""),"SOURCE REQUIRED",IF(OR(AND('Input Required'!F108&lt;&gt;"",NOT(ISNUMBER('Input Required'!F108))),AND(ISNUMBER('Input Required'!F108),'Input Required'!F108&lt;2026),AND(ISNUMBER('Input Required'!F108),'Input Required'!F108&gt;2035)),"INPUT ERROR","READY")))</f>
        <v>INPUT REQUIRED</v>
      </c>
      <c r="D107" s="45" t="s">
        <v>572</v>
      </c>
      <c r="E107" s="45"/>
      <c r="F107" s="45" t="s">
        <v>186</v>
      </c>
      <c r="G107" s="45" t="s">
        <v>375</v>
      </c>
      <c r="H107" s="45" t="s">
        <v>675</v>
      </c>
      <c r="I107" s="47" t="n">
        <f aca="false">'Input Required'!G108</f>
        <v>0</v>
      </c>
    </row>
    <row r="108" customFormat="false" ht="46.25" hidden="false" customHeight="false" outlineLevel="0" collapsed="false">
      <c r="A108" s="45" t="s">
        <v>378</v>
      </c>
      <c r="B108" s="45" t="s">
        <v>379</v>
      </c>
      <c r="C108" s="47" t="str">
        <f aca="false">IF('Input Required'!F109="","INPUT REQUIRED",IF(AND('Input Required'!H109="Yes",'Input Required'!G109=""),"SOURCE REQUIRED",IF(OR(AND('Input Required'!F109&lt;&gt;"",NOT(ISNUMBER('Input Required'!F109))),AND(ISNUMBER('Input Required'!F109),'Input Required'!F109&lt;0)),"INPUT ERROR","READY")))</f>
        <v>INPUT REQUIRED</v>
      </c>
      <c r="D108" s="45" t="s">
        <v>572</v>
      </c>
      <c r="E108" s="45"/>
      <c r="F108" s="45" t="s">
        <v>189</v>
      </c>
      <c r="G108" s="45" t="s">
        <v>375</v>
      </c>
      <c r="H108" s="45" t="s">
        <v>676</v>
      </c>
      <c r="I108" s="47" t="n">
        <f aca="false">'Input Required'!G109</f>
        <v>0</v>
      </c>
    </row>
    <row r="109" customFormat="false" ht="46.25" hidden="false" customHeight="false" outlineLevel="0" collapsed="false">
      <c r="A109" s="45" t="s">
        <v>380</v>
      </c>
      <c r="B109" s="45" t="s">
        <v>381</v>
      </c>
      <c r="C109" s="47" t="str">
        <f aca="false">IF('Input Required'!F110="","INPUT REQUIRED",IF(AND('Input Required'!H110="Yes",'Input Required'!G110=""),"SOURCE REQUIRED",IF(OR(AND('Input Required'!F110&lt;&gt;"",NOT(ISNUMBER('Input Required'!F110))),AND(ISNUMBER('Input Required'!F110),'Input Required'!F110&lt;1),AND(ISNUMBER('Input Required'!F110),'Input Required'!F110&gt;10)),"INPUT ERROR","READY")))</f>
        <v>INPUT REQUIRED</v>
      </c>
      <c r="D109" s="45" t="s">
        <v>572</v>
      </c>
      <c r="E109" s="45"/>
      <c r="F109" s="45" t="s">
        <v>192</v>
      </c>
      <c r="G109" s="45" t="s">
        <v>375</v>
      </c>
      <c r="H109" s="45" t="s">
        <v>677</v>
      </c>
      <c r="I109" s="47" t="n">
        <f aca="false">'Input Required'!G110</f>
        <v>0</v>
      </c>
    </row>
    <row r="110" customFormat="false" ht="46.25" hidden="false" customHeight="false" outlineLevel="0" collapsed="false">
      <c r="A110" s="45" t="s">
        <v>382</v>
      </c>
      <c r="B110" s="45" t="s">
        <v>383</v>
      </c>
      <c r="C110" s="47" t="str">
        <f aca="false">IF('Input Required'!F111="","INPUT REQUIRED",IF(AND('Input Required'!H111="Yes",'Input Required'!G111=""),"SOURCE REQUIRED",IF(OR(AND('Input Required'!F111&lt;&gt;"",NOT(ISNUMBER('Input Required'!F111))),AND(ISNUMBER('Input Required'!F111),'Input Required'!F111&lt;2026),AND(ISNUMBER('Input Required'!F111),'Input Required'!F111&gt;2050)),"INPUT ERROR","READY")))</f>
        <v>INPUT REQUIRED</v>
      </c>
      <c r="D110" s="45" t="s">
        <v>572</v>
      </c>
      <c r="E110" s="45"/>
      <c r="F110" s="45" t="s">
        <v>186</v>
      </c>
      <c r="G110" s="45" t="s">
        <v>375</v>
      </c>
      <c r="H110" s="45" t="s">
        <v>678</v>
      </c>
      <c r="I110" s="47" t="n">
        <f aca="false">'Input Required'!G111</f>
        <v>0</v>
      </c>
    </row>
    <row r="111" customFormat="false" ht="46.25" hidden="false" customHeight="false" outlineLevel="0" collapsed="false">
      <c r="A111" s="45" t="s">
        <v>384</v>
      </c>
      <c r="B111" s="45" t="s">
        <v>385</v>
      </c>
      <c r="C111" s="47" t="str">
        <f aca="false">IF('Input Required'!F112="","INPUT REQUIRED",IF(AND('Input Required'!H112="Yes",'Input Required'!G112=""),"SOURCE REQUIRED",IF(OR(AND('Input Required'!F112&lt;&gt;"",NOT(ISNUMBER('Input Required'!F112))),AND(ISNUMBER('Input Required'!F112),'Input Required'!F112&lt;0),AND(ISNUMBER('Input Required'!F112),'Input Required'!F112&gt;0.99)),"INPUT ERROR","READY")))</f>
        <v>INPUT REQUIRED</v>
      </c>
      <c r="D111" s="45" t="s">
        <v>572</v>
      </c>
      <c r="E111" s="45"/>
      <c r="F111" s="45" t="s">
        <v>156</v>
      </c>
      <c r="G111" s="45" t="s">
        <v>375</v>
      </c>
      <c r="H111" s="45" t="s">
        <v>679</v>
      </c>
      <c r="I111" s="47" t="n">
        <f aca="false">'Input Required'!G112</f>
        <v>0</v>
      </c>
    </row>
    <row r="112" customFormat="false" ht="46.25" hidden="false" customHeight="false" outlineLevel="0" collapsed="false">
      <c r="A112" s="45" t="s">
        <v>386</v>
      </c>
      <c r="B112" s="45" t="s">
        <v>387</v>
      </c>
      <c r="C112" s="47" t="str">
        <f aca="false">IF('Input Required'!F113="","INPUT REQUIRED",IF(AND('Input Required'!H113="Yes",'Input Required'!G113=""),"SOURCE REQUIRED",IF(OR(AND('Input Required'!F113&lt;&gt;"",NOT(ISNUMBER('Input Required'!F113))),AND(ISNUMBER('Input Required'!F113),'Input Required'!F113&lt;0),AND(ISNUMBER('Input Required'!F113),'Input Required'!F113&gt;1)),"INPUT ERROR","READY")))</f>
        <v>INPUT REQUIRED</v>
      </c>
      <c r="D112" s="45" t="s">
        <v>572</v>
      </c>
      <c r="E112" s="45"/>
      <c r="F112" s="45" t="s">
        <v>156</v>
      </c>
      <c r="G112" s="45" t="s">
        <v>375</v>
      </c>
      <c r="H112" s="45" t="s">
        <v>680</v>
      </c>
      <c r="I112" s="47" t="n">
        <f aca="false">'Input Required'!G113</f>
        <v>0</v>
      </c>
    </row>
    <row r="113" customFormat="false" ht="46.25" hidden="false" customHeight="false" outlineLevel="0" collapsed="false">
      <c r="A113" s="45" t="s">
        <v>388</v>
      </c>
      <c r="B113" s="45" t="s">
        <v>389</v>
      </c>
      <c r="C113" s="47" t="str">
        <f aca="false">IF('Input Required'!F114="","INPUT REQUIRED",IF(AND('Input Required'!H114="Yes",'Input Required'!G114=""),"SOURCE REQUIRED",IF(OR(AND('Input Required'!F114&lt;&gt;"",NOT(ISNUMBER('Input Required'!F114))),AND(ISNUMBER('Input Required'!F114),'Input Required'!F114&lt;0),AND(ISNUMBER('Input Required'!F114),'Input Required'!F114&gt;1)),"INPUT ERROR","READY")))</f>
        <v>INPUT REQUIRED</v>
      </c>
      <c r="D113" s="45" t="s">
        <v>572</v>
      </c>
      <c r="E113" s="45"/>
      <c r="F113" s="45" t="s">
        <v>156</v>
      </c>
      <c r="G113" s="45" t="s">
        <v>375</v>
      </c>
      <c r="H113" s="45" t="s">
        <v>681</v>
      </c>
      <c r="I113" s="47" t="n">
        <f aca="false">'Input Required'!G114</f>
        <v>0</v>
      </c>
    </row>
    <row r="114" customFormat="false" ht="46.25" hidden="false" customHeight="false" outlineLevel="0" collapsed="false">
      <c r="A114" s="45" t="s">
        <v>390</v>
      </c>
      <c r="B114" s="45" t="s">
        <v>391</v>
      </c>
      <c r="C114" s="47" t="str">
        <f aca="false">IF('Input Required'!F115="","INPUT REQUIRED",IF(AND('Input Required'!H115="Yes",'Input Required'!G115=""),"SOURCE REQUIRED",IF(OR(AND('Input Required'!F115&lt;&gt;"",NOT(ISNUMBER('Input Required'!F115))),AND(ISNUMBER('Input Required'!F115),'Input Required'!F115&lt;-1),AND(ISNUMBER('Input Required'!F115),'Input Required'!F115&gt;1)),"INPUT ERROR","READY")))</f>
        <v>INPUT REQUIRED</v>
      </c>
      <c r="D114" s="45" t="s">
        <v>572</v>
      </c>
      <c r="E114" s="45"/>
      <c r="F114" s="45" t="s">
        <v>156</v>
      </c>
      <c r="G114" s="45" t="s">
        <v>375</v>
      </c>
      <c r="H114" s="45" t="s">
        <v>682</v>
      </c>
      <c r="I114" s="47" t="n">
        <f aca="false">'Input Required'!G115</f>
        <v>0</v>
      </c>
    </row>
    <row r="115" customFormat="false" ht="46.25" hidden="false" customHeight="false" outlineLevel="0" collapsed="false">
      <c r="A115" s="45" t="s">
        <v>392</v>
      </c>
      <c r="B115" s="45" t="s">
        <v>393</v>
      </c>
      <c r="C115" s="47" t="str">
        <f aca="false">IF('Input Required'!F116="","INPUT REQUIRED",IF(AND('Input Required'!H116="Yes",'Input Required'!G116=""),"SOURCE REQUIRED",IF(OR(AND('Input Required'!F116&lt;&gt;"",NOT(ISNUMBER('Input Required'!F116))),AND(ISNUMBER('Input Required'!F116),'Input Required'!F116&lt;0)),"INPUT ERROR","READY")))</f>
        <v>INPUT REQUIRED</v>
      </c>
      <c r="D115" s="45" t="s">
        <v>572</v>
      </c>
      <c r="E115" s="45"/>
      <c r="F115" s="45" t="s">
        <v>189</v>
      </c>
      <c r="G115" s="45" t="s">
        <v>375</v>
      </c>
      <c r="H115" s="45" t="s">
        <v>683</v>
      </c>
      <c r="I115" s="47" t="n">
        <f aca="false">'Input Required'!G116</f>
        <v>0</v>
      </c>
    </row>
    <row r="116" customFormat="false" ht="46.25" hidden="false" customHeight="false" outlineLevel="0" collapsed="false">
      <c r="A116" s="45" t="s">
        <v>394</v>
      </c>
      <c r="B116" s="45" t="s">
        <v>395</v>
      </c>
      <c r="C116" s="47" t="str">
        <f aca="false">IF('Input Required'!F117="","INPUT REQUIRED",IF(AND('Input Required'!H117="Yes",'Input Required'!G117=""),"SOURCE REQUIRED",IF(OR(AND('Input Required'!F117&lt;&gt;"",NOT(ISNUMBER('Input Required'!F117))),AND(ISNUMBER('Input Required'!F117),NOT(OR('Input Required'!F117=0,'Input Required'!F117=1))),AND(ISNUMBER('Input Required'!F117),'Input Required'!F117&lt;0),AND(ISNUMBER('Input Required'!F117),'Input Required'!F117&gt;1)),"INPUT ERROR","READY")))</f>
        <v>INPUT REQUIRED</v>
      </c>
      <c r="D116" s="45" t="s">
        <v>572</v>
      </c>
      <c r="E116" s="45"/>
      <c r="F116" s="45" t="s">
        <v>182</v>
      </c>
      <c r="G116" s="45" t="s">
        <v>396</v>
      </c>
      <c r="H116" s="45" t="s">
        <v>684</v>
      </c>
      <c r="I116" s="47" t="n">
        <f aca="false">'Input Required'!G117</f>
        <v>0</v>
      </c>
    </row>
    <row r="117" customFormat="false" ht="46.25" hidden="false" customHeight="false" outlineLevel="0" collapsed="false">
      <c r="A117" s="45" t="s">
        <v>397</v>
      </c>
      <c r="B117" s="45" t="s">
        <v>398</v>
      </c>
      <c r="C117" s="47" t="str">
        <f aca="false">IF('Input Required'!F118="","INPUT REQUIRED",IF(AND('Input Required'!H118="Yes",'Input Required'!G118=""),"SOURCE REQUIRED",IF(OR(AND('Input Required'!F118&lt;&gt;"",NOT(ISNUMBER('Input Required'!F118))),AND(ISNUMBER('Input Required'!F118),'Input Required'!F118&lt;2026),AND(ISNUMBER('Input Required'!F118),'Input Required'!F118&gt;2035)),"INPUT ERROR","READY")))</f>
        <v>INPUT REQUIRED</v>
      </c>
      <c r="D117" s="45" t="s">
        <v>572</v>
      </c>
      <c r="E117" s="45"/>
      <c r="F117" s="45" t="s">
        <v>186</v>
      </c>
      <c r="G117" s="45" t="s">
        <v>396</v>
      </c>
      <c r="H117" s="45" t="s">
        <v>685</v>
      </c>
      <c r="I117" s="47" t="n">
        <f aca="false">'Input Required'!G118</f>
        <v>0</v>
      </c>
    </row>
    <row r="118" customFormat="false" ht="46.25" hidden="false" customHeight="false" outlineLevel="0" collapsed="false">
      <c r="A118" s="45" t="s">
        <v>399</v>
      </c>
      <c r="B118" s="45" t="s">
        <v>400</v>
      </c>
      <c r="C118" s="47" t="str">
        <f aca="false">IF('Input Required'!F119="","INPUT REQUIRED",IF(AND('Input Required'!H119="Yes",'Input Required'!G119=""),"SOURCE REQUIRED",IF(OR(AND('Input Required'!F119&lt;&gt;"",NOT(ISNUMBER('Input Required'!F119))),AND(ISNUMBER('Input Required'!F119),'Input Required'!F119&lt;0)),"INPUT ERROR","READY")))</f>
        <v>INPUT REQUIRED</v>
      </c>
      <c r="D118" s="45" t="s">
        <v>572</v>
      </c>
      <c r="E118" s="45"/>
      <c r="F118" s="45" t="s">
        <v>189</v>
      </c>
      <c r="G118" s="45" t="s">
        <v>396</v>
      </c>
      <c r="H118" s="45" t="s">
        <v>686</v>
      </c>
      <c r="I118" s="47" t="n">
        <f aca="false">'Input Required'!G119</f>
        <v>0</v>
      </c>
    </row>
    <row r="119" customFormat="false" ht="46.25" hidden="false" customHeight="false" outlineLevel="0" collapsed="false">
      <c r="A119" s="45" t="s">
        <v>401</v>
      </c>
      <c r="B119" s="45" t="s">
        <v>402</v>
      </c>
      <c r="C119" s="47" t="str">
        <f aca="false">IF('Input Required'!F120="","INPUT REQUIRED",IF(AND('Input Required'!H120="Yes",'Input Required'!G120=""),"SOURCE REQUIRED",IF(OR(AND('Input Required'!F120&lt;&gt;"",NOT(ISNUMBER('Input Required'!F120))),AND(ISNUMBER('Input Required'!F120),'Input Required'!F120&lt;1),AND(ISNUMBER('Input Required'!F120),'Input Required'!F120&gt;10)),"INPUT ERROR","READY")))</f>
        <v>INPUT REQUIRED</v>
      </c>
      <c r="D119" s="45" t="s">
        <v>572</v>
      </c>
      <c r="E119" s="45"/>
      <c r="F119" s="45" t="s">
        <v>192</v>
      </c>
      <c r="G119" s="45" t="s">
        <v>396</v>
      </c>
      <c r="H119" s="45" t="s">
        <v>687</v>
      </c>
      <c r="I119" s="47" t="n">
        <f aca="false">'Input Required'!G120</f>
        <v>0</v>
      </c>
    </row>
    <row r="120" customFormat="false" ht="46.25" hidden="false" customHeight="false" outlineLevel="0" collapsed="false">
      <c r="A120" s="45" t="s">
        <v>403</v>
      </c>
      <c r="B120" s="45" t="s">
        <v>404</v>
      </c>
      <c r="C120" s="47" t="str">
        <f aca="false">IF('Input Required'!F121="","INPUT REQUIRED",IF(AND('Input Required'!H121="Yes",'Input Required'!G121=""),"SOURCE REQUIRED",IF(OR(AND('Input Required'!F121&lt;&gt;"",NOT(ISNUMBER('Input Required'!F121))),AND(ISNUMBER('Input Required'!F121),'Input Required'!F121&lt;2026),AND(ISNUMBER('Input Required'!F121),'Input Required'!F121&gt;2050)),"INPUT ERROR","READY")))</f>
        <v>INPUT REQUIRED</v>
      </c>
      <c r="D120" s="45" t="s">
        <v>572</v>
      </c>
      <c r="E120" s="45"/>
      <c r="F120" s="45" t="s">
        <v>186</v>
      </c>
      <c r="G120" s="45" t="s">
        <v>396</v>
      </c>
      <c r="H120" s="45" t="s">
        <v>688</v>
      </c>
      <c r="I120" s="47" t="n">
        <f aca="false">'Input Required'!G121</f>
        <v>0</v>
      </c>
    </row>
    <row r="121" customFormat="false" ht="46.25" hidden="false" customHeight="false" outlineLevel="0" collapsed="false">
      <c r="A121" s="45" t="s">
        <v>405</v>
      </c>
      <c r="B121" s="45" t="s">
        <v>406</v>
      </c>
      <c r="C121" s="47" t="str">
        <f aca="false">IF('Input Required'!F122="","INPUT REQUIRED",IF(AND('Input Required'!H122="Yes",'Input Required'!G122=""),"SOURCE REQUIRED",IF(OR(AND('Input Required'!F122&lt;&gt;"",NOT(ISNUMBER('Input Required'!F122))),AND(ISNUMBER('Input Required'!F122),'Input Required'!F122&lt;0),AND(ISNUMBER('Input Required'!F122),'Input Required'!F122&gt;0.99)),"INPUT ERROR","READY")))</f>
        <v>INPUT REQUIRED</v>
      </c>
      <c r="D121" s="45" t="s">
        <v>572</v>
      </c>
      <c r="E121" s="45"/>
      <c r="F121" s="45" t="s">
        <v>156</v>
      </c>
      <c r="G121" s="45" t="s">
        <v>396</v>
      </c>
      <c r="H121" s="45" t="s">
        <v>689</v>
      </c>
      <c r="I121" s="47" t="n">
        <f aca="false">'Input Required'!G122</f>
        <v>0</v>
      </c>
    </row>
    <row r="122" customFormat="false" ht="46.25" hidden="false" customHeight="false" outlineLevel="0" collapsed="false">
      <c r="A122" s="45" t="s">
        <v>407</v>
      </c>
      <c r="B122" s="45" t="s">
        <v>408</v>
      </c>
      <c r="C122" s="47" t="str">
        <f aca="false">IF('Input Required'!F123="","INPUT REQUIRED",IF(AND('Input Required'!H123="Yes",'Input Required'!G123=""),"SOURCE REQUIRED",IF(OR(AND('Input Required'!F123&lt;&gt;"",NOT(ISNUMBER('Input Required'!F123))),AND(ISNUMBER('Input Required'!F123),'Input Required'!F123&lt;0),AND(ISNUMBER('Input Required'!F123),'Input Required'!F123&gt;1)),"INPUT ERROR","READY")))</f>
        <v>INPUT REQUIRED</v>
      </c>
      <c r="D122" s="45" t="s">
        <v>572</v>
      </c>
      <c r="E122" s="45"/>
      <c r="F122" s="45" t="s">
        <v>156</v>
      </c>
      <c r="G122" s="45" t="s">
        <v>396</v>
      </c>
      <c r="H122" s="45" t="s">
        <v>690</v>
      </c>
      <c r="I122" s="47" t="n">
        <f aca="false">'Input Required'!G123</f>
        <v>0</v>
      </c>
    </row>
    <row r="123" customFormat="false" ht="46.25" hidden="false" customHeight="false" outlineLevel="0" collapsed="false">
      <c r="A123" s="45" t="s">
        <v>409</v>
      </c>
      <c r="B123" s="45" t="s">
        <v>410</v>
      </c>
      <c r="C123" s="47" t="str">
        <f aca="false">IF('Input Required'!F124="","INPUT REQUIRED",IF(AND('Input Required'!H124="Yes",'Input Required'!G124=""),"SOURCE REQUIRED",IF(OR(AND('Input Required'!F124&lt;&gt;"",NOT(ISNUMBER('Input Required'!F124))),AND(ISNUMBER('Input Required'!F124),'Input Required'!F124&lt;0),AND(ISNUMBER('Input Required'!F124),'Input Required'!F124&gt;1)),"INPUT ERROR","READY")))</f>
        <v>INPUT REQUIRED</v>
      </c>
      <c r="D123" s="45" t="s">
        <v>572</v>
      </c>
      <c r="E123" s="45"/>
      <c r="F123" s="45" t="s">
        <v>156</v>
      </c>
      <c r="G123" s="45" t="s">
        <v>396</v>
      </c>
      <c r="H123" s="45" t="s">
        <v>691</v>
      </c>
      <c r="I123" s="47" t="n">
        <f aca="false">'Input Required'!G124</f>
        <v>0</v>
      </c>
    </row>
    <row r="124" customFormat="false" ht="46.25" hidden="false" customHeight="false" outlineLevel="0" collapsed="false">
      <c r="A124" s="45" t="s">
        <v>411</v>
      </c>
      <c r="B124" s="45" t="s">
        <v>412</v>
      </c>
      <c r="C124" s="47" t="str">
        <f aca="false">IF('Input Required'!F125="","INPUT REQUIRED",IF(AND('Input Required'!H125="Yes",'Input Required'!G125=""),"SOURCE REQUIRED",IF(OR(AND('Input Required'!F125&lt;&gt;"",NOT(ISNUMBER('Input Required'!F125))),AND(ISNUMBER('Input Required'!F125),'Input Required'!F125&lt;-1),AND(ISNUMBER('Input Required'!F125),'Input Required'!F125&gt;1)),"INPUT ERROR","READY")))</f>
        <v>INPUT REQUIRED</v>
      </c>
      <c r="D124" s="45" t="s">
        <v>572</v>
      </c>
      <c r="E124" s="45"/>
      <c r="F124" s="45" t="s">
        <v>156</v>
      </c>
      <c r="G124" s="45" t="s">
        <v>396</v>
      </c>
      <c r="H124" s="45" t="s">
        <v>692</v>
      </c>
      <c r="I124" s="47" t="n">
        <f aca="false">'Input Required'!G125</f>
        <v>0</v>
      </c>
    </row>
    <row r="125" customFormat="false" ht="46.25" hidden="false" customHeight="false" outlineLevel="0" collapsed="false">
      <c r="A125" s="45" t="s">
        <v>413</v>
      </c>
      <c r="B125" s="45" t="s">
        <v>414</v>
      </c>
      <c r="C125" s="47" t="str">
        <f aca="false">IF('Input Required'!F126="","INPUT REQUIRED",IF(AND('Input Required'!H126="Yes",'Input Required'!G126=""),"SOURCE REQUIRED",IF(OR(AND('Input Required'!F126&lt;&gt;"",NOT(ISNUMBER('Input Required'!F126))),AND(ISNUMBER('Input Required'!F126),'Input Required'!F126&lt;0)),"INPUT ERROR","READY")))</f>
        <v>INPUT REQUIRED</v>
      </c>
      <c r="D125" s="45" t="s">
        <v>572</v>
      </c>
      <c r="E125" s="45"/>
      <c r="F125" s="45" t="s">
        <v>189</v>
      </c>
      <c r="G125" s="45" t="s">
        <v>396</v>
      </c>
      <c r="H125" s="45" t="s">
        <v>693</v>
      </c>
      <c r="I125" s="47" t="n">
        <f aca="false">'Input Required'!G126</f>
        <v>0</v>
      </c>
    </row>
    <row r="126" customFormat="false" ht="46.25" hidden="false" customHeight="false" outlineLevel="0" collapsed="false">
      <c r="A126" s="45" t="s">
        <v>415</v>
      </c>
      <c r="B126" s="45" t="s">
        <v>416</v>
      </c>
      <c r="C126" s="47" t="str">
        <f aca="false">IF('Input Required'!F127="","INPUT REQUIRED",IF(AND('Input Required'!H127="Yes",'Input Required'!G127=""),"SOURCE REQUIRED",IF(OR(AND('Input Required'!F127&lt;&gt;"",NOT(ISNUMBER('Input Required'!F127))),AND(ISNUMBER('Input Required'!F127),NOT(OR('Input Required'!F127=0,'Input Required'!F127=1))),AND(ISNUMBER('Input Required'!F127),'Input Required'!F127&lt;0),AND(ISNUMBER('Input Required'!F127),'Input Required'!F127&gt;1)),"INPUT ERROR","READY")))</f>
        <v>INPUT REQUIRED</v>
      </c>
      <c r="D126" s="45" t="s">
        <v>572</v>
      </c>
      <c r="E126" s="45"/>
      <c r="F126" s="45" t="s">
        <v>182</v>
      </c>
      <c r="G126" s="45" t="s">
        <v>417</v>
      </c>
      <c r="H126" s="45" t="s">
        <v>694</v>
      </c>
      <c r="I126" s="47" t="n">
        <f aca="false">'Input Required'!G127</f>
        <v>0</v>
      </c>
    </row>
    <row r="127" customFormat="false" ht="46.25" hidden="false" customHeight="false" outlineLevel="0" collapsed="false">
      <c r="A127" s="45" t="s">
        <v>418</v>
      </c>
      <c r="B127" s="45" t="s">
        <v>419</v>
      </c>
      <c r="C127" s="47" t="str">
        <f aca="false">IF('Input Required'!F128="","INPUT REQUIRED",IF(AND('Input Required'!H128="Yes",'Input Required'!G128=""),"SOURCE REQUIRED",IF(OR(AND('Input Required'!F128&lt;&gt;"",NOT(ISNUMBER('Input Required'!F128))),AND(ISNUMBER('Input Required'!F128),'Input Required'!F128&lt;2026),AND(ISNUMBER('Input Required'!F128),'Input Required'!F128&gt;2035)),"INPUT ERROR","READY")))</f>
        <v>INPUT REQUIRED</v>
      </c>
      <c r="D127" s="45" t="s">
        <v>572</v>
      </c>
      <c r="E127" s="45"/>
      <c r="F127" s="45" t="s">
        <v>186</v>
      </c>
      <c r="G127" s="45" t="s">
        <v>417</v>
      </c>
      <c r="H127" s="45" t="s">
        <v>695</v>
      </c>
      <c r="I127" s="47" t="n">
        <f aca="false">'Input Required'!G128</f>
        <v>0</v>
      </c>
    </row>
    <row r="128" customFormat="false" ht="46.25" hidden="false" customHeight="false" outlineLevel="0" collapsed="false">
      <c r="A128" s="45" t="s">
        <v>420</v>
      </c>
      <c r="B128" s="45" t="s">
        <v>421</v>
      </c>
      <c r="C128" s="47" t="str">
        <f aca="false">IF('Input Required'!F129="","INPUT REQUIRED",IF(AND('Input Required'!H129="Yes",'Input Required'!G129=""),"SOURCE REQUIRED",IF(OR(AND('Input Required'!F129&lt;&gt;"",NOT(ISNUMBER('Input Required'!F129))),AND(ISNUMBER('Input Required'!F129),'Input Required'!F129&lt;0)),"INPUT ERROR","READY")))</f>
        <v>INPUT REQUIRED</v>
      </c>
      <c r="D128" s="45" t="s">
        <v>572</v>
      </c>
      <c r="E128" s="45"/>
      <c r="F128" s="45" t="s">
        <v>189</v>
      </c>
      <c r="G128" s="45" t="s">
        <v>417</v>
      </c>
      <c r="H128" s="45" t="s">
        <v>696</v>
      </c>
      <c r="I128" s="47" t="n">
        <f aca="false">'Input Required'!G129</f>
        <v>0</v>
      </c>
    </row>
    <row r="129" customFormat="false" ht="46.25" hidden="false" customHeight="false" outlineLevel="0" collapsed="false">
      <c r="A129" s="45" t="s">
        <v>422</v>
      </c>
      <c r="B129" s="45" t="s">
        <v>423</v>
      </c>
      <c r="C129" s="47" t="str">
        <f aca="false">IF('Input Required'!F130="","INPUT REQUIRED",IF(AND('Input Required'!H130="Yes",'Input Required'!G130=""),"SOURCE REQUIRED",IF(OR(AND('Input Required'!F130&lt;&gt;"",NOT(ISNUMBER('Input Required'!F130))),AND(ISNUMBER('Input Required'!F130),'Input Required'!F130&lt;1),AND(ISNUMBER('Input Required'!F130),'Input Required'!F130&gt;10)),"INPUT ERROR","READY")))</f>
        <v>INPUT REQUIRED</v>
      </c>
      <c r="D129" s="45" t="s">
        <v>572</v>
      </c>
      <c r="E129" s="45"/>
      <c r="F129" s="45" t="s">
        <v>192</v>
      </c>
      <c r="G129" s="45" t="s">
        <v>417</v>
      </c>
      <c r="H129" s="45" t="s">
        <v>697</v>
      </c>
      <c r="I129" s="47" t="n">
        <f aca="false">'Input Required'!G130</f>
        <v>0</v>
      </c>
    </row>
    <row r="130" customFormat="false" ht="46.25" hidden="false" customHeight="false" outlineLevel="0" collapsed="false">
      <c r="A130" s="45" t="s">
        <v>424</v>
      </c>
      <c r="B130" s="45" t="s">
        <v>425</v>
      </c>
      <c r="C130" s="47" t="str">
        <f aca="false">IF('Input Required'!F131="","INPUT REQUIRED",IF(AND('Input Required'!H131="Yes",'Input Required'!G131=""),"SOURCE REQUIRED",IF(OR(AND('Input Required'!F131&lt;&gt;"",NOT(ISNUMBER('Input Required'!F131))),AND(ISNUMBER('Input Required'!F131),'Input Required'!F131&lt;2026),AND(ISNUMBER('Input Required'!F131),'Input Required'!F131&gt;2050)),"INPUT ERROR","READY")))</f>
        <v>INPUT REQUIRED</v>
      </c>
      <c r="D130" s="45" t="s">
        <v>572</v>
      </c>
      <c r="E130" s="45"/>
      <c r="F130" s="45" t="s">
        <v>186</v>
      </c>
      <c r="G130" s="45" t="s">
        <v>417</v>
      </c>
      <c r="H130" s="45" t="s">
        <v>698</v>
      </c>
      <c r="I130" s="47" t="n">
        <f aca="false">'Input Required'!G131</f>
        <v>0</v>
      </c>
    </row>
    <row r="131" customFormat="false" ht="46.25" hidden="false" customHeight="false" outlineLevel="0" collapsed="false">
      <c r="A131" s="45" t="s">
        <v>426</v>
      </c>
      <c r="B131" s="45" t="s">
        <v>427</v>
      </c>
      <c r="C131" s="47" t="str">
        <f aca="false">IF('Input Required'!F132="","INPUT REQUIRED",IF(AND('Input Required'!H132="Yes",'Input Required'!G132=""),"SOURCE REQUIRED",IF(OR(AND('Input Required'!F132&lt;&gt;"",NOT(ISNUMBER('Input Required'!F132))),AND(ISNUMBER('Input Required'!F132),'Input Required'!F132&lt;0),AND(ISNUMBER('Input Required'!F132),'Input Required'!F132&gt;0.99)),"INPUT ERROR","READY")))</f>
        <v>INPUT REQUIRED</v>
      </c>
      <c r="D131" s="45" t="s">
        <v>572</v>
      </c>
      <c r="E131" s="45"/>
      <c r="F131" s="45" t="s">
        <v>156</v>
      </c>
      <c r="G131" s="45" t="s">
        <v>417</v>
      </c>
      <c r="H131" s="45" t="s">
        <v>699</v>
      </c>
      <c r="I131" s="47" t="n">
        <f aca="false">'Input Required'!G132</f>
        <v>0</v>
      </c>
    </row>
    <row r="132" customFormat="false" ht="46.25" hidden="false" customHeight="false" outlineLevel="0" collapsed="false">
      <c r="A132" s="45" t="s">
        <v>428</v>
      </c>
      <c r="B132" s="45" t="s">
        <v>429</v>
      </c>
      <c r="C132" s="47" t="str">
        <f aca="false">IF('Input Required'!F133="","INPUT REQUIRED",IF(AND('Input Required'!H133="Yes",'Input Required'!G133=""),"SOURCE REQUIRED",IF(OR(AND('Input Required'!F133&lt;&gt;"",NOT(ISNUMBER('Input Required'!F133))),AND(ISNUMBER('Input Required'!F133),'Input Required'!F133&lt;0),AND(ISNUMBER('Input Required'!F133),'Input Required'!F133&gt;1)),"INPUT ERROR","READY")))</f>
        <v>INPUT REQUIRED</v>
      </c>
      <c r="D132" s="45" t="s">
        <v>572</v>
      </c>
      <c r="E132" s="45"/>
      <c r="F132" s="45" t="s">
        <v>156</v>
      </c>
      <c r="G132" s="45" t="s">
        <v>417</v>
      </c>
      <c r="H132" s="45" t="s">
        <v>700</v>
      </c>
      <c r="I132" s="47" t="n">
        <f aca="false">'Input Required'!G133</f>
        <v>0</v>
      </c>
    </row>
    <row r="133" customFormat="false" ht="46.25" hidden="false" customHeight="false" outlineLevel="0" collapsed="false">
      <c r="A133" s="45" t="s">
        <v>430</v>
      </c>
      <c r="B133" s="45" t="s">
        <v>431</v>
      </c>
      <c r="C133" s="47" t="str">
        <f aca="false">IF('Input Required'!F134="","INPUT REQUIRED",IF(AND('Input Required'!H134="Yes",'Input Required'!G134=""),"SOURCE REQUIRED",IF(OR(AND('Input Required'!F134&lt;&gt;"",NOT(ISNUMBER('Input Required'!F134))),AND(ISNUMBER('Input Required'!F134),'Input Required'!F134&lt;0),AND(ISNUMBER('Input Required'!F134),'Input Required'!F134&gt;1)),"INPUT ERROR","READY")))</f>
        <v>INPUT REQUIRED</v>
      </c>
      <c r="D133" s="45" t="s">
        <v>572</v>
      </c>
      <c r="E133" s="45"/>
      <c r="F133" s="45" t="s">
        <v>156</v>
      </c>
      <c r="G133" s="45" t="s">
        <v>417</v>
      </c>
      <c r="H133" s="45" t="s">
        <v>701</v>
      </c>
      <c r="I133" s="47" t="n">
        <f aca="false">'Input Required'!G134</f>
        <v>0</v>
      </c>
    </row>
    <row r="134" customFormat="false" ht="46.25" hidden="false" customHeight="false" outlineLevel="0" collapsed="false">
      <c r="A134" s="45" t="s">
        <v>432</v>
      </c>
      <c r="B134" s="45" t="s">
        <v>433</v>
      </c>
      <c r="C134" s="47" t="str">
        <f aca="false">IF('Input Required'!F135="","INPUT REQUIRED",IF(AND('Input Required'!H135="Yes",'Input Required'!G135=""),"SOURCE REQUIRED",IF(OR(AND('Input Required'!F135&lt;&gt;"",NOT(ISNUMBER('Input Required'!F135))),AND(ISNUMBER('Input Required'!F135),'Input Required'!F135&lt;-1),AND(ISNUMBER('Input Required'!F135),'Input Required'!F135&gt;1)),"INPUT ERROR","READY")))</f>
        <v>INPUT REQUIRED</v>
      </c>
      <c r="D134" s="45" t="s">
        <v>572</v>
      </c>
      <c r="E134" s="45"/>
      <c r="F134" s="45" t="s">
        <v>156</v>
      </c>
      <c r="G134" s="45" t="s">
        <v>417</v>
      </c>
      <c r="H134" s="45" t="s">
        <v>702</v>
      </c>
      <c r="I134" s="47" t="n">
        <f aca="false">'Input Required'!G135</f>
        <v>0</v>
      </c>
    </row>
    <row r="135" customFormat="false" ht="46.25" hidden="false" customHeight="false" outlineLevel="0" collapsed="false">
      <c r="A135" s="45" t="s">
        <v>434</v>
      </c>
      <c r="B135" s="45" t="s">
        <v>435</v>
      </c>
      <c r="C135" s="47" t="str">
        <f aca="false">IF('Input Required'!F136="","INPUT REQUIRED",IF(AND('Input Required'!H136="Yes",'Input Required'!G136=""),"SOURCE REQUIRED",IF(OR(AND('Input Required'!F136&lt;&gt;"",NOT(ISNUMBER('Input Required'!F136))),AND(ISNUMBER('Input Required'!F136),'Input Required'!F136&lt;0)),"INPUT ERROR","READY")))</f>
        <v>INPUT REQUIRED</v>
      </c>
      <c r="D135" s="45" t="s">
        <v>572</v>
      </c>
      <c r="E135" s="45"/>
      <c r="F135" s="45" t="s">
        <v>189</v>
      </c>
      <c r="G135" s="45" t="s">
        <v>417</v>
      </c>
      <c r="H135" s="45" t="s">
        <v>703</v>
      </c>
      <c r="I135" s="47" t="n">
        <f aca="false">'Input Required'!G136</f>
        <v>0</v>
      </c>
    </row>
    <row r="136" customFormat="false" ht="46.25" hidden="false" customHeight="false" outlineLevel="0" collapsed="false">
      <c r="A136" s="45" t="s">
        <v>436</v>
      </c>
      <c r="B136" s="45" t="s">
        <v>437</v>
      </c>
      <c r="C136" s="47" t="str">
        <f aca="false">IF('Input Required'!F137="","INPUT REQUIRED",IF(AND('Input Required'!H137="Yes",'Input Required'!G137=""),"SOURCE REQUIRED",IF(OR(AND('Input Required'!F137&lt;&gt;"",NOT(ISNUMBER('Input Required'!F137))),AND(ISNUMBER('Input Required'!F137),NOT(OR('Input Required'!F137=0,'Input Required'!F137=1))),AND(ISNUMBER('Input Required'!F137),'Input Required'!F137&lt;0),AND(ISNUMBER('Input Required'!F137),'Input Required'!F137&gt;1)),"INPUT ERROR","READY")))</f>
        <v>INPUT REQUIRED</v>
      </c>
      <c r="D136" s="45" t="s">
        <v>572</v>
      </c>
      <c r="E136" s="45"/>
      <c r="F136" s="45" t="s">
        <v>182</v>
      </c>
      <c r="G136" s="45" t="s">
        <v>438</v>
      </c>
      <c r="H136" s="45" t="s">
        <v>704</v>
      </c>
      <c r="I136" s="47" t="n">
        <f aca="false">'Input Required'!G137</f>
        <v>0</v>
      </c>
    </row>
    <row r="137" customFormat="false" ht="46.25" hidden="false" customHeight="false" outlineLevel="0" collapsed="false">
      <c r="A137" s="45" t="s">
        <v>439</v>
      </c>
      <c r="B137" s="45" t="s">
        <v>440</v>
      </c>
      <c r="C137" s="47" t="str">
        <f aca="false">IF('Input Required'!F138="","INPUT REQUIRED",IF(AND('Input Required'!H138="Yes",'Input Required'!G138=""),"SOURCE REQUIRED",IF(OR(AND('Input Required'!F138&lt;&gt;"",NOT(ISNUMBER('Input Required'!F138))),AND(ISNUMBER('Input Required'!F138),'Input Required'!F138&lt;2026),AND(ISNUMBER('Input Required'!F138),'Input Required'!F138&gt;2035)),"INPUT ERROR","READY")))</f>
        <v>INPUT REQUIRED</v>
      </c>
      <c r="D137" s="45" t="s">
        <v>572</v>
      </c>
      <c r="E137" s="45"/>
      <c r="F137" s="45" t="s">
        <v>186</v>
      </c>
      <c r="G137" s="45" t="s">
        <v>438</v>
      </c>
      <c r="H137" s="45" t="s">
        <v>705</v>
      </c>
      <c r="I137" s="47" t="n">
        <f aca="false">'Input Required'!G138</f>
        <v>0</v>
      </c>
    </row>
    <row r="138" customFormat="false" ht="46.25" hidden="false" customHeight="false" outlineLevel="0" collapsed="false">
      <c r="A138" s="45" t="s">
        <v>441</v>
      </c>
      <c r="B138" s="45" t="s">
        <v>442</v>
      </c>
      <c r="C138" s="47" t="str">
        <f aca="false">IF('Input Required'!F139="","INPUT REQUIRED",IF(AND('Input Required'!H139="Yes",'Input Required'!G139=""),"SOURCE REQUIRED",IF(OR(AND('Input Required'!F139&lt;&gt;"",NOT(ISNUMBER('Input Required'!F139))),AND(ISNUMBER('Input Required'!F139),'Input Required'!F139&lt;0)),"INPUT ERROR","READY")))</f>
        <v>INPUT REQUIRED</v>
      </c>
      <c r="D138" s="45" t="s">
        <v>572</v>
      </c>
      <c r="E138" s="45"/>
      <c r="F138" s="45" t="s">
        <v>189</v>
      </c>
      <c r="G138" s="45" t="s">
        <v>438</v>
      </c>
      <c r="H138" s="45" t="s">
        <v>706</v>
      </c>
      <c r="I138" s="47" t="n">
        <f aca="false">'Input Required'!G139</f>
        <v>0</v>
      </c>
    </row>
    <row r="139" customFormat="false" ht="46.25" hidden="false" customHeight="false" outlineLevel="0" collapsed="false">
      <c r="A139" s="45" t="s">
        <v>443</v>
      </c>
      <c r="B139" s="45" t="s">
        <v>444</v>
      </c>
      <c r="C139" s="47" t="str">
        <f aca="false">IF('Input Required'!F140="","INPUT REQUIRED",IF(AND('Input Required'!H140="Yes",'Input Required'!G140=""),"SOURCE REQUIRED",IF(OR(AND('Input Required'!F140&lt;&gt;"",NOT(ISNUMBER('Input Required'!F140))),AND(ISNUMBER('Input Required'!F140),'Input Required'!F140&lt;1),AND(ISNUMBER('Input Required'!F140),'Input Required'!F140&gt;10)),"INPUT ERROR","READY")))</f>
        <v>INPUT REQUIRED</v>
      </c>
      <c r="D139" s="45" t="s">
        <v>572</v>
      </c>
      <c r="E139" s="45"/>
      <c r="F139" s="45" t="s">
        <v>192</v>
      </c>
      <c r="G139" s="45" t="s">
        <v>438</v>
      </c>
      <c r="H139" s="45" t="s">
        <v>707</v>
      </c>
      <c r="I139" s="47" t="n">
        <f aca="false">'Input Required'!G140</f>
        <v>0</v>
      </c>
    </row>
    <row r="140" customFormat="false" ht="46.25" hidden="false" customHeight="false" outlineLevel="0" collapsed="false">
      <c r="A140" s="45" t="s">
        <v>445</v>
      </c>
      <c r="B140" s="45" t="s">
        <v>446</v>
      </c>
      <c r="C140" s="47" t="str">
        <f aca="false">IF('Input Required'!F141="","INPUT REQUIRED",IF(AND('Input Required'!H141="Yes",'Input Required'!G141=""),"SOURCE REQUIRED",IF(OR(AND('Input Required'!F141&lt;&gt;"",NOT(ISNUMBER('Input Required'!F141))),AND(ISNUMBER('Input Required'!F141),'Input Required'!F141&lt;2026),AND(ISNUMBER('Input Required'!F141),'Input Required'!F141&gt;2050)),"INPUT ERROR","READY")))</f>
        <v>INPUT REQUIRED</v>
      </c>
      <c r="D140" s="45" t="s">
        <v>572</v>
      </c>
      <c r="E140" s="45"/>
      <c r="F140" s="45" t="s">
        <v>186</v>
      </c>
      <c r="G140" s="45" t="s">
        <v>438</v>
      </c>
      <c r="H140" s="45" t="s">
        <v>708</v>
      </c>
      <c r="I140" s="47" t="n">
        <f aca="false">'Input Required'!G141</f>
        <v>0</v>
      </c>
    </row>
    <row r="141" customFormat="false" ht="46.25" hidden="false" customHeight="false" outlineLevel="0" collapsed="false">
      <c r="A141" s="45" t="s">
        <v>447</v>
      </c>
      <c r="B141" s="45" t="s">
        <v>448</v>
      </c>
      <c r="C141" s="47" t="str">
        <f aca="false">IF('Input Required'!F142="","INPUT REQUIRED",IF(AND('Input Required'!H142="Yes",'Input Required'!G142=""),"SOURCE REQUIRED",IF(OR(AND('Input Required'!F142&lt;&gt;"",NOT(ISNUMBER('Input Required'!F142))),AND(ISNUMBER('Input Required'!F142),'Input Required'!F142&lt;0),AND(ISNUMBER('Input Required'!F142),'Input Required'!F142&gt;0.99)),"INPUT ERROR","READY")))</f>
        <v>INPUT REQUIRED</v>
      </c>
      <c r="D141" s="45" t="s">
        <v>572</v>
      </c>
      <c r="E141" s="45"/>
      <c r="F141" s="45" t="s">
        <v>156</v>
      </c>
      <c r="G141" s="45" t="s">
        <v>438</v>
      </c>
      <c r="H141" s="45" t="s">
        <v>709</v>
      </c>
      <c r="I141" s="47" t="n">
        <f aca="false">'Input Required'!G142</f>
        <v>0</v>
      </c>
    </row>
    <row r="142" customFormat="false" ht="46.25" hidden="false" customHeight="false" outlineLevel="0" collapsed="false">
      <c r="A142" s="45" t="s">
        <v>449</v>
      </c>
      <c r="B142" s="45" t="s">
        <v>450</v>
      </c>
      <c r="C142" s="47" t="str">
        <f aca="false">IF('Input Required'!F143="","INPUT REQUIRED",IF(AND('Input Required'!H143="Yes",'Input Required'!G143=""),"SOURCE REQUIRED",IF(OR(AND('Input Required'!F143&lt;&gt;"",NOT(ISNUMBER('Input Required'!F143))),AND(ISNUMBER('Input Required'!F143),'Input Required'!F143&lt;0),AND(ISNUMBER('Input Required'!F143),'Input Required'!F143&gt;1)),"INPUT ERROR","READY")))</f>
        <v>INPUT REQUIRED</v>
      </c>
      <c r="D142" s="45" t="s">
        <v>572</v>
      </c>
      <c r="E142" s="45"/>
      <c r="F142" s="45" t="s">
        <v>156</v>
      </c>
      <c r="G142" s="45" t="s">
        <v>438</v>
      </c>
      <c r="H142" s="45" t="s">
        <v>710</v>
      </c>
      <c r="I142" s="47" t="n">
        <f aca="false">'Input Required'!G143</f>
        <v>0</v>
      </c>
    </row>
    <row r="143" customFormat="false" ht="46.25" hidden="false" customHeight="false" outlineLevel="0" collapsed="false">
      <c r="A143" s="45" t="s">
        <v>451</v>
      </c>
      <c r="B143" s="45" t="s">
        <v>452</v>
      </c>
      <c r="C143" s="47" t="str">
        <f aca="false">IF('Input Required'!F144="","INPUT REQUIRED",IF(AND('Input Required'!H144="Yes",'Input Required'!G144=""),"SOURCE REQUIRED",IF(OR(AND('Input Required'!F144&lt;&gt;"",NOT(ISNUMBER('Input Required'!F144))),AND(ISNUMBER('Input Required'!F144),'Input Required'!F144&lt;0),AND(ISNUMBER('Input Required'!F144),'Input Required'!F144&gt;1)),"INPUT ERROR","READY")))</f>
        <v>INPUT REQUIRED</v>
      </c>
      <c r="D143" s="45" t="s">
        <v>572</v>
      </c>
      <c r="E143" s="45"/>
      <c r="F143" s="45" t="s">
        <v>156</v>
      </c>
      <c r="G143" s="45" t="s">
        <v>438</v>
      </c>
      <c r="H143" s="45" t="s">
        <v>711</v>
      </c>
      <c r="I143" s="47" t="n">
        <f aca="false">'Input Required'!G144</f>
        <v>0</v>
      </c>
    </row>
    <row r="144" customFormat="false" ht="46.25" hidden="false" customHeight="false" outlineLevel="0" collapsed="false">
      <c r="A144" s="45" t="s">
        <v>453</v>
      </c>
      <c r="B144" s="45" t="s">
        <v>454</v>
      </c>
      <c r="C144" s="47" t="str">
        <f aca="false">IF('Input Required'!F145="","INPUT REQUIRED",IF(AND('Input Required'!H145="Yes",'Input Required'!G145=""),"SOURCE REQUIRED",IF(OR(AND('Input Required'!F145&lt;&gt;"",NOT(ISNUMBER('Input Required'!F145))),AND(ISNUMBER('Input Required'!F145),'Input Required'!F145&lt;-1),AND(ISNUMBER('Input Required'!F145),'Input Required'!F145&gt;1)),"INPUT ERROR","READY")))</f>
        <v>INPUT REQUIRED</v>
      </c>
      <c r="D144" s="45" t="s">
        <v>572</v>
      </c>
      <c r="E144" s="45"/>
      <c r="F144" s="45" t="s">
        <v>156</v>
      </c>
      <c r="G144" s="45" t="s">
        <v>438</v>
      </c>
      <c r="H144" s="45" t="s">
        <v>712</v>
      </c>
      <c r="I144" s="47" t="n">
        <f aca="false">'Input Required'!G145</f>
        <v>0</v>
      </c>
    </row>
    <row r="145" customFormat="false" ht="46.25" hidden="false" customHeight="false" outlineLevel="0" collapsed="false">
      <c r="A145" s="45" t="s">
        <v>455</v>
      </c>
      <c r="B145" s="45" t="s">
        <v>456</v>
      </c>
      <c r="C145" s="47" t="str">
        <f aca="false">IF('Input Required'!F146="","INPUT REQUIRED",IF(AND('Input Required'!H146="Yes",'Input Required'!G146=""),"SOURCE REQUIRED",IF(OR(AND('Input Required'!F146&lt;&gt;"",NOT(ISNUMBER('Input Required'!F146))),AND(ISNUMBER('Input Required'!F146),'Input Required'!F146&lt;0)),"INPUT ERROR","READY")))</f>
        <v>INPUT REQUIRED</v>
      </c>
      <c r="D145" s="45" t="s">
        <v>572</v>
      </c>
      <c r="E145" s="45"/>
      <c r="F145" s="45" t="s">
        <v>189</v>
      </c>
      <c r="G145" s="45" t="s">
        <v>438</v>
      </c>
      <c r="H145" s="45" t="s">
        <v>713</v>
      </c>
      <c r="I145" s="47" t="n">
        <f aca="false">'Input Required'!G146</f>
        <v>0</v>
      </c>
    </row>
    <row r="146" customFormat="false" ht="46.25" hidden="false" customHeight="false" outlineLevel="0" collapsed="false">
      <c r="A146" s="45" t="s">
        <v>457</v>
      </c>
      <c r="B146" s="45" t="s">
        <v>458</v>
      </c>
      <c r="C146" s="47" t="str">
        <f aca="false">IF('Input Required'!F147="","INPUT REQUIRED",IF(AND('Input Required'!H147="Yes",'Input Required'!G147=""),"SOURCE REQUIRED",IF(OR(AND('Input Required'!F147&lt;&gt;"",NOT(ISNUMBER('Input Required'!F147))),AND(ISNUMBER('Input Required'!F147),NOT(OR('Input Required'!F147=0,'Input Required'!F147=1))),AND(ISNUMBER('Input Required'!F147),'Input Required'!F147&lt;0),AND(ISNUMBER('Input Required'!F147),'Input Required'!F147&gt;1)),"INPUT ERROR","READY")))</f>
        <v>INPUT REQUIRED</v>
      </c>
      <c r="D146" s="45" t="s">
        <v>572</v>
      </c>
      <c r="E146" s="45"/>
      <c r="F146" s="45" t="s">
        <v>182</v>
      </c>
      <c r="G146" s="45" t="s">
        <v>459</v>
      </c>
      <c r="H146" s="45" t="s">
        <v>714</v>
      </c>
      <c r="I146" s="47" t="n">
        <f aca="false">'Input Required'!G147</f>
        <v>0</v>
      </c>
    </row>
    <row r="147" customFormat="false" ht="46.25" hidden="false" customHeight="false" outlineLevel="0" collapsed="false">
      <c r="A147" s="45" t="s">
        <v>460</v>
      </c>
      <c r="B147" s="45" t="s">
        <v>461</v>
      </c>
      <c r="C147" s="47" t="str">
        <f aca="false">IF('Input Required'!F148="","INPUT REQUIRED",IF(AND('Input Required'!H148="Yes",'Input Required'!G148=""),"SOURCE REQUIRED",IF(OR(AND('Input Required'!F148&lt;&gt;"",NOT(ISNUMBER('Input Required'!F148))),AND(ISNUMBER('Input Required'!F148),'Input Required'!F148&lt;2026),AND(ISNUMBER('Input Required'!F148),'Input Required'!F148&gt;2035)),"INPUT ERROR","READY")))</f>
        <v>INPUT REQUIRED</v>
      </c>
      <c r="D147" s="45" t="s">
        <v>572</v>
      </c>
      <c r="E147" s="45"/>
      <c r="F147" s="45" t="s">
        <v>186</v>
      </c>
      <c r="G147" s="45" t="s">
        <v>459</v>
      </c>
      <c r="H147" s="45" t="s">
        <v>715</v>
      </c>
      <c r="I147" s="47" t="n">
        <f aca="false">'Input Required'!G148</f>
        <v>0</v>
      </c>
    </row>
    <row r="148" customFormat="false" ht="46.25" hidden="false" customHeight="false" outlineLevel="0" collapsed="false">
      <c r="A148" s="45" t="s">
        <v>462</v>
      </c>
      <c r="B148" s="45" t="s">
        <v>463</v>
      </c>
      <c r="C148" s="47" t="str">
        <f aca="false">IF('Input Required'!F149="","INPUT REQUIRED",IF(AND('Input Required'!H149="Yes",'Input Required'!G149=""),"SOURCE REQUIRED",IF(OR(AND('Input Required'!F149&lt;&gt;"",NOT(ISNUMBER('Input Required'!F149))),AND(ISNUMBER('Input Required'!F149),'Input Required'!F149&lt;0)),"INPUT ERROR","READY")))</f>
        <v>INPUT REQUIRED</v>
      </c>
      <c r="D148" s="45" t="s">
        <v>572</v>
      </c>
      <c r="E148" s="45"/>
      <c r="F148" s="45" t="s">
        <v>189</v>
      </c>
      <c r="G148" s="45" t="s">
        <v>459</v>
      </c>
      <c r="H148" s="45" t="s">
        <v>716</v>
      </c>
      <c r="I148" s="47" t="n">
        <f aca="false">'Input Required'!G149</f>
        <v>0</v>
      </c>
    </row>
    <row r="149" customFormat="false" ht="46.25" hidden="false" customHeight="false" outlineLevel="0" collapsed="false">
      <c r="A149" s="45" t="s">
        <v>464</v>
      </c>
      <c r="B149" s="45" t="s">
        <v>465</v>
      </c>
      <c r="C149" s="47" t="str">
        <f aca="false">IF('Input Required'!F150="","INPUT REQUIRED",IF(AND('Input Required'!H150="Yes",'Input Required'!G150=""),"SOURCE REQUIRED",IF(OR(AND('Input Required'!F150&lt;&gt;"",NOT(ISNUMBER('Input Required'!F150))),AND(ISNUMBER('Input Required'!F150),'Input Required'!F150&lt;1),AND(ISNUMBER('Input Required'!F150),'Input Required'!F150&gt;10)),"INPUT ERROR","READY")))</f>
        <v>INPUT REQUIRED</v>
      </c>
      <c r="D149" s="45" t="s">
        <v>572</v>
      </c>
      <c r="E149" s="45"/>
      <c r="F149" s="45" t="s">
        <v>192</v>
      </c>
      <c r="G149" s="45" t="s">
        <v>459</v>
      </c>
      <c r="H149" s="45" t="s">
        <v>717</v>
      </c>
      <c r="I149" s="47" t="n">
        <f aca="false">'Input Required'!G150</f>
        <v>0</v>
      </c>
    </row>
    <row r="150" customFormat="false" ht="46.25" hidden="false" customHeight="false" outlineLevel="0" collapsed="false">
      <c r="A150" s="45" t="s">
        <v>466</v>
      </c>
      <c r="B150" s="45" t="s">
        <v>467</v>
      </c>
      <c r="C150" s="47" t="str">
        <f aca="false">IF('Input Required'!F151="","INPUT REQUIRED",IF(AND('Input Required'!H151="Yes",'Input Required'!G151=""),"SOURCE REQUIRED",IF(OR(AND('Input Required'!F151&lt;&gt;"",NOT(ISNUMBER('Input Required'!F151))),AND(ISNUMBER('Input Required'!F151),'Input Required'!F151&lt;2026),AND(ISNUMBER('Input Required'!F151),'Input Required'!F151&gt;2050)),"INPUT ERROR","READY")))</f>
        <v>INPUT REQUIRED</v>
      </c>
      <c r="D150" s="45" t="s">
        <v>572</v>
      </c>
      <c r="E150" s="45"/>
      <c r="F150" s="45" t="s">
        <v>186</v>
      </c>
      <c r="G150" s="45" t="s">
        <v>459</v>
      </c>
      <c r="H150" s="45" t="s">
        <v>718</v>
      </c>
      <c r="I150" s="47" t="n">
        <f aca="false">'Input Required'!G151</f>
        <v>0</v>
      </c>
    </row>
    <row r="151" customFormat="false" ht="46.25" hidden="false" customHeight="false" outlineLevel="0" collapsed="false">
      <c r="A151" s="45" t="s">
        <v>468</v>
      </c>
      <c r="B151" s="45" t="s">
        <v>469</v>
      </c>
      <c r="C151" s="47" t="str">
        <f aca="false">IF('Input Required'!F152="","INPUT REQUIRED",IF(AND('Input Required'!H152="Yes",'Input Required'!G152=""),"SOURCE REQUIRED",IF(OR(AND('Input Required'!F152&lt;&gt;"",NOT(ISNUMBER('Input Required'!F152))),AND(ISNUMBER('Input Required'!F152),'Input Required'!F152&lt;0),AND(ISNUMBER('Input Required'!F152),'Input Required'!F152&gt;0.99)),"INPUT ERROR","READY")))</f>
        <v>INPUT REQUIRED</v>
      </c>
      <c r="D151" s="45" t="s">
        <v>572</v>
      </c>
      <c r="E151" s="45"/>
      <c r="F151" s="45" t="s">
        <v>156</v>
      </c>
      <c r="G151" s="45" t="s">
        <v>459</v>
      </c>
      <c r="H151" s="45" t="s">
        <v>719</v>
      </c>
      <c r="I151" s="47" t="n">
        <f aca="false">'Input Required'!G152</f>
        <v>0</v>
      </c>
    </row>
    <row r="152" customFormat="false" ht="46.25" hidden="false" customHeight="false" outlineLevel="0" collapsed="false">
      <c r="A152" s="45" t="s">
        <v>470</v>
      </c>
      <c r="B152" s="45" t="s">
        <v>471</v>
      </c>
      <c r="C152" s="47" t="str">
        <f aca="false">IF('Input Required'!F153="","INPUT REQUIRED",IF(AND('Input Required'!H153="Yes",'Input Required'!G153=""),"SOURCE REQUIRED",IF(OR(AND('Input Required'!F153&lt;&gt;"",NOT(ISNUMBER('Input Required'!F153))),AND(ISNUMBER('Input Required'!F153),'Input Required'!F153&lt;0),AND(ISNUMBER('Input Required'!F153),'Input Required'!F153&gt;1)),"INPUT ERROR","READY")))</f>
        <v>INPUT REQUIRED</v>
      </c>
      <c r="D152" s="45" t="s">
        <v>572</v>
      </c>
      <c r="E152" s="45"/>
      <c r="F152" s="45" t="s">
        <v>156</v>
      </c>
      <c r="G152" s="45" t="s">
        <v>459</v>
      </c>
      <c r="H152" s="45" t="s">
        <v>720</v>
      </c>
      <c r="I152" s="47" t="n">
        <f aca="false">'Input Required'!G153</f>
        <v>0</v>
      </c>
    </row>
    <row r="153" customFormat="false" ht="46.25" hidden="false" customHeight="false" outlineLevel="0" collapsed="false">
      <c r="A153" s="45" t="s">
        <v>472</v>
      </c>
      <c r="B153" s="45" t="s">
        <v>473</v>
      </c>
      <c r="C153" s="47" t="str">
        <f aca="false">IF('Input Required'!F154="","INPUT REQUIRED",IF(AND('Input Required'!H154="Yes",'Input Required'!G154=""),"SOURCE REQUIRED",IF(OR(AND('Input Required'!F154&lt;&gt;"",NOT(ISNUMBER('Input Required'!F154))),AND(ISNUMBER('Input Required'!F154),'Input Required'!F154&lt;0),AND(ISNUMBER('Input Required'!F154),'Input Required'!F154&gt;1)),"INPUT ERROR","READY")))</f>
        <v>INPUT REQUIRED</v>
      </c>
      <c r="D153" s="45" t="s">
        <v>572</v>
      </c>
      <c r="E153" s="45"/>
      <c r="F153" s="45" t="s">
        <v>156</v>
      </c>
      <c r="G153" s="45" t="s">
        <v>459</v>
      </c>
      <c r="H153" s="45" t="s">
        <v>721</v>
      </c>
      <c r="I153" s="47" t="n">
        <f aca="false">'Input Required'!G154</f>
        <v>0</v>
      </c>
    </row>
    <row r="154" customFormat="false" ht="46.25" hidden="false" customHeight="false" outlineLevel="0" collapsed="false">
      <c r="A154" s="45" t="s">
        <v>474</v>
      </c>
      <c r="B154" s="45" t="s">
        <v>475</v>
      </c>
      <c r="C154" s="47" t="str">
        <f aca="false">IF('Input Required'!F155="","INPUT REQUIRED",IF(AND('Input Required'!H155="Yes",'Input Required'!G155=""),"SOURCE REQUIRED",IF(OR(AND('Input Required'!F155&lt;&gt;"",NOT(ISNUMBER('Input Required'!F155))),AND(ISNUMBER('Input Required'!F155),'Input Required'!F155&lt;-1),AND(ISNUMBER('Input Required'!F155),'Input Required'!F155&gt;1)),"INPUT ERROR","READY")))</f>
        <v>INPUT REQUIRED</v>
      </c>
      <c r="D154" s="45" t="s">
        <v>572</v>
      </c>
      <c r="E154" s="45"/>
      <c r="F154" s="45" t="s">
        <v>156</v>
      </c>
      <c r="G154" s="45" t="s">
        <v>459</v>
      </c>
      <c r="H154" s="45" t="s">
        <v>722</v>
      </c>
      <c r="I154" s="47" t="n">
        <f aca="false">'Input Required'!G155</f>
        <v>0</v>
      </c>
    </row>
    <row r="155" customFormat="false" ht="46.25" hidden="false" customHeight="false" outlineLevel="0" collapsed="false">
      <c r="A155" s="45" t="s">
        <v>476</v>
      </c>
      <c r="B155" s="45" t="s">
        <v>477</v>
      </c>
      <c r="C155" s="47" t="str">
        <f aca="false">IF('Input Required'!F156="","INPUT REQUIRED",IF(AND('Input Required'!H156="Yes",'Input Required'!G156=""),"SOURCE REQUIRED",IF(OR(AND('Input Required'!F156&lt;&gt;"",NOT(ISNUMBER('Input Required'!F156))),AND(ISNUMBER('Input Required'!F156),'Input Required'!F156&lt;0)),"INPUT ERROR","READY")))</f>
        <v>INPUT REQUIRED</v>
      </c>
      <c r="D155" s="45" t="s">
        <v>572</v>
      </c>
      <c r="E155" s="45"/>
      <c r="F155" s="45" t="s">
        <v>189</v>
      </c>
      <c r="G155" s="45" t="s">
        <v>459</v>
      </c>
      <c r="H155" s="45" t="s">
        <v>723</v>
      </c>
      <c r="I155" s="47" t="n">
        <f aca="false">'Input Required'!G156</f>
        <v>0</v>
      </c>
    </row>
    <row r="156" customFormat="false" ht="68.65" hidden="false" customHeight="false" outlineLevel="0" collapsed="false">
      <c r="A156" s="45" t="s">
        <v>478</v>
      </c>
      <c r="B156" s="45" t="s">
        <v>479</v>
      </c>
      <c r="C156" s="47" t="str">
        <f aca="false">IF('Input Required'!F157="","INPUT REQUIRED",IF(AND('Input Required'!H157="Yes",'Input Required'!G157=""),"SOURCE REQUIRED",IF(OR(AND('Input Required'!F157&lt;&gt;"",NOT(ISNUMBER('Input Required'!F157))),AND(ISNUMBER('Input Required'!F157),NOT(OR('Input Required'!F157=0,'Input Required'!F157=1))),AND(ISNUMBER('Input Required'!F157),'Input Required'!F157&lt;0),AND(ISNUMBER('Input Required'!F157),'Input Required'!F157&gt;1)),"INPUT ERROR","READY")))</f>
        <v>INPUT REQUIRED</v>
      </c>
      <c r="D156" s="45" t="s">
        <v>572</v>
      </c>
      <c r="E156" s="45"/>
      <c r="F156" s="45" t="s">
        <v>182</v>
      </c>
      <c r="G156" s="45" t="s">
        <v>480</v>
      </c>
      <c r="H156" s="45" t="s">
        <v>724</v>
      </c>
      <c r="I156" s="47" t="n">
        <f aca="false">'Input Required'!G157</f>
        <v>0</v>
      </c>
    </row>
    <row r="157" customFormat="false" ht="68.65" hidden="false" customHeight="false" outlineLevel="0" collapsed="false">
      <c r="A157" s="45" t="s">
        <v>481</v>
      </c>
      <c r="B157" s="45" t="s">
        <v>482</v>
      </c>
      <c r="C157" s="47" t="str">
        <f aca="false">IF('Input Required'!F158="","INPUT REQUIRED",IF(AND('Input Required'!H158="Yes",'Input Required'!G158=""),"SOURCE REQUIRED",IF(OR(AND('Input Required'!F158&lt;&gt;"",NOT(ISNUMBER('Input Required'!F158))),AND(ISNUMBER('Input Required'!F158),'Input Required'!F158&lt;-1000000000000),AND(ISNUMBER('Input Required'!F158),'Input Required'!F158&gt;1000000000000)),"INPUT ERROR","READY")))</f>
        <v>INPUT REQUIRED</v>
      </c>
      <c r="D157" s="45" t="s">
        <v>572</v>
      </c>
      <c r="E157" s="45"/>
      <c r="F157" s="45" t="s">
        <v>189</v>
      </c>
      <c r="G157" s="45" t="s">
        <v>480</v>
      </c>
      <c r="H157" s="45" t="s">
        <v>725</v>
      </c>
      <c r="I157" s="47" t="n">
        <f aca="false">'Input Required'!G158</f>
        <v>0</v>
      </c>
    </row>
    <row r="158" customFormat="false" ht="68.65" hidden="false" customHeight="false" outlineLevel="0" collapsed="false">
      <c r="A158" s="45" t="s">
        <v>483</v>
      </c>
      <c r="B158" s="45" t="s">
        <v>484</v>
      </c>
      <c r="C158" s="47" t="str">
        <f aca="false">IF('Input Required'!F159="","INPUT REQUIRED",IF(AND('Input Required'!H159="Yes",'Input Required'!G159=""),"SOURCE REQUIRED",IF(OR(AND('Input Required'!F159&lt;&gt;"",NOT(ISNUMBER('Input Required'!F159))),AND(ISNUMBER('Input Required'!F159),NOT(OR('Input Required'!F159=0,'Input Required'!F159=1))),AND(ISNUMBER('Input Required'!F159),'Input Required'!F159&lt;0),AND(ISNUMBER('Input Required'!F159),'Input Required'!F159&gt;1)),"INPUT ERROR","READY")))</f>
        <v>INPUT REQUIRED</v>
      </c>
      <c r="D158" s="45" t="s">
        <v>572</v>
      </c>
      <c r="E158" s="45"/>
      <c r="F158" s="45" t="s">
        <v>182</v>
      </c>
      <c r="G158" s="45" t="s">
        <v>480</v>
      </c>
      <c r="H158" s="45" t="s">
        <v>726</v>
      </c>
      <c r="I158" s="47" t="n">
        <f aca="false">'Input Required'!G159</f>
        <v>0</v>
      </c>
    </row>
    <row r="159" customFormat="false" ht="68.65" hidden="false" customHeight="false" outlineLevel="0" collapsed="false">
      <c r="A159" s="45" t="s">
        <v>485</v>
      </c>
      <c r="B159" s="45" t="s">
        <v>486</v>
      </c>
      <c r="C159" s="47" t="str">
        <f aca="false">IF('Input Required'!F160="","INPUT REQUIRED",IF(AND('Input Required'!H160="Yes",'Input Required'!G160=""),"SOURCE REQUIRED",IF(OR(AND('Input Required'!F160&lt;&gt;"",NOT(ISNUMBER('Input Required'!F160))),AND(ISNUMBER('Input Required'!F160),'Input Required'!F160&lt;-1000000000000),AND(ISNUMBER('Input Required'!F160),'Input Required'!F160&gt;1000000000000)),"INPUT ERROR","READY")))</f>
        <v>INPUT REQUIRED</v>
      </c>
      <c r="D159" s="45" t="s">
        <v>572</v>
      </c>
      <c r="E159" s="45"/>
      <c r="F159" s="45" t="s">
        <v>189</v>
      </c>
      <c r="G159" s="45" t="s">
        <v>480</v>
      </c>
      <c r="H159" s="45" t="s">
        <v>727</v>
      </c>
      <c r="I159" s="47" t="n">
        <f aca="false">'Input Required'!G160</f>
        <v>0</v>
      </c>
    </row>
    <row r="160" customFormat="false" ht="68.65" hidden="false" customHeight="false" outlineLevel="0" collapsed="false">
      <c r="A160" s="45" t="s">
        <v>487</v>
      </c>
      <c r="B160" s="45" t="s">
        <v>488</v>
      </c>
      <c r="C160" s="47" t="str">
        <f aca="false">IF('Input Required'!F161="","INPUT REQUIRED",IF(AND('Input Required'!H161="Yes",'Input Required'!G161=""),"SOURCE REQUIRED",IF(OR(AND('Input Required'!F161&lt;&gt;"",NOT(ISNUMBER('Input Required'!F161))),AND(ISNUMBER('Input Required'!F161),NOT(OR('Input Required'!F161=0,'Input Required'!F161=1))),AND(ISNUMBER('Input Required'!F161),'Input Required'!F161&lt;0),AND(ISNUMBER('Input Required'!F161),'Input Required'!F161&gt;1)),"INPUT ERROR","READY")))</f>
        <v>INPUT REQUIRED</v>
      </c>
      <c r="D160" s="45" t="s">
        <v>572</v>
      </c>
      <c r="E160" s="45"/>
      <c r="F160" s="45" t="s">
        <v>182</v>
      </c>
      <c r="G160" s="45" t="s">
        <v>480</v>
      </c>
      <c r="H160" s="45" t="s">
        <v>728</v>
      </c>
      <c r="I160" s="47" t="n">
        <f aca="false">'Input Required'!G161</f>
        <v>0</v>
      </c>
    </row>
    <row r="161" customFormat="false" ht="68.65" hidden="false" customHeight="false" outlineLevel="0" collapsed="false">
      <c r="A161" s="45" t="s">
        <v>489</v>
      </c>
      <c r="B161" s="45" t="s">
        <v>490</v>
      </c>
      <c r="C161" s="47" t="str">
        <f aca="false">IF('Input Required'!F162="","INPUT REQUIRED",IF(AND('Input Required'!H162="Yes",'Input Required'!G162=""),"SOURCE REQUIRED",IF(OR(AND('Input Required'!F162&lt;&gt;"",NOT(ISNUMBER('Input Required'!F162))),AND(ISNUMBER('Input Required'!F162),'Input Required'!F162&lt;-1000000000000),AND(ISNUMBER('Input Required'!F162),'Input Required'!F162&gt;1000000000000)),"INPUT ERROR","READY")))</f>
        <v>INPUT REQUIRED</v>
      </c>
      <c r="D161" s="45" t="s">
        <v>572</v>
      </c>
      <c r="E161" s="45"/>
      <c r="F161" s="45" t="s">
        <v>189</v>
      </c>
      <c r="G161" s="45" t="s">
        <v>480</v>
      </c>
      <c r="H161" s="45" t="s">
        <v>729</v>
      </c>
      <c r="I161" s="47" t="n">
        <f aca="false">'Input Required'!G162</f>
        <v>0</v>
      </c>
    </row>
    <row r="162" customFormat="false" ht="68.65" hidden="false" customHeight="false" outlineLevel="0" collapsed="false">
      <c r="A162" s="45" t="s">
        <v>491</v>
      </c>
      <c r="B162" s="45" t="s">
        <v>492</v>
      </c>
      <c r="C162" s="47" t="str">
        <f aca="false">IF('Input Required'!F163="","INPUT REQUIRED",IF(AND('Input Required'!H163="Yes",'Input Required'!G163=""),"SOURCE REQUIRED",IF(OR(AND('Input Required'!F163&lt;&gt;"",NOT(ISNUMBER('Input Required'!F163))),AND(ISNUMBER('Input Required'!F163),NOT(OR('Input Required'!F163=0,'Input Required'!F163=1))),AND(ISNUMBER('Input Required'!F163),'Input Required'!F163&lt;0),AND(ISNUMBER('Input Required'!F163),'Input Required'!F163&gt;1)),"INPUT ERROR","READY")))</f>
        <v>INPUT REQUIRED</v>
      </c>
      <c r="D162" s="45" t="s">
        <v>572</v>
      </c>
      <c r="E162" s="45"/>
      <c r="F162" s="45" t="s">
        <v>182</v>
      </c>
      <c r="G162" s="45" t="s">
        <v>480</v>
      </c>
      <c r="H162" s="45" t="s">
        <v>730</v>
      </c>
      <c r="I162" s="47" t="n">
        <f aca="false">'Input Required'!G163</f>
        <v>0</v>
      </c>
    </row>
    <row r="163" customFormat="false" ht="68.65" hidden="false" customHeight="false" outlineLevel="0" collapsed="false">
      <c r="A163" s="45" t="s">
        <v>493</v>
      </c>
      <c r="B163" s="45" t="s">
        <v>494</v>
      </c>
      <c r="C163" s="47" t="str">
        <f aca="false">IF('Input Required'!F164="","INPUT REQUIRED",IF(AND('Input Required'!H164="Yes",'Input Required'!G164=""),"SOURCE REQUIRED",IF(OR(AND('Input Required'!F164&lt;&gt;"",NOT(ISNUMBER('Input Required'!F164))),AND(ISNUMBER('Input Required'!F164),'Input Required'!F164&lt;-1000000000000),AND(ISNUMBER('Input Required'!F164),'Input Required'!F164&gt;1000000000000)),"INPUT ERROR","READY")))</f>
        <v>INPUT REQUIRED</v>
      </c>
      <c r="D163" s="45" t="s">
        <v>572</v>
      </c>
      <c r="E163" s="45"/>
      <c r="F163" s="45" t="s">
        <v>189</v>
      </c>
      <c r="G163" s="45" t="s">
        <v>480</v>
      </c>
      <c r="H163" s="45" t="s">
        <v>731</v>
      </c>
      <c r="I163" s="47" t="n">
        <f aca="false">'Input Required'!G164</f>
        <v>0</v>
      </c>
    </row>
    <row r="164" customFormat="false" ht="68.65" hidden="false" customHeight="false" outlineLevel="0" collapsed="false">
      <c r="A164" s="45" t="s">
        <v>495</v>
      </c>
      <c r="B164" s="45" t="s">
        <v>496</v>
      </c>
      <c r="C164" s="47" t="str">
        <f aca="false">IF('Input Required'!F165="","INPUT REQUIRED",IF(AND('Input Required'!H165="Yes",'Input Required'!G165=""),"SOURCE REQUIRED",IF(OR(AND('Input Required'!F165&lt;&gt;"",NOT(ISNUMBER('Input Required'!F165))),AND(ISNUMBER('Input Required'!F165),NOT(OR('Input Required'!F165=0,'Input Required'!F165=1))),AND(ISNUMBER('Input Required'!F165),'Input Required'!F165&lt;0),AND(ISNUMBER('Input Required'!F165),'Input Required'!F165&gt;1)),"INPUT ERROR","READY")))</f>
        <v>INPUT REQUIRED</v>
      </c>
      <c r="D164" s="45" t="s">
        <v>572</v>
      </c>
      <c r="E164" s="45"/>
      <c r="F164" s="45" t="s">
        <v>182</v>
      </c>
      <c r="G164" s="45" t="s">
        <v>497</v>
      </c>
      <c r="H164" s="45" t="s">
        <v>732</v>
      </c>
      <c r="I164" s="47" t="n">
        <f aca="false">'Input Required'!G165</f>
        <v>0</v>
      </c>
    </row>
    <row r="165" customFormat="false" ht="68.65" hidden="false" customHeight="false" outlineLevel="0" collapsed="false">
      <c r="A165" s="45" t="s">
        <v>498</v>
      </c>
      <c r="B165" s="45" t="s">
        <v>499</v>
      </c>
      <c r="C165" s="47" t="str">
        <f aca="false">IF('Input Required'!F166="","INPUT REQUIRED",IF(AND('Input Required'!H166="Yes",'Input Required'!G166=""),"SOURCE REQUIRED",IF(OR(AND('Input Required'!F166&lt;&gt;"",NOT(ISNUMBER('Input Required'!F166))),AND(ISNUMBER('Input Required'!F166),'Input Required'!F166&lt;-1000000000000),AND(ISNUMBER('Input Required'!F166),'Input Required'!F166&gt;1000000000000)),"INPUT ERROR","READY")))</f>
        <v>INPUT REQUIRED</v>
      </c>
      <c r="D165" s="45" t="s">
        <v>572</v>
      </c>
      <c r="E165" s="45"/>
      <c r="F165" s="45" t="s">
        <v>189</v>
      </c>
      <c r="G165" s="45" t="s">
        <v>497</v>
      </c>
      <c r="H165" s="45" t="s">
        <v>733</v>
      </c>
      <c r="I165" s="47" t="n">
        <f aca="false">'Input Required'!G166</f>
        <v>0</v>
      </c>
    </row>
    <row r="166" customFormat="false" ht="79.85" hidden="false" customHeight="false" outlineLevel="0" collapsed="false">
      <c r="A166" s="45" t="s">
        <v>500</v>
      </c>
      <c r="B166" s="45" t="s">
        <v>501</v>
      </c>
      <c r="C166" s="47" t="str">
        <f aca="false">IF('Input Required'!F167="","INPUT REQUIRED",IF(AND('Input Required'!H167="Yes",'Input Required'!G167=""),"SOURCE REQUIRED",IF(OR(AND('Input Required'!F167&lt;&gt;"",NOT(ISNUMBER('Input Required'!F167))),AND(ISNUMBER('Input Required'!F167),NOT(OR('Input Required'!F167=0,'Input Required'!F167=1))),AND(ISNUMBER('Input Required'!F167),'Input Required'!F167&lt;0),AND(ISNUMBER('Input Required'!F167),'Input Required'!F167&gt;1)),"INPUT ERROR","READY")))</f>
        <v>INPUT REQUIRED</v>
      </c>
      <c r="D166" s="45" t="s">
        <v>572</v>
      </c>
      <c r="E166" s="45"/>
      <c r="F166" s="45" t="s">
        <v>182</v>
      </c>
      <c r="G166" s="45" t="s">
        <v>502</v>
      </c>
      <c r="H166" s="45" t="s">
        <v>734</v>
      </c>
      <c r="I166" s="47" t="n">
        <f aca="false">'Input Required'!G167</f>
        <v>0</v>
      </c>
    </row>
    <row r="167" customFormat="false" ht="79.85" hidden="false" customHeight="false" outlineLevel="0" collapsed="false">
      <c r="A167" s="45" t="s">
        <v>503</v>
      </c>
      <c r="B167" s="45" t="s">
        <v>504</v>
      </c>
      <c r="C167" s="47" t="str">
        <f aca="false">IF('Input Required'!F168="","INPUT REQUIRED",IF(AND('Input Required'!H168="Yes",'Input Required'!G168=""),"SOURCE REQUIRED",IF(OR(AND('Input Required'!F168&lt;&gt;"",NOT(ISNUMBER('Input Required'!F168))),AND(ISNUMBER('Input Required'!F168),'Input Required'!F168&lt;-1000000000000),AND(ISNUMBER('Input Required'!F168),'Input Required'!F168&gt;1000000000000)),"INPUT ERROR","READY")))</f>
        <v>INPUT REQUIRED</v>
      </c>
      <c r="D167" s="45" t="s">
        <v>572</v>
      </c>
      <c r="E167" s="45"/>
      <c r="F167" s="45" t="s">
        <v>189</v>
      </c>
      <c r="G167" s="45" t="s">
        <v>502</v>
      </c>
      <c r="H167" s="45" t="s">
        <v>735</v>
      </c>
      <c r="I167" s="47" t="n">
        <f aca="false">'Input Required'!G168</f>
        <v>0</v>
      </c>
    </row>
    <row r="168" customFormat="false" ht="68.65" hidden="false" customHeight="false" outlineLevel="0" collapsed="false">
      <c r="A168" s="45" t="s">
        <v>505</v>
      </c>
      <c r="B168" s="45" t="s">
        <v>506</v>
      </c>
      <c r="C168" s="47" t="str">
        <f aca="false">IF('Input Required'!F169="","INPUT REQUIRED",IF(AND('Input Required'!H169="Yes",'Input Required'!G169=""),"SOURCE REQUIRED",IF(OR(AND('Input Required'!F169&lt;&gt;"",NOT(ISNUMBER('Input Required'!F169))),AND(ISNUMBER('Input Required'!F169),NOT(OR('Input Required'!F169=0,'Input Required'!F169=1))),AND(ISNUMBER('Input Required'!F169),'Input Required'!F169&lt;0),AND(ISNUMBER('Input Required'!F169),'Input Required'!F169&gt;1)),"INPUT ERROR","READY")))</f>
        <v>INPUT REQUIRED</v>
      </c>
      <c r="D168" s="45" t="s">
        <v>572</v>
      </c>
      <c r="E168" s="45"/>
      <c r="F168" s="45" t="s">
        <v>182</v>
      </c>
      <c r="G168" s="45" t="s">
        <v>497</v>
      </c>
      <c r="H168" s="45" t="s">
        <v>736</v>
      </c>
      <c r="I168" s="47" t="n">
        <f aca="false">'Input Required'!G169</f>
        <v>0</v>
      </c>
    </row>
    <row r="169" customFormat="false" ht="68.65" hidden="false" customHeight="false" outlineLevel="0" collapsed="false">
      <c r="A169" s="45" t="s">
        <v>507</v>
      </c>
      <c r="B169" s="45" t="s">
        <v>508</v>
      </c>
      <c r="C169" s="47" t="str">
        <f aca="false">IF('Input Required'!F170="","INPUT REQUIRED",IF(AND('Input Required'!H170="Yes",'Input Required'!G170=""),"SOURCE REQUIRED",IF(OR(AND('Input Required'!F170&lt;&gt;"",NOT(ISNUMBER('Input Required'!F170))),AND(ISNUMBER('Input Required'!F170),'Input Required'!F170&lt;-1000000000000),AND(ISNUMBER('Input Required'!F170),'Input Required'!F170&gt;1000000000000)),"INPUT ERROR","READY")))</f>
        <v>INPUT REQUIRED</v>
      </c>
      <c r="D169" s="45" t="s">
        <v>572</v>
      </c>
      <c r="E169" s="45"/>
      <c r="F169" s="45" t="s">
        <v>189</v>
      </c>
      <c r="G169" s="45" t="s">
        <v>497</v>
      </c>
      <c r="H169" s="45" t="s">
        <v>737</v>
      </c>
      <c r="I169" s="47" t="n">
        <f aca="false">'Input Required'!G170</f>
        <v>0</v>
      </c>
    </row>
    <row r="170" customFormat="false" ht="68.65" hidden="false" customHeight="false" outlineLevel="0" collapsed="false">
      <c r="A170" s="45" t="s">
        <v>509</v>
      </c>
      <c r="B170" s="45" t="s">
        <v>510</v>
      </c>
      <c r="C170" s="47" t="str">
        <f aca="false">IF('Input Required'!F171="","INPUT REQUIRED",IF(AND('Input Required'!H171="Yes",'Input Required'!G171=""),"SOURCE REQUIRED",IF(OR(AND('Input Required'!F171&lt;&gt;"",NOT(ISNUMBER('Input Required'!F171))),AND(ISNUMBER('Input Required'!F171),NOT(OR('Input Required'!F171=0,'Input Required'!F171=1))),AND(ISNUMBER('Input Required'!F171),'Input Required'!F171&lt;0),AND(ISNUMBER('Input Required'!F171),'Input Required'!F171&gt;1)),"INPUT ERROR","READY")))</f>
        <v>INPUT REQUIRED</v>
      </c>
      <c r="D170" s="45" t="s">
        <v>572</v>
      </c>
      <c r="E170" s="45"/>
      <c r="F170" s="45" t="s">
        <v>182</v>
      </c>
      <c r="G170" s="45" t="s">
        <v>497</v>
      </c>
      <c r="H170" s="45" t="s">
        <v>738</v>
      </c>
      <c r="I170" s="47" t="n">
        <f aca="false">'Input Required'!G171</f>
        <v>0</v>
      </c>
    </row>
    <row r="171" customFormat="false" ht="68.65" hidden="false" customHeight="false" outlineLevel="0" collapsed="false">
      <c r="A171" s="45" t="s">
        <v>511</v>
      </c>
      <c r="B171" s="45" t="s">
        <v>512</v>
      </c>
      <c r="C171" s="47" t="str">
        <f aca="false">IF('Input Required'!F172="","INPUT REQUIRED",IF(AND('Input Required'!H172="Yes",'Input Required'!G172=""),"SOURCE REQUIRED",IF(OR(AND('Input Required'!F172&lt;&gt;"",NOT(ISNUMBER('Input Required'!F172))),AND(ISNUMBER('Input Required'!F172),'Input Required'!F172&lt;-1000000000000),AND(ISNUMBER('Input Required'!F172),'Input Required'!F172&gt;1000000000000)),"INPUT ERROR","READY")))</f>
        <v>INPUT REQUIRED</v>
      </c>
      <c r="D171" s="45" t="s">
        <v>572</v>
      </c>
      <c r="E171" s="45"/>
      <c r="F171" s="45" t="s">
        <v>189</v>
      </c>
      <c r="G171" s="45" t="s">
        <v>497</v>
      </c>
      <c r="H171" s="45" t="s">
        <v>739</v>
      </c>
      <c r="I171" s="47" t="n">
        <f aca="false">'Input Required'!G172</f>
        <v>0</v>
      </c>
    </row>
    <row r="172" customFormat="false" ht="68.65" hidden="false" customHeight="false" outlineLevel="0" collapsed="false">
      <c r="A172" s="45" t="s">
        <v>513</v>
      </c>
      <c r="B172" s="45" t="s">
        <v>514</v>
      </c>
      <c r="C172" s="47" t="str">
        <f aca="false">IF('Input Required'!F173="","INPUT REQUIRED",IF(AND('Input Required'!H173="Yes",'Input Required'!G173=""),"SOURCE REQUIRED",IF(OR(AND('Input Required'!F173&lt;&gt;"",NOT(ISNUMBER('Input Required'!F173))),AND(ISNUMBER('Input Required'!F173),NOT(OR('Input Required'!F173=0,'Input Required'!F173=1))),AND(ISNUMBER('Input Required'!F173),'Input Required'!F173&lt;0),AND(ISNUMBER('Input Required'!F173),'Input Required'!F173&gt;1)),"INPUT ERROR","READY")))</f>
        <v>INPUT REQUIRED</v>
      </c>
      <c r="D172" s="45" t="s">
        <v>572</v>
      </c>
      <c r="E172" s="45"/>
      <c r="F172" s="45" t="s">
        <v>182</v>
      </c>
      <c r="G172" s="45" t="s">
        <v>515</v>
      </c>
      <c r="H172" s="45" t="s">
        <v>740</v>
      </c>
      <c r="I172" s="47" t="n">
        <f aca="false">'Input Required'!G173</f>
        <v>0</v>
      </c>
    </row>
    <row r="173" customFormat="false" ht="68.65" hidden="false" customHeight="false" outlineLevel="0" collapsed="false">
      <c r="A173" s="45" t="s">
        <v>516</v>
      </c>
      <c r="B173" s="45" t="s">
        <v>517</v>
      </c>
      <c r="C173" s="47" t="str">
        <f aca="false">IF('Input Required'!F174="","INPUT REQUIRED",IF(AND('Input Required'!H174="Yes",'Input Required'!G174=""),"SOURCE REQUIRED",IF(OR(AND('Input Required'!F174&lt;&gt;"",NOT(ISNUMBER('Input Required'!F174))),AND(ISNUMBER('Input Required'!F174),'Input Required'!F174&lt;-1000000000000),AND(ISNUMBER('Input Required'!F174),'Input Required'!F174&gt;1000000000000)),"INPUT ERROR","READY")))</f>
        <v>INPUT REQUIRED</v>
      </c>
      <c r="D173" s="45" t="s">
        <v>572</v>
      </c>
      <c r="E173" s="45"/>
      <c r="F173" s="45" t="s">
        <v>189</v>
      </c>
      <c r="G173" s="45" t="s">
        <v>515</v>
      </c>
      <c r="H173" s="45" t="s">
        <v>741</v>
      </c>
      <c r="I173" s="47" t="n">
        <f aca="false">'Input Required'!G174</f>
        <v>0</v>
      </c>
    </row>
    <row r="174" customFormat="false" ht="68.65" hidden="false" customHeight="false" outlineLevel="0" collapsed="false">
      <c r="A174" s="45" t="s">
        <v>518</v>
      </c>
      <c r="B174" s="45" t="s">
        <v>519</v>
      </c>
      <c r="C174" s="47" t="str">
        <f aca="false">IF('Input Required'!F175="","INPUT REQUIRED",IF(AND('Input Required'!H175="Yes",'Input Required'!G175=""),"SOURCE REQUIRED",IF(OR(AND('Input Required'!F175&lt;&gt;"",NOT(ISNUMBER('Input Required'!F175))),AND(ISNUMBER('Input Required'!F175),NOT(OR('Input Required'!F175=0,'Input Required'!F175=1))),AND(ISNUMBER('Input Required'!F175),'Input Required'!F175&lt;0),AND(ISNUMBER('Input Required'!F175),'Input Required'!F175&gt;1)),"INPUT ERROR","READY")))</f>
        <v>INPUT REQUIRED</v>
      </c>
      <c r="D174" s="45" t="s">
        <v>572</v>
      </c>
      <c r="E174" s="45"/>
      <c r="F174" s="45" t="s">
        <v>182</v>
      </c>
      <c r="G174" s="45" t="s">
        <v>515</v>
      </c>
      <c r="H174" s="45" t="s">
        <v>742</v>
      </c>
      <c r="I174" s="47" t="n">
        <f aca="false">'Input Required'!G175</f>
        <v>0</v>
      </c>
    </row>
    <row r="175" customFormat="false" ht="68.65" hidden="false" customHeight="false" outlineLevel="0" collapsed="false">
      <c r="A175" s="45" t="s">
        <v>520</v>
      </c>
      <c r="B175" s="45" t="s">
        <v>521</v>
      </c>
      <c r="C175" s="47" t="str">
        <f aca="false">IF('Input Required'!F176="","INPUT REQUIRED",IF(AND('Input Required'!H176="Yes",'Input Required'!G176=""),"SOURCE REQUIRED",IF(OR(AND('Input Required'!F176&lt;&gt;"",NOT(ISNUMBER('Input Required'!F176))),AND(ISNUMBER('Input Required'!F176),'Input Required'!F176&lt;-1000000000000),AND(ISNUMBER('Input Required'!F176),'Input Required'!F176&gt;1000000000000)),"INPUT ERROR","READY")))</f>
        <v>INPUT REQUIRED</v>
      </c>
      <c r="D175" s="45" t="s">
        <v>572</v>
      </c>
      <c r="E175" s="45"/>
      <c r="F175" s="45" t="s">
        <v>189</v>
      </c>
      <c r="G175" s="45" t="s">
        <v>515</v>
      </c>
      <c r="H175" s="45" t="s">
        <v>743</v>
      </c>
      <c r="I175" s="47" t="n">
        <f aca="false">'Input Required'!G176</f>
        <v>0</v>
      </c>
    </row>
    <row r="176" customFormat="false" ht="68.65" hidden="false" customHeight="false" outlineLevel="0" collapsed="false">
      <c r="A176" s="45" t="s">
        <v>522</v>
      </c>
      <c r="B176" s="45" t="s">
        <v>523</v>
      </c>
      <c r="C176" s="47" t="str">
        <f aca="false">IF('Input Required'!F177="","INPUT REQUIRED",IF(AND('Input Required'!H177="Yes",'Input Required'!G177=""),"SOURCE REQUIRED",IF(OR(AND('Input Required'!F177&lt;&gt;"",NOT(ISNUMBER('Input Required'!F177))),AND(ISNUMBER('Input Required'!F177),NOT(OR('Input Required'!F177=0,'Input Required'!F177=1))),AND(ISNUMBER('Input Required'!F177),'Input Required'!F177&lt;0),AND(ISNUMBER('Input Required'!F177),'Input Required'!F177&gt;1)),"INPUT ERROR","READY")))</f>
        <v>INPUT REQUIRED</v>
      </c>
      <c r="D176" s="45" t="s">
        <v>572</v>
      </c>
      <c r="E176" s="45"/>
      <c r="F176" s="45" t="s">
        <v>182</v>
      </c>
      <c r="G176" s="45" t="s">
        <v>497</v>
      </c>
      <c r="H176" s="45" t="s">
        <v>744</v>
      </c>
      <c r="I176" s="47" t="n">
        <f aca="false">'Input Required'!G177</f>
        <v>0</v>
      </c>
    </row>
    <row r="177" customFormat="false" ht="68.65" hidden="false" customHeight="false" outlineLevel="0" collapsed="false">
      <c r="A177" s="45" t="s">
        <v>524</v>
      </c>
      <c r="B177" s="45" t="s">
        <v>525</v>
      </c>
      <c r="C177" s="47" t="str">
        <f aca="false">IF('Input Required'!F178="","INPUT REQUIRED",IF(AND('Input Required'!H178="Yes",'Input Required'!G178=""),"SOURCE REQUIRED",IF(OR(AND('Input Required'!F178&lt;&gt;"",NOT(ISNUMBER('Input Required'!F178))),AND(ISNUMBER('Input Required'!F178),'Input Required'!F178&lt;-1000000000000),AND(ISNUMBER('Input Required'!F178),'Input Required'!F178&gt;1000000000000)),"INPUT ERROR","READY")))</f>
        <v>INPUT REQUIRED</v>
      </c>
      <c r="D177" s="45" t="s">
        <v>572</v>
      </c>
      <c r="E177" s="45"/>
      <c r="F177" s="45" t="s">
        <v>189</v>
      </c>
      <c r="G177" s="45" t="s">
        <v>497</v>
      </c>
      <c r="H177" s="45" t="s">
        <v>745</v>
      </c>
      <c r="I177" s="47" t="n">
        <f aca="false">'Input Required'!G178</f>
        <v>0</v>
      </c>
    </row>
    <row r="178" customFormat="false" ht="68.65" hidden="false" customHeight="false" outlineLevel="0" collapsed="false">
      <c r="A178" s="45" t="s">
        <v>526</v>
      </c>
      <c r="B178" s="45" t="s">
        <v>527</v>
      </c>
      <c r="C178" s="47" t="str">
        <f aca="false">IF('Input Required'!F179="","INPUT REQUIRED",IF(AND('Input Required'!H179="Yes",'Input Required'!G179=""),"SOURCE REQUIRED",IF(OR(AND('Input Required'!F179&lt;&gt;"",NOT(ISNUMBER('Input Required'!F179))),AND(ISNUMBER('Input Required'!F179),NOT(OR('Input Required'!F179=0,'Input Required'!F179=1))),AND(ISNUMBER('Input Required'!F179),'Input Required'!F179&lt;0),AND(ISNUMBER('Input Required'!F179),'Input Required'!F179&gt;1)),"INPUT ERROR","READY")))</f>
        <v>INPUT REQUIRED</v>
      </c>
      <c r="D178" s="45" t="s">
        <v>572</v>
      </c>
      <c r="E178" s="45"/>
      <c r="F178" s="45" t="s">
        <v>182</v>
      </c>
      <c r="G178" s="45" t="s">
        <v>515</v>
      </c>
      <c r="H178" s="45" t="s">
        <v>746</v>
      </c>
      <c r="I178" s="47" t="n">
        <f aca="false">'Input Required'!G179</f>
        <v>0</v>
      </c>
    </row>
    <row r="179" customFormat="false" ht="68.65" hidden="false" customHeight="false" outlineLevel="0" collapsed="false">
      <c r="A179" s="45" t="s">
        <v>528</v>
      </c>
      <c r="B179" s="45" t="s">
        <v>529</v>
      </c>
      <c r="C179" s="47" t="str">
        <f aca="false">IF('Input Required'!F180="","INPUT REQUIRED",IF(AND('Input Required'!H180="Yes",'Input Required'!G180=""),"SOURCE REQUIRED",IF(OR(AND('Input Required'!F180&lt;&gt;"",NOT(ISNUMBER('Input Required'!F180))),AND(ISNUMBER('Input Required'!F180),'Input Required'!F180&lt;-1000000000000),AND(ISNUMBER('Input Required'!F180),'Input Required'!F180&gt;1000000000000)),"INPUT ERROR","READY")))</f>
        <v>INPUT REQUIRED</v>
      </c>
      <c r="D179" s="45" t="s">
        <v>572</v>
      </c>
      <c r="E179" s="45"/>
      <c r="F179" s="45" t="s">
        <v>189</v>
      </c>
      <c r="G179" s="45" t="s">
        <v>515</v>
      </c>
      <c r="H179" s="45" t="s">
        <v>747</v>
      </c>
      <c r="I179" s="47" t="n">
        <f aca="false">'Input Required'!G180</f>
        <v>0</v>
      </c>
    </row>
    <row r="180" customFormat="false" ht="68.65" hidden="false" customHeight="false" outlineLevel="0" collapsed="false">
      <c r="A180" s="45" t="s">
        <v>530</v>
      </c>
      <c r="B180" s="45" t="s">
        <v>531</v>
      </c>
      <c r="C180" s="47" t="str">
        <f aca="false">IF('Input Required'!F181="","INPUT REQUIRED",IF(AND('Input Required'!H181="Yes",'Input Required'!G181=""),"SOURCE REQUIRED",IF(OR(AND('Input Required'!F181&lt;&gt;"",NOT(ISNUMBER('Input Required'!F181))),AND(ISNUMBER('Input Required'!F181),NOT(OR('Input Required'!F181=0,'Input Required'!F181=1))),AND(ISNUMBER('Input Required'!F181),'Input Required'!F181&lt;0),AND(ISNUMBER('Input Required'!F181),'Input Required'!F181&gt;1)),"INPUT ERROR","READY")))</f>
        <v>INPUT REQUIRED</v>
      </c>
      <c r="D180" s="45" t="s">
        <v>572</v>
      </c>
      <c r="E180" s="45"/>
      <c r="F180" s="45" t="s">
        <v>182</v>
      </c>
      <c r="G180" s="45" t="s">
        <v>515</v>
      </c>
      <c r="H180" s="45" t="s">
        <v>748</v>
      </c>
      <c r="I180" s="47" t="n">
        <f aca="false">'Input Required'!G181</f>
        <v>0</v>
      </c>
    </row>
    <row r="181" customFormat="false" ht="68.65" hidden="false" customHeight="false" outlineLevel="0" collapsed="false">
      <c r="A181" s="45" t="s">
        <v>532</v>
      </c>
      <c r="B181" s="45" t="s">
        <v>533</v>
      </c>
      <c r="C181" s="47" t="str">
        <f aca="false">IF('Input Required'!F182="","INPUT REQUIRED",IF(AND('Input Required'!H182="Yes",'Input Required'!G182=""),"SOURCE REQUIRED",IF(OR(AND('Input Required'!F182&lt;&gt;"",NOT(ISNUMBER('Input Required'!F182))),AND(ISNUMBER('Input Required'!F182),'Input Required'!F182&lt;-1000000000000),AND(ISNUMBER('Input Required'!F182),'Input Required'!F182&gt;1000000000000)),"INPUT ERROR","READY")))</f>
        <v>INPUT REQUIRED</v>
      </c>
      <c r="D181" s="45" t="s">
        <v>572</v>
      </c>
      <c r="E181" s="45"/>
      <c r="F181" s="45" t="s">
        <v>189</v>
      </c>
      <c r="G181" s="45" t="s">
        <v>515</v>
      </c>
      <c r="H181" s="45" t="s">
        <v>749</v>
      </c>
      <c r="I181" s="47" t="n">
        <f aca="false">'Input Required'!G182</f>
        <v>0</v>
      </c>
    </row>
    <row r="182" customFormat="false" ht="79.85" hidden="false" customHeight="false" outlineLevel="0" collapsed="false">
      <c r="A182" s="45" t="s">
        <v>534</v>
      </c>
      <c r="B182" s="45" t="s">
        <v>535</v>
      </c>
      <c r="C182" s="47" t="str">
        <f aca="false">IF('Input Required'!F183="","INPUT REQUIRED",IF(AND('Input Required'!H183="Yes",'Input Required'!G183=""),"SOURCE REQUIRED",IF(OR(AND('Input Required'!F183&lt;&gt;"",NOT(ISNUMBER('Input Required'!F183))),AND(ISNUMBER('Input Required'!F183),NOT(OR('Input Required'!F183=0,'Input Required'!F183=1))),AND(ISNUMBER('Input Required'!F183),'Input Required'!F183&lt;0),AND(ISNUMBER('Input Required'!F183),'Input Required'!F183&gt;1)),"INPUT ERROR","READY")))</f>
        <v>INPUT REQUIRED</v>
      </c>
      <c r="D182" s="45" t="s">
        <v>572</v>
      </c>
      <c r="E182" s="45"/>
      <c r="F182" s="45" t="s">
        <v>182</v>
      </c>
      <c r="G182" s="45" t="s">
        <v>536</v>
      </c>
      <c r="H182" s="45" t="s">
        <v>750</v>
      </c>
      <c r="I182" s="47" t="n">
        <f aca="false">'Input Required'!G183</f>
        <v>0</v>
      </c>
    </row>
    <row r="183" customFormat="false" ht="79.85" hidden="false" customHeight="false" outlineLevel="0" collapsed="false">
      <c r="A183" s="45" t="s">
        <v>537</v>
      </c>
      <c r="B183" s="45" t="s">
        <v>538</v>
      </c>
      <c r="C183" s="47" t="str">
        <f aca="false">IF('Input Required'!F184="","INPUT REQUIRED",IF(AND('Input Required'!H184="Yes",'Input Required'!G184=""),"SOURCE REQUIRED",IF(OR(AND('Input Required'!F184&lt;&gt;"",NOT(ISNUMBER('Input Required'!F184))),AND(ISNUMBER('Input Required'!F184),'Input Required'!F184&lt;-1000000000000),AND(ISNUMBER('Input Required'!F184),'Input Required'!F184&gt;1000000000000)),"INPUT ERROR","READY")))</f>
        <v>INPUT REQUIRED</v>
      </c>
      <c r="D183" s="45" t="s">
        <v>572</v>
      </c>
      <c r="E183" s="45"/>
      <c r="F183" s="45" t="s">
        <v>189</v>
      </c>
      <c r="G183" s="45" t="s">
        <v>536</v>
      </c>
      <c r="H183" s="45" t="s">
        <v>751</v>
      </c>
      <c r="I183" s="47" t="n">
        <f aca="false">'Input Required'!G184</f>
        <v>0</v>
      </c>
    </row>
    <row r="184" customFormat="false" ht="79.85" hidden="false" customHeight="false" outlineLevel="0" collapsed="false">
      <c r="A184" s="45" t="s">
        <v>539</v>
      </c>
      <c r="B184" s="45" t="s">
        <v>540</v>
      </c>
      <c r="C184" s="47" t="str">
        <f aca="false">IF('Input Required'!F185="","INPUT REQUIRED",IF(AND('Input Required'!H185="Yes",'Input Required'!G185=""),"SOURCE REQUIRED",IF(OR(AND('Input Required'!F185&lt;&gt;"",NOT(ISNUMBER('Input Required'!F185))),AND(ISNUMBER('Input Required'!F185),NOT(OR('Input Required'!F185=0,'Input Required'!F185=1))),AND(ISNUMBER('Input Required'!F185),'Input Required'!F185&lt;0),AND(ISNUMBER('Input Required'!F185),'Input Required'!F185&gt;1)),"INPUT ERROR","READY")))</f>
        <v>INPUT REQUIRED</v>
      </c>
      <c r="D184" s="45" t="s">
        <v>572</v>
      </c>
      <c r="E184" s="45"/>
      <c r="F184" s="45" t="s">
        <v>182</v>
      </c>
      <c r="G184" s="45" t="s">
        <v>536</v>
      </c>
      <c r="H184" s="45" t="s">
        <v>752</v>
      </c>
      <c r="I184" s="47" t="n">
        <f aca="false">'Input Required'!G185</f>
        <v>0</v>
      </c>
    </row>
    <row r="185" customFormat="false" ht="79.85" hidden="false" customHeight="false" outlineLevel="0" collapsed="false">
      <c r="A185" s="45" t="s">
        <v>541</v>
      </c>
      <c r="B185" s="45" t="s">
        <v>542</v>
      </c>
      <c r="C185" s="47" t="str">
        <f aca="false">IF('Input Required'!F186="","INPUT REQUIRED",IF(AND('Input Required'!H186="Yes",'Input Required'!G186=""),"SOURCE REQUIRED",IF(OR(AND('Input Required'!F186&lt;&gt;"",NOT(ISNUMBER('Input Required'!F186))),AND(ISNUMBER('Input Required'!F186),'Input Required'!F186&lt;-1000000000000),AND(ISNUMBER('Input Required'!F186),'Input Required'!F186&gt;1000000000000)),"INPUT ERROR","READY")))</f>
        <v>INPUT REQUIRED</v>
      </c>
      <c r="D185" s="45" t="s">
        <v>572</v>
      </c>
      <c r="E185" s="45"/>
      <c r="F185" s="45" t="s">
        <v>189</v>
      </c>
      <c r="G185" s="45" t="s">
        <v>536</v>
      </c>
      <c r="H185" s="45" t="s">
        <v>753</v>
      </c>
      <c r="I185" s="47" t="n">
        <f aca="false">'Input Required'!G186</f>
        <v>0</v>
      </c>
    </row>
    <row r="186" customFormat="false" ht="79.85" hidden="false" customHeight="false" outlineLevel="0" collapsed="false">
      <c r="A186" s="45" t="s">
        <v>543</v>
      </c>
      <c r="B186" s="45" t="s">
        <v>544</v>
      </c>
      <c r="C186" s="47" t="str">
        <f aca="false">IF('Input Required'!F187="","INPUT REQUIRED",IF(AND('Input Required'!H187="Yes",'Input Required'!G187=""),"SOURCE REQUIRED",IF(OR(AND('Input Required'!F187&lt;&gt;"",NOT(ISNUMBER('Input Required'!F187))),AND(ISNUMBER('Input Required'!F187),NOT(OR('Input Required'!F187=0,'Input Required'!F187=1))),AND(ISNUMBER('Input Required'!F187),'Input Required'!F187&lt;0),AND(ISNUMBER('Input Required'!F187),'Input Required'!F187&gt;1)),"INPUT ERROR","READY")))</f>
        <v>INPUT REQUIRED</v>
      </c>
      <c r="D186" s="45" t="s">
        <v>572</v>
      </c>
      <c r="E186" s="45"/>
      <c r="F186" s="45" t="s">
        <v>182</v>
      </c>
      <c r="G186" s="45" t="s">
        <v>536</v>
      </c>
      <c r="H186" s="45" t="s">
        <v>754</v>
      </c>
      <c r="I186" s="47" t="n">
        <f aca="false">'Input Required'!G187</f>
        <v>0</v>
      </c>
    </row>
    <row r="187" customFormat="false" ht="79.85" hidden="false" customHeight="false" outlineLevel="0" collapsed="false">
      <c r="A187" s="45" t="s">
        <v>545</v>
      </c>
      <c r="B187" s="45" t="s">
        <v>546</v>
      </c>
      <c r="C187" s="47" t="str">
        <f aca="false">IF('Input Required'!F188="","INPUT REQUIRED",IF(AND('Input Required'!H188="Yes",'Input Required'!G188=""),"SOURCE REQUIRED",IF(OR(AND('Input Required'!F188&lt;&gt;"",NOT(ISNUMBER('Input Required'!F188))),AND(ISNUMBER('Input Required'!F188),'Input Required'!F188&lt;-1000000000000),AND(ISNUMBER('Input Required'!F188),'Input Required'!F188&gt;1000000000000)),"INPUT ERROR","READY")))</f>
        <v>INPUT REQUIRED</v>
      </c>
      <c r="D187" s="45" t="s">
        <v>572</v>
      </c>
      <c r="E187" s="45"/>
      <c r="F187" s="45" t="s">
        <v>189</v>
      </c>
      <c r="G187" s="45" t="s">
        <v>536</v>
      </c>
      <c r="H187" s="45" t="s">
        <v>755</v>
      </c>
      <c r="I187" s="47" t="n">
        <f aca="false">'Input Required'!G188</f>
        <v>0</v>
      </c>
    </row>
    <row r="188" customFormat="false" ht="79.85" hidden="false" customHeight="false" outlineLevel="0" collapsed="false">
      <c r="A188" s="45" t="s">
        <v>547</v>
      </c>
      <c r="B188" s="45" t="s">
        <v>548</v>
      </c>
      <c r="C188" s="47" t="str">
        <f aca="false">IF('Input Required'!F189="","INPUT REQUIRED",IF(AND('Input Required'!H189="Yes",'Input Required'!G189=""),"SOURCE REQUIRED",IF(OR(AND('Input Required'!F189&lt;&gt;"",NOT(ISNUMBER('Input Required'!F189))),AND(ISNUMBER('Input Required'!F189),NOT(OR('Input Required'!F189=0,'Input Required'!F189=1))),AND(ISNUMBER('Input Required'!F189),'Input Required'!F189&lt;0),AND(ISNUMBER('Input Required'!F189),'Input Required'!F189&gt;1)),"INPUT ERROR","READY")))</f>
        <v>INPUT REQUIRED</v>
      </c>
      <c r="D188" s="45" t="s">
        <v>572</v>
      </c>
      <c r="E188" s="45"/>
      <c r="F188" s="45" t="s">
        <v>182</v>
      </c>
      <c r="G188" s="45" t="s">
        <v>536</v>
      </c>
      <c r="H188" s="45" t="s">
        <v>756</v>
      </c>
      <c r="I188" s="47" t="n">
        <f aca="false">'Input Required'!G189</f>
        <v>0</v>
      </c>
    </row>
    <row r="189" customFormat="false" ht="79.85" hidden="false" customHeight="false" outlineLevel="0" collapsed="false">
      <c r="A189" s="45" t="s">
        <v>549</v>
      </c>
      <c r="B189" s="45" t="s">
        <v>550</v>
      </c>
      <c r="C189" s="47" t="str">
        <f aca="false">IF('Input Required'!F190="","INPUT REQUIRED",IF(AND('Input Required'!H190="Yes",'Input Required'!G190=""),"SOURCE REQUIRED",IF(OR(AND('Input Required'!F190&lt;&gt;"",NOT(ISNUMBER('Input Required'!F190))),AND(ISNUMBER('Input Required'!F190),'Input Required'!F190&lt;-1000000000000),AND(ISNUMBER('Input Required'!F190),'Input Required'!F190&gt;1000000000000)),"INPUT ERROR","READY")))</f>
        <v>INPUT REQUIRED</v>
      </c>
      <c r="D189" s="45" t="s">
        <v>572</v>
      </c>
      <c r="E189" s="45"/>
      <c r="F189" s="45" t="s">
        <v>189</v>
      </c>
      <c r="G189" s="45" t="s">
        <v>536</v>
      </c>
      <c r="H189" s="45" t="s">
        <v>757</v>
      </c>
      <c r="I189" s="47" t="n">
        <f aca="false">'Input Required'!G190</f>
        <v>0</v>
      </c>
    </row>
    <row r="190" customFormat="false" ht="68.65" hidden="false" customHeight="false" outlineLevel="0" collapsed="false">
      <c r="A190" s="45" t="s">
        <v>551</v>
      </c>
      <c r="B190" s="45" t="s">
        <v>552</v>
      </c>
      <c r="C190" s="47" t="str">
        <f aca="false">IF('Input Required'!F191="","INPUT REQUIRED",IF(AND('Input Required'!H191="Yes",'Input Required'!G191=""),"SOURCE REQUIRED",IF(OR(AND('Input Required'!F191&lt;&gt;"",NOT(ISNUMBER('Input Required'!F191))),AND(ISNUMBER('Input Required'!F191),NOT(OR('Input Required'!F191=0,'Input Required'!F191=1))),AND(ISNUMBER('Input Required'!F191),'Input Required'!F191&lt;0),AND(ISNUMBER('Input Required'!F191),'Input Required'!F191&gt;1)),"INPUT ERROR","READY")))</f>
        <v>INPUT REQUIRED</v>
      </c>
      <c r="D190" s="45" t="s">
        <v>572</v>
      </c>
      <c r="E190" s="45"/>
      <c r="F190" s="45" t="s">
        <v>182</v>
      </c>
      <c r="G190" s="45" t="s">
        <v>515</v>
      </c>
      <c r="H190" s="45" t="s">
        <v>758</v>
      </c>
      <c r="I190" s="47" t="n">
        <f aca="false">'Input Required'!G191</f>
        <v>0</v>
      </c>
    </row>
    <row r="191" customFormat="false" ht="68.65" hidden="false" customHeight="false" outlineLevel="0" collapsed="false">
      <c r="A191" s="45" t="s">
        <v>553</v>
      </c>
      <c r="B191" s="45" t="s">
        <v>554</v>
      </c>
      <c r="C191" s="47" t="str">
        <f aca="false">IF('Input Required'!F192="","INPUT REQUIRED",IF(AND('Input Required'!H192="Yes",'Input Required'!G192=""),"SOURCE REQUIRED",IF(OR(AND('Input Required'!F192&lt;&gt;"",NOT(ISNUMBER('Input Required'!F192))),AND(ISNUMBER('Input Required'!F192),'Input Required'!F192&lt;-1000000000000),AND(ISNUMBER('Input Required'!F192),'Input Required'!F192&gt;1000000000000)),"INPUT ERROR","READY")))</f>
        <v>INPUT REQUIRED</v>
      </c>
      <c r="D191" s="45" t="s">
        <v>572</v>
      </c>
      <c r="E191" s="45"/>
      <c r="F191" s="45" t="s">
        <v>189</v>
      </c>
      <c r="G191" s="45" t="s">
        <v>515</v>
      </c>
      <c r="H191" s="45" t="s">
        <v>759</v>
      </c>
      <c r="I191" s="47" t="n">
        <f aca="false">'Input Required'!G192</f>
        <v>0</v>
      </c>
    </row>
    <row r="192" customFormat="false" ht="57.45" hidden="false" customHeight="false" outlineLevel="0" collapsed="false">
      <c r="A192" s="45" t="s">
        <v>555</v>
      </c>
      <c r="B192" s="45" t="s">
        <v>36</v>
      </c>
      <c r="C192" s="47" t="str">
        <f aca="false">IF('Input Required'!F193="","INPUT REQUIRED",IF(AND('Input Required'!H193="Yes",'Input Required'!G193=""),"SOURCE REQUIRED",IF(OR(AND('Input Required'!F193&lt;&gt;"",NOT(ISNUMBER('Input Required'!F193))),AND(ISNUMBER('Input Required'!F193),'Input Required'!F193&lt;-1000000000000),AND(ISNUMBER('Input Required'!F193),'Input Required'!F193&gt;1000000000000)),"INPUT ERROR","READY")))</f>
        <v>INPUT REQUIRED</v>
      </c>
      <c r="D192" s="45" t="s">
        <v>572</v>
      </c>
      <c r="E192" s="45"/>
      <c r="F192" s="45" t="s">
        <v>189</v>
      </c>
      <c r="G192" s="45" t="s">
        <v>556</v>
      </c>
      <c r="H192" s="45" t="s">
        <v>760</v>
      </c>
      <c r="I192" s="47" t="n">
        <f aca="false">'Input Required'!G193</f>
        <v>0</v>
      </c>
    </row>
    <row r="193" customFormat="false" ht="57.45" hidden="false" customHeight="false" outlineLevel="0" collapsed="false">
      <c r="A193" s="45" t="s">
        <v>557</v>
      </c>
      <c r="B193" s="45" t="s">
        <v>558</v>
      </c>
      <c r="C193" s="47" t="str">
        <f aca="false">IF('Input Required'!F194="","INPUT REQUIRED",IF(AND('Input Required'!H194="Yes",'Input Required'!G194=""),"SOURCE REQUIRED",IF(OR(AND('Input Required'!F194&lt;&gt;"",NOT(ISNUMBER('Input Required'!F194))),AND(ISNUMBER('Input Required'!F194),'Input Required'!F194&lt;0),AND(ISNUMBER('Input Required'!F194),'Input Required'!F194&gt;0.3)),"INPUT ERROR","READY")))</f>
        <v>INPUT REQUIRED</v>
      </c>
      <c r="D193" s="45" t="s">
        <v>572</v>
      </c>
      <c r="E193" s="45"/>
      <c r="F193" s="45" t="s">
        <v>156</v>
      </c>
      <c r="G193" s="45" t="s">
        <v>559</v>
      </c>
      <c r="H193" s="45" t="s">
        <v>761</v>
      </c>
      <c r="I193" s="47" t="n">
        <f aca="false">'Input Required'!G194</f>
        <v>0</v>
      </c>
    </row>
    <row r="194" customFormat="false" ht="57.45" hidden="false" customHeight="false" outlineLevel="0" collapsed="false">
      <c r="A194" s="45" t="s">
        <v>560</v>
      </c>
      <c r="B194" s="45" t="s">
        <v>561</v>
      </c>
      <c r="C194" s="47" t="str">
        <f aca="false">IF('Input Required'!F195="","INPUT REQUIRED",IF(AND('Input Required'!H195="Yes",'Input Required'!G195=""),"SOURCE REQUIRED",IF(OR(AND('Input Required'!F195&lt;&gt;"",NOT(ISNUMBER('Input Required'!F195))),AND(ISNUMBER('Input Required'!F195),'Input Required'!F195&lt;0),AND(ISNUMBER('Input Required'!F195),'Input Required'!F195&gt;0.6)),"INPUT ERROR","READY")))</f>
        <v>INPUT REQUIRED</v>
      </c>
      <c r="D194" s="45" t="s">
        <v>572</v>
      </c>
      <c r="E194" s="45"/>
      <c r="F194" s="45" t="s">
        <v>156</v>
      </c>
      <c r="G194" s="45" t="s">
        <v>562</v>
      </c>
      <c r="H194" s="45" t="s">
        <v>762</v>
      </c>
      <c r="I194" s="47" t="n">
        <f aca="false">'Input Required'!G195</f>
        <v>0</v>
      </c>
    </row>
    <row r="195" customFormat="false" ht="57.45" hidden="false" customHeight="false" outlineLevel="0" collapsed="false">
      <c r="A195" s="45" t="s">
        <v>563</v>
      </c>
      <c r="B195" s="45" t="s">
        <v>564</v>
      </c>
      <c r="C195" s="47" t="str">
        <f aca="false">IF('Input Required'!F196="","INPUT REQUIRED",IF(AND('Input Required'!H196="Yes",'Input Required'!G196=""),"SOURCE REQUIRED",IF(OR(AND('Input Required'!F196&lt;&gt;"",NOT(ISNUMBER('Input Required'!F196))),AND(ISNUMBER('Input Required'!F196),'Input Required'!F196&lt;0),AND(ISNUMBER('Input Required'!F196),'Input Required'!F196&gt;0.140493839639222)),"INPUT ERROR","READY")))</f>
        <v>INPUT REQUIRED</v>
      </c>
      <c r="D195" s="45" t="s">
        <v>572</v>
      </c>
      <c r="E195" s="45"/>
      <c r="F195" s="45" t="s">
        <v>156</v>
      </c>
      <c r="G195" s="45" t="s">
        <v>565</v>
      </c>
      <c r="H195" s="45" t="s">
        <v>763</v>
      </c>
      <c r="I195" s="47" t="n">
        <f aca="false">'Input Required'!G196</f>
        <v>0</v>
      </c>
    </row>
  </sheetData>
  <autoFilter ref="A4:I195"/>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2026-10-03T22:05:37Z</dcterms:created>
  <dc:creator>openpyxl</dc:creator>
  <dc:description/>
  <dc:language>en-AE</dc:language>
  <cp:lastModifiedBy/>
  <dcterms:modified xsi:type="dcterms:W3CDTF">2026-10-03T22:05:37Z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